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Results/Massive/"/>
    </mc:Choice>
  </mc:AlternateContent>
  <xr:revisionPtr revIDLastSave="0" documentId="13_ncr:1_{F4D3BC8B-2691-FB44-A0F8-C867CC2D4CEE}" xr6:coauthVersionLast="47" xr6:coauthVersionMax="47" xr10:uidLastSave="{00000000-0000-0000-0000-000000000000}"/>
  <bookViews>
    <workbookView xWindow="0" yWindow="680" windowWidth="30240" windowHeight="17460" activeTab="1" xr2:uid="{00000000-000D-0000-FFFF-FFFF00000000}"/>
  </bookViews>
  <sheets>
    <sheet name="Sheet1" sheetId="1" r:id="rId1"/>
    <sheet name="Feuil1" sheetId="2" r:id="rId2"/>
  </sheets>
  <definedNames>
    <definedName name="_xlnm._FilterDatabase" localSheetId="1" hidden="1">Feuil1!$A$2:$P$550</definedName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N3" i="2"/>
  <c r="O3" i="2" s="1"/>
  <c r="P3" i="2" s="1"/>
  <c r="K3" i="2"/>
  <c r="L3" i="2" s="1"/>
  <c r="M3" i="2" s="1"/>
  <c r="H3" i="2"/>
  <c r="I3" i="2" s="1"/>
  <c r="J3" i="2" s="1"/>
  <c r="E3" i="2"/>
  <c r="F3" i="2" s="1"/>
  <c r="G3" i="2" s="1"/>
  <c r="C4" i="2"/>
  <c r="B4" i="2" s="1"/>
  <c r="D3" i="2"/>
  <c r="A4" i="2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3" i="1"/>
  <c r="A5" i="2" l="1"/>
  <c r="K4" i="2"/>
  <c r="L4" i="2" s="1"/>
  <c r="M4" i="2" s="1"/>
  <c r="E4" i="2"/>
  <c r="F4" i="2" s="1"/>
  <c r="G4" i="2" s="1"/>
  <c r="N4" i="2"/>
  <c r="O4" i="2" s="1"/>
  <c r="P4" i="2" s="1"/>
  <c r="H4" i="2"/>
  <c r="I4" i="2" s="1"/>
  <c r="J4" i="2" s="1"/>
  <c r="D4" i="2"/>
  <c r="C5" i="2"/>
  <c r="B5" i="2" s="1"/>
  <c r="A6" i="2" l="1"/>
  <c r="N5" i="2"/>
  <c r="O5" i="2" s="1"/>
  <c r="P5" i="2" s="1"/>
  <c r="K5" i="2"/>
  <c r="L5" i="2" s="1"/>
  <c r="M5" i="2" s="1"/>
  <c r="H5" i="2"/>
  <c r="I5" i="2" s="1"/>
  <c r="J5" i="2" s="1"/>
  <c r="E5" i="2"/>
  <c r="F5" i="2" s="1"/>
  <c r="G5" i="2" s="1"/>
  <c r="D5" i="2"/>
  <c r="C6" i="2"/>
  <c r="B6" i="2" s="1"/>
  <c r="A7" i="2" l="1"/>
  <c r="K6" i="2"/>
  <c r="L6" i="2" s="1"/>
  <c r="M6" i="2" s="1"/>
  <c r="N6" i="2"/>
  <c r="O6" i="2" s="1"/>
  <c r="P6" i="2" s="1"/>
  <c r="E6" i="2"/>
  <c r="F6" i="2" s="1"/>
  <c r="G6" i="2" s="1"/>
  <c r="H6" i="2"/>
  <c r="I6" i="2" s="1"/>
  <c r="J6" i="2" s="1"/>
  <c r="D6" i="2"/>
  <c r="C7" i="2"/>
  <c r="B7" i="2" s="1"/>
  <c r="A8" i="2" l="1"/>
  <c r="N7" i="2"/>
  <c r="O7" i="2" s="1"/>
  <c r="P7" i="2" s="1"/>
  <c r="K7" i="2"/>
  <c r="L7" i="2" s="1"/>
  <c r="M7" i="2" s="1"/>
  <c r="H7" i="2"/>
  <c r="I7" i="2" s="1"/>
  <c r="J7" i="2" s="1"/>
  <c r="E7" i="2"/>
  <c r="F7" i="2" s="1"/>
  <c r="G7" i="2" s="1"/>
  <c r="D7" i="2"/>
  <c r="C8" i="2"/>
  <c r="B8" i="2" s="1"/>
  <c r="A9" i="2" l="1"/>
  <c r="N8" i="2"/>
  <c r="O8" i="2" s="1"/>
  <c r="P8" i="2" s="1"/>
  <c r="K8" i="2"/>
  <c r="L8" i="2" s="1"/>
  <c r="M8" i="2" s="1"/>
  <c r="E8" i="2"/>
  <c r="F8" i="2" s="1"/>
  <c r="G8" i="2" s="1"/>
  <c r="H8" i="2"/>
  <c r="I8" i="2" s="1"/>
  <c r="J8" i="2" s="1"/>
  <c r="D8" i="2"/>
  <c r="C9" i="2"/>
  <c r="B9" i="2" s="1"/>
  <c r="A10" i="2" l="1"/>
  <c r="K9" i="2"/>
  <c r="L9" i="2" s="1"/>
  <c r="M9" i="2" s="1"/>
  <c r="E9" i="2"/>
  <c r="F9" i="2" s="1"/>
  <c r="G9" i="2" s="1"/>
  <c r="N9" i="2"/>
  <c r="O9" i="2" s="1"/>
  <c r="P9" i="2" s="1"/>
  <c r="H9" i="2"/>
  <c r="I9" i="2" s="1"/>
  <c r="J9" i="2" s="1"/>
  <c r="D9" i="2"/>
  <c r="C10" i="2"/>
  <c r="B10" i="2" s="1"/>
  <c r="A11" i="2" l="1"/>
  <c r="N10" i="2"/>
  <c r="O10" i="2" s="1"/>
  <c r="P10" i="2" s="1"/>
  <c r="K10" i="2"/>
  <c r="L10" i="2" s="1"/>
  <c r="M10" i="2" s="1"/>
  <c r="E10" i="2"/>
  <c r="F10" i="2" s="1"/>
  <c r="G10" i="2" s="1"/>
  <c r="H10" i="2"/>
  <c r="I10" i="2" s="1"/>
  <c r="J10" i="2" s="1"/>
  <c r="D10" i="2"/>
  <c r="C11" i="2"/>
  <c r="B11" i="2" s="1"/>
  <c r="A12" i="2" l="1"/>
  <c r="N11" i="2"/>
  <c r="O11" i="2" s="1"/>
  <c r="P11" i="2" s="1"/>
  <c r="K11" i="2"/>
  <c r="L11" i="2" s="1"/>
  <c r="M11" i="2" s="1"/>
  <c r="H11" i="2"/>
  <c r="I11" i="2" s="1"/>
  <c r="J11" i="2" s="1"/>
  <c r="E11" i="2"/>
  <c r="F11" i="2" s="1"/>
  <c r="G11" i="2" s="1"/>
  <c r="D11" i="2"/>
  <c r="C12" i="2"/>
  <c r="B12" i="2" s="1"/>
  <c r="A13" i="2" l="1"/>
  <c r="N12" i="2"/>
  <c r="O12" i="2" s="1"/>
  <c r="P12" i="2" s="1"/>
  <c r="E12" i="2"/>
  <c r="F12" i="2" s="1"/>
  <c r="G12" i="2" s="1"/>
  <c r="K12" i="2"/>
  <c r="L12" i="2" s="1"/>
  <c r="M12" i="2" s="1"/>
  <c r="H12" i="2"/>
  <c r="I12" i="2" s="1"/>
  <c r="J12" i="2" s="1"/>
  <c r="D12" i="2"/>
  <c r="C13" i="2"/>
  <c r="B13" i="2" s="1"/>
  <c r="A14" i="2" l="1"/>
  <c r="E13" i="2"/>
  <c r="F13" i="2" s="1"/>
  <c r="G13" i="2" s="1"/>
  <c r="N13" i="2"/>
  <c r="O13" i="2" s="1"/>
  <c r="P13" i="2" s="1"/>
  <c r="K13" i="2"/>
  <c r="L13" i="2" s="1"/>
  <c r="M13" i="2" s="1"/>
  <c r="H13" i="2"/>
  <c r="I13" i="2" s="1"/>
  <c r="J13" i="2" s="1"/>
  <c r="D13" i="2"/>
  <c r="C14" i="2"/>
  <c r="B14" i="2" s="1"/>
  <c r="A15" i="2" l="1"/>
  <c r="K14" i="2"/>
  <c r="L14" i="2" s="1"/>
  <c r="M14" i="2" s="1"/>
  <c r="N14" i="2"/>
  <c r="O14" i="2" s="1"/>
  <c r="P14" i="2" s="1"/>
  <c r="E14" i="2"/>
  <c r="F14" i="2" s="1"/>
  <c r="G14" i="2" s="1"/>
  <c r="H14" i="2"/>
  <c r="I14" i="2" s="1"/>
  <c r="J14" i="2" s="1"/>
  <c r="D14" i="2"/>
  <c r="C15" i="2"/>
  <c r="B15" i="2" s="1"/>
  <c r="A16" i="2" l="1"/>
  <c r="N15" i="2"/>
  <c r="O15" i="2" s="1"/>
  <c r="P15" i="2" s="1"/>
  <c r="K15" i="2"/>
  <c r="L15" i="2" s="1"/>
  <c r="M15" i="2" s="1"/>
  <c r="E15" i="2"/>
  <c r="F15" i="2" s="1"/>
  <c r="G15" i="2" s="1"/>
  <c r="H15" i="2"/>
  <c r="I15" i="2" s="1"/>
  <c r="J15" i="2" s="1"/>
  <c r="D15" i="2"/>
  <c r="C16" i="2"/>
  <c r="B16" i="2" s="1"/>
  <c r="A17" i="2" l="1"/>
  <c r="N16" i="2"/>
  <c r="O16" i="2" s="1"/>
  <c r="P16" i="2" s="1"/>
  <c r="K16" i="2"/>
  <c r="L16" i="2" s="1"/>
  <c r="M16" i="2" s="1"/>
  <c r="H16" i="2"/>
  <c r="I16" i="2" s="1"/>
  <c r="J16" i="2" s="1"/>
  <c r="E16" i="2"/>
  <c r="F16" i="2" s="1"/>
  <c r="G16" i="2" s="1"/>
  <c r="D16" i="2"/>
  <c r="C17" i="2"/>
  <c r="B17" i="2" s="1"/>
  <c r="A18" i="2" l="1"/>
  <c r="K17" i="2"/>
  <c r="L17" i="2" s="1"/>
  <c r="M17" i="2" s="1"/>
  <c r="E17" i="2"/>
  <c r="F17" i="2" s="1"/>
  <c r="G17" i="2" s="1"/>
  <c r="N17" i="2"/>
  <c r="O17" i="2" s="1"/>
  <c r="P17" i="2" s="1"/>
  <c r="H17" i="2"/>
  <c r="I17" i="2" s="1"/>
  <c r="J17" i="2" s="1"/>
  <c r="D17" i="2"/>
  <c r="C18" i="2"/>
  <c r="B18" i="2" s="1"/>
  <c r="A19" i="2" l="1"/>
  <c r="K18" i="2"/>
  <c r="L18" i="2" s="1"/>
  <c r="M18" i="2" s="1"/>
  <c r="N18" i="2"/>
  <c r="O18" i="2" s="1"/>
  <c r="P18" i="2" s="1"/>
  <c r="E18" i="2"/>
  <c r="F18" i="2" s="1"/>
  <c r="G18" i="2" s="1"/>
  <c r="H18" i="2"/>
  <c r="I18" i="2" s="1"/>
  <c r="J18" i="2" s="1"/>
  <c r="D18" i="2"/>
  <c r="C19" i="2"/>
  <c r="B19" i="2" s="1"/>
  <c r="A20" i="2" l="1"/>
  <c r="N19" i="2"/>
  <c r="O19" i="2" s="1"/>
  <c r="P19" i="2" s="1"/>
  <c r="K19" i="2"/>
  <c r="L19" i="2" s="1"/>
  <c r="M19" i="2" s="1"/>
  <c r="E19" i="2"/>
  <c r="F19" i="2" s="1"/>
  <c r="G19" i="2" s="1"/>
  <c r="H19" i="2"/>
  <c r="I19" i="2" s="1"/>
  <c r="J19" i="2" s="1"/>
  <c r="D19" i="2"/>
  <c r="C20" i="2"/>
  <c r="B20" i="2" s="1"/>
  <c r="A21" i="2" l="1"/>
  <c r="E20" i="2"/>
  <c r="F20" i="2" s="1"/>
  <c r="G20" i="2" s="1"/>
  <c r="N20" i="2"/>
  <c r="O20" i="2" s="1"/>
  <c r="P20" i="2" s="1"/>
  <c r="K20" i="2"/>
  <c r="L20" i="2" s="1"/>
  <c r="M20" i="2" s="1"/>
  <c r="H20" i="2"/>
  <c r="I20" i="2" s="1"/>
  <c r="J20" i="2" s="1"/>
  <c r="D20" i="2"/>
  <c r="C21" i="2"/>
  <c r="B21" i="2" s="1"/>
  <c r="A22" i="2" l="1"/>
  <c r="K21" i="2"/>
  <c r="L21" i="2" s="1"/>
  <c r="M21" i="2" s="1"/>
  <c r="N21" i="2"/>
  <c r="O21" i="2" s="1"/>
  <c r="P21" i="2" s="1"/>
  <c r="E21" i="2"/>
  <c r="F21" i="2" s="1"/>
  <c r="G21" i="2" s="1"/>
  <c r="H21" i="2"/>
  <c r="I21" i="2" s="1"/>
  <c r="J21" i="2" s="1"/>
  <c r="D21" i="2"/>
  <c r="C22" i="2"/>
  <c r="B22" i="2" s="1"/>
  <c r="A23" i="2" l="1"/>
  <c r="N22" i="2"/>
  <c r="O22" i="2" s="1"/>
  <c r="P22" i="2" s="1"/>
  <c r="K22" i="2"/>
  <c r="L22" i="2" s="1"/>
  <c r="M22" i="2" s="1"/>
  <c r="H22" i="2"/>
  <c r="I22" i="2" s="1"/>
  <c r="J22" i="2" s="1"/>
  <c r="E22" i="2"/>
  <c r="F22" i="2" s="1"/>
  <c r="G22" i="2" s="1"/>
  <c r="D22" i="2"/>
  <c r="C23" i="2"/>
  <c r="B23" i="2" s="1"/>
  <c r="A24" i="2" l="1"/>
  <c r="N23" i="2"/>
  <c r="O23" i="2" s="1"/>
  <c r="P23" i="2" s="1"/>
  <c r="K23" i="2"/>
  <c r="L23" i="2" s="1"/>
  <c r="M23" i="2" s="1"/>
  <c r="E23" i="2"/>
  <c r="F23" i="2" s="1"/>
  <c r="G23" i="2" s="1"/>
  <c r="H23" i="2"/>
  <c r="I23" i="2" s="1"/>
  <c r="J23" i="2" s="1"/>
  <c r="D23" i="2"/>
  <c r="C24" i="2"/>
  <c r="B24" i="2" s="1"/>
  <c r="A25" i="2" l="1"/>
  <c r="K24" i="2"/>
  <c r="L24" i="2" s="1"/>
  <c r="M24" i="2" s="1"/>
  <c r="N24" i="2"/>
  <c r="O24" i="2" s="1"/>
  <c r="P24" i="2" s="1"/>
  <c r="E24" i="2"/>
  <c r="F24" i="2" s="1"/>
  <c r="G24" i="2" s="1"/>
  <c r="H24" i="2"/>
  <c r="I24" i="2" s="1"/>
  <c r="J24" i="2" s="1"/>
  <c r="D24" i="2"/>
  <c r="C25" i="2"/>
  <c r="B25" i="2" s="1"/>
  <c r="A26" i="2" l="1"/>
  <c r="N25" i="2"/>
  <c r="O25" i="2" s="1"/>
  <c r="P25" i="2" s="1"/>
  <c r="E25" i="2"/>
  <c r="F25" i="2" s="1"/>
  <c r="G25" i="2" s="1"/>
  <c r="K25" i="2"/>
  <c r="L25" i="2" s="1"/>
  <c r="M25" i="2" s="1"/>
  <c r="H25" i="2"/>
  <c r="I25" i="2" s="1"/>
  <c r="J25" i="2" s="1"/>
  <c r="D25" i="2"/>
  <c r="C26" i="2"/>
  <c r="B26" i="2" s="1"/>
  <c r="A27" i="2" l="1"/>
  <c r="N26" i="2"/>
  <c r="O26" i="2" s="1"/>
  <c r="P26" i="2" s="1"/>
  <c r="K26" i="2"/>
  <c r="L26" i="2" s="1"/>
  <c r="M26" i="2" s="1"/>
  <c r="H26" i="2"/>
  <c r="I26" i="2" s="1"/>
  <c r="J26" i="2" s="1"/>
  <c r="E26" i="2"/>
  <c r="F26" i="2" s="1"/>
  <c r="G26" i="2" s="1"/>
  <c r="D26" i="2"/>
  <c r="C27" i="2"/>
  <c r="B27" i="2" s="1"/>
  <c r="A28" i="2" l="1"/>
  <c r="N27" i="2"/>
  <c r="O27" i="2" s="1"/>
  <c r="P27" i="2" s="1"/>
  <c r="K27" i="2"/>
  <c r="L27" i="2" s="1"/>
  <c r="M27" i="2" s="1"/>
  <c r="E27" i="2"/>
  <c r="F27" i="2" s="1"/>
  <c r="G27" i="2" s="1"/>
  <c r="H27" i="2"/>
  <c r="I27" i="2" s="1"/>
  <c r="J27" i="2" s="1"/>
  <c r="D27" i="2"/>
  <c r="C28" i="2"/>
  <c r="B28" i="2" s="1"/>
  <c r="A29" i="2" l="1"/>
  <c r="N28" i="2"/>
  <c r="O28" i="2" s="1"/>
  <c r="P28" i="2" s="1"/>
  <c r="K28" i="2"/>
  <c r="L28" i="2" s="1"/>
  <c r="M28" i="2" s="1"/>
  <c r="H28" i="2"/>
  <c r="I28" i="2" s="1"/>
  <c r="J28" i="2" s="1"/>
  <c r="E28" i="2"/>
  <c r="F28" i="2" s="1"/>
  <c r="G28" i="2" s="1"/>
  <c r="D28" i="2"/>
  <c r="C29" i="2"/>
  <c r="B29" i="2" s="1"/>
  <c r="A30" i="2" l="1"/>
  <c r="N29" i="2"/>
  <c r="O29" i="2" s="1"/>
  <c r="P29" i="2" s="1"/>
  <c r="K29" i="2"/>
  <c r="L29" i="2" s="1"/>
  <c r="M29" i="2" s="1"/>
  <c r="E29" i="2"/>
  <c r="F29" i="2" s="1"/>
  <c r="G29" i="2" s="1"/>
  <c r="H29" i="2"/>
  <c r="I29" i="2" s="1"/>
  <c r="J29" i="2" s="1"/>
  <c r="D29" i="2"/>
  <c r="C30" i="2"/>
  <c r="B30" i="2" s="1"/>
  <c r="A31" i="2" l="1"/>
  <c r="N30" i="2"/>
  <c r="O30" i="2" s="1"/>
  <c r="P30" i="2" s="1"/>
  <c r="K30" i="2"/>
  <c r="L30" i="2" s="1"/>
  <c r="M30" i="2" s="1"/>
  <c r="E30" i="2"/>
  <c r="F30" i="2" s="1"/>
  <c r="G30" i="2" s="1"/>
  <c r="H30" i="2"/>
  <c r="I30" i="2" s="1"/>
  <c r="J30" i="2" s="1"/>
  <c r="C31" i="2"/>
  <c r="B31" i="2" s="1"/>
  <c r="D30" i="2"/>
  <c r="A32" i="2" l="1"/>
  <c r="K31" i="2"/>
  <c r="L31" i="2" s="1"/>
  <c r="M31" i="2" s="1"/>
  <c r="E31" i="2"/>
  <c r="F31" i="2" s="1"/>
  <c r="G31" i="2" s="1"/>
  <c r="N31" i="2"/>
  <c r="O31" i="2" s="1"/>
  <c r="P31" i="2" s="1"/>
  <c r="H31" i="2"/>
  <c r="I31" i="2" s="1"/>
  <c r="J31" i="2" s="1"/>
  <c r="C32" i="2"/>
  <c r="B32" i="2" s="1"/>
  <c r="D31" i="2"/>
  <c r="A33" i="2" l="1"/>
  <c r="N32" i="2"/>
  <c r="O32" i="2" s="1"/>
  <c r="P32" i="2" s="1"/>
  <c r="K32" i="2"/>
  <c r="L32" i="2" s="1"/>
  <c r="M32" i="2" s="1"/>
  <c r="H32" i="2"/>
  <c r="I32" i="2" s="1"/>
  <c r="J32" i="2" s="1"/>
  <c r="E32" i="2"/>
  <c r="F32" i="2" s="1"/>
  <c r="G32" i="2" s="1"/>
  <c r="D32" i="2"/>
  <c r="C33" i="2"/>
  <c r="B33" i="2" s="1"/>
  <c r="A34" i="2" l="1"/>
  <c r="N33" i="2"/>
  <c r="O33" i="2" s="1"/>
  <c r="P33" i="2" s="1"/>
  <c r="K33" i="2"/>
  <c r="L33" i="2" s="1"/>
  <c r="M33" i="2" s="1"/>
  <c r="E33" i="2"/>
  <c r="F33" i="2" s="1"/>
  <c r="G33" i="2" s="1"/>
  <c r="H33" i="2"/>
  <c r="I33" i="2" s="1"/>
  <c r="J33" i="2" s="1"/>
  <c r="C34" i="2"/>
  <c r="B34" i="2" s="1"/>
  <c r="D33" i="2"/>
  <c r="A35" i="2" l="1"/>
  <c r="K34" i="2"/>
  <c r="L34" i="2" s="1"/>
  <c r="M34" i="2" s="1"/>
  <c r="N34" i="2"/>
  <c r="O34" i="2" s="1"/>
  <c r="P34" i="2" s="1"/>
  <c r="H34" i="2"/>
  <c r="I34" i="2" s="1"/>
  <c r="J34" i="2" s="1"/>
  <c r="E34" i="2"/>
  <c r="F34" i="2" s="1"/>
  <c r="G34" i="2" s="1"/>
  <c r="C35" i="2"/>
  <c r="B35" i="2" s="1"/>
  <c r="D34" i="2"/>
  <c r="A36" i="2" l="1"/>
  <c r="N35" i="2"/>
  <c r="O35" i="2" s="1"/>
  <c r="P35" i="2" s="1"/>
  <c r="K35" i="2"/>
  <c r="L35" i="2" s="1"/>
  <c r="M35" i="2" s="1"/>
  <c r="E35" i="2"/>
  <c r="F35" i="2" s="1"/>
  <c r="G35" i="2" s="1"/>
  <c r="H35" i="2"/>
  <c r="I35" i="2" s="1"/>
  <c r="J35" i="2" s="1"/>
  <c r="D35" i="2"/>
  <c r="C36" i="2"/>
  <c r="B36" i="2" s="1"/>
  <c r="A37" i="2" l="1"/>
  <c r="N36" i="2"/>
  <c r="O36" i="2" s="1"/>
  <c r="P36" i="2" s="1"/>
  <c r="E36" i="2"/>
  <c r="F36" i="2" s="1"/>
  <c r="G36" i="2" s="1"/>
  <c r="K36" i="2"/>
  <c r="L36" i="2" s="1"/>
  <c r="M36" i="2" s="1"/>
  <c r="H36" i="2"/>
  <c r="I36" i="2" s="1"/>
  <c r="J36" i="2" s="1"/>
  <c r="D36" i="2"/>
  <c r="C37" i="2"/>
  <c r="B37" i="2" s="1"/>
  <c r="A38" i="2" l="1"/>
  <c r="N37" i="2"/>
  <c r="O37" i="2" s="1"/>
  <c r="P37" i="2" s="1"/>
  <c r="K37" i="2"/>
  <c r="L37" i="2" s="1"/>
  <c r="M37" i="2" s="1"/>
  <c r="E37" i="2"/>
  <c r="F37" i="2" s="1"/>
  <c r="G37" i="2" s="1"/>
  <c r="H37" i="2"/>
  <c r="I37" i="2" s="1"/>
  <c r="J37" i="2" s="1"/>
  <c r="D37" i="2"/>
  <c r="C38" i="2"/>
  <c r="B38" i="2" s="1"/>
  <c r="A39" i="2" l="1"/>
  <c r="K38" i="2"/>
  <c r="L38" i="2" s="1"/>
  <c r="M38" i="2" s="1"/>
  <c r="N38" i="2"/>
  <c r="O38" i="2" s="1"/>
  <c r="P38" i="2" s="1"/>
  <c r="E38" i="2"/>
  <c r="F38" i="2" s="1"/>
  <c r="G38" i="2" s="1"/>
  <c r="H38" i="2"/>
  <c r="I38" i="2" s="1"/>
  <c r="J38" i="2" s="1"/>
  <c r="D38" i="2"/>
  <c r="C39" i="2"/>
  <c r="B39" i="2" s="1"/>
  <c r="A40" i="2" l="1"/>
  <c r="N39" i="2"/>
  <c r="O39" i="2" s="1"/>
  <c r="P39" i="2" s="1"/>
  <c r="K39" i="2"/>
  <c r="L39" i="2" s="1"/>
  <c r="M39" i="2" s="1"/>
  <c r="H39" i="2"/>
  <c r="I39" i="2" s="1"/>
  <c r="J39" i="2" s="1"/>
  <c r="E39" i="2"/>
  <c r="F39" i="2" s="1"/>
  <c r="G39" i="2" s="1"/>
  <c r="D39" i="2"/>
  <c r="C40" i="2"/>
  <c r="B40" i="2" s="1"/>
  <c r="A41" i="2" l="1"/>
  <c r="N40" i="2"/>
  <c r="O40" i="2" s="1"/>
  <c r="P40" i="2" s="1"/>
  <c r="E40" i="2"/>
  <c r="F40" i="2" s="1"/>
  <c r="G40" i="2" s="1"/>
  <c r="K40" i="2"/>
  <c r="L40" i="2" s="1"/>
  <c r="M40" i="2" s="1"/>
  <c r="H40" i="2"/>
  <c r="I40" i="2" s="1"/>
  <c r="J40" i="2" s="1"/>
  <c r="D40" i="2"/>
  <c r="C41" i="2"/>
  <c r="B41" i="2" s="1"/>
  <c r="A42" i="2" l="1"/>
  <c r="N41" i="2"/>
  <c r="O41" i="2" s="1"/>
  <c r="P41" i="2" s="1"/>
  <c r="K41" i="2"/>
  <c r="L41" i="2" s="1"/>
  <c r="M41" i="2" s="1"/>
  <c r="E41" i="2"/>
  <c r="F41" i="2" s="1"/>
  <c r="G41" i="2" s="1"/>
  <c r="H41" i="2"/>
  <c r="I41" i="2" s="1"/>
  <c r="J41" i="2" s="1"/>
  <c r="D41" i="2"/>
  <c r="C42" i="2"/>
  <c r="B42" i="2" s="1"/>
  <c r="A43" i="2" l="1"/>
  <c r="K42" i="2"/>
  <c r="L42" i="2" s="1"/>
  <c r="M42" i="2" s="1"/>
  <c r="N42" i="2"/>
  <c r="O42" i="2" s="1"/>
  <c r="P42" i="2" s="1"/>
  <c r="H42" i="2"/>
  <c r="I42" i="2" s="1"/>
  <c r="J42" i="2" s="1"/>
  <c r="E42" i="2"/>
  <c r="F42" i="2" s="1"/>
  <c r="G42" i="2" s="1"/>
  <c r="D42" i="2"/>
  <c r="C43" i="2"/>
  <c r="B43" i="2" s="1"/>
  <c r="A44" i="2" l="1"/>
  <c r="N43" i="2"/>
  <c r="O43" i="2" s="1"/>
  <c r="P43" i="2" s="1"/>
  <c r="K43" i="2"/>
  <c r="L43" i="2" s="1"/>
  <c r="M43" i="2" s="1"/>
  <c r="E43" i="2"/>
  <c r="F43" i="2" s="1"/>
  <c r="G43" i="2" s="1"/>
  <c r="H43" i="2"/>
  <c r="I43" i="2" s="1"/>
  <c r="J43" i="2" s="1"/>
  <c r="D43" i="2"/>
  <c r="C44" i="2"/>
  <c r="B44" i="2" s="1"/>
  <c r="A45" i="2" l="1"/>
  <c r="K44" i="2"/>
  <c r="L44" i="2" s="1"/>
  <c r="M44" i="2" s="1"/>
  <c r="E44" i="2"/>
  <c r="F44" i="2" s="1"/>
  <c r="G44" i="2" s="1"/>
  <c r="N44" i="2"/>
  <c r="O44" i="2" s="1"/>
  <c r="P44" i="2" s="1"/>
  <c r="H44" i="2"/>
  <c r="I44" i="2" s="1"/>
  <c r="J44" i="2" s="1"/>
  <c r="C45" i="2"/>
  <c r="B45" i="2" s="1"/>
  <c r="D44" i="2"/>
  <c r="A46" i="2" l="1"/>
  <c r="N45" i="2"/>
  <c r="O45" i="2" s="1"/>
  <c r="P45" i="2" s="1"/>
  <c r="K45" i="2"/>
  <c r="L45" i="2" s="1"/>
  <c r="M45" i="2" s="1"/>
  <c r="E45" i="2"/>
  <c r="F45" i="2" s="1"/>
  <c r="G45" i="2" s="1"/>
  <c r="H45" i="2"/>
  <c r="I45" i="2" s="1"/>
  <c r="J45" i="2" s="1"/>
  <c r="C46" i="2"/>
  <c r="B46" i="2" s="1"/>
  <c r="D45" i="2"/>
  <c r="A47" i="2" l="1"/>
  <c r="N46" i="2"/>
  <c r="O46" i="2" s="1"/>
  <c r="P46" i="2" s="1"/>
  <c r="K46" i="2"/>
  <c r="L46" i="2" s="1"/>
  <c r="M46" i="2" s="1"/>
  <c r="E46" i="2"/>
  <c r="F46" i="2" s="1"/>
  <c r="G46" i="2" s="1"/>
  <c r="H46" i="2"/>
  <c r="I46" i="2" s="1"/>
  <c r="J46" i="2" s="1"/>
  <c r="C47" i="2"/>
  <c r="B47" i="2" s="1"/>
  <c r="D46" i="2"/>
  <c r="A48" i="2" l="1"/>
  <c r="N47" i="2"/>
  <c r="O47" i="2" s="1"/>
  <c r="P47" i="2" s="1"/>
  <c r="K47" i="2"/>
  <c r="L47" i="2" s="1"/>
  <c r="M47" i="2" s="1"/>
  <c r="H47" i="2"/>
  <c r="I47" i="2" s="1"/>
  <c r="J47" i="2" s="1"/>
  <c r="E47" i="2"/>
  <c r="F47" i="2" s="1"/>
  <c r="G47" i="2" s="1"/>
  <c r="D47" i="2"/>
  <c r="C48" i="2"/>
  <c r="B48" i="2" s="1"/>
  <c r="A49" i="2" l="1"/>
  <c r="E48" i="2"/>
  <c r="F48" i="2" s="1"/>
  <c r="G48" i="2" s="1"/>
  <c r="K48" i="2"/>
  <c r="L48" i="2" s="1"/>
  <c r="M48" i="2" s="1"/>
  <c r="N48" i="2"/>
  <c r="O48" i="2" s="1"/>
  <c r="P48" i="2" s="1"/>
  <c r="H48" i="2"/>
  <c r="I48" i="2" s="1"/>
  <c r="J48" i="2" s="1"/>
  <c r="C49" i="2"/>
  <c r="B49" i="2" s="1"/>
  <c r="D48" i="2"/>
  <c r="A50" i="2" l="1"/>
  <c r="N49" i="2"/>
  <c r="O49" i="2" s="1"/>
  <c r="P49" i="2" s="1"/>
  <c r="K49" i="2"/>
  <c r="L49" i="2" s="1"/>
  <c r="M49" i="2" s="1"/>
  <c r="E49" i="2"/>
  <c r="F49" i="2" s="1"/>
  <c r="G49" i="2" s="1"/>
  <c r="H49" i="2"/>
  <c r="I49" i="2" s="1"/>
  <c r="J49" i="2" s="1"/>
  <c r="D49" i="2"/>
  <c r="C50" i="2"/>
  <c r="B50" i="2" s="1"/>
  <c r="A51" i="2" l="1"/>
  <c r="N50" i="2"/>
  <c r="O50" i="2" s="1"/>
  <c r="P50" i="2" s="1"/>
  <c r="K50" i="2"/>
  <c r="L50" i="2" s="1"/>
  <c r="M50" i="2" s="1"/>
  <c r="H50" i="2"/>
  <c r="I50" i="2" s="1"/>
  <c r="J50" i="2" s="1"/>
  <c r="E50" i="2"/>
  <c r="F50" i="2" s="1"/>
  <c r="G50" i="2" s="1"/>
  <c r="D50" i="2"/>
  <c r="C51" i="2"/>
  <c r="B51" i="2" s="1"/>
  <c r="A52" i="2" l="1"/>
  <c r="N51" i="2"/>
  <c r="O51" i="2" s="1"/>
  <c r="P51" i="2" s="1"/>
  <c r="K51" i="2"/>
  <c r="L51" i="2" s="1"/>
  <c r="M51" i="2" s="1"/>
  <c r="E51" i="2"/>
  <c r="F51" i="2" s="1"/>
  <c r="G51" i="2" s="1"/>
  <c r="H51" i="2"/>
  <c r="I51" i="2" s="1"/>
  <c r="J51" i="2" s="1"/>
  <c r="D51" i="2"/>
  <c r="C52" i="2"/>
  <c r="B52" i="2" s="1"/>
  <c r="A53" i="2" l="1"/>
  <c r="E52" i="2"/>
  <c r="F52" i="2" s="1"/>
  <c r="G52" i="2" s="1"/>
  <c r="N52" i="2"/>
  <c r="O52" i="2" s="1"/>
  <c r="P52" i="2" s="1"/>
  <c r="K52" i="2"/>
  <c r="L52" i="2" s="1"/>
  <c r="M52" i="2" s="1"/>
  <c r="H52" i="2"/>
  <c r="I52" i="2" s="1"/>
  <c r="J52" i="2" s="1"/>
  <c r="C53" i="2"/>
  <c r="B53" i="2" s="1"/>
  <c r="D52" i="2"/>
  <c r="A54" i="2" l="1"/>
  <c r="N53" i="2"/>
  <c r="O53" i="2" s="1"/>
  <c r="P53" i="2" s="1"/>
  <c r="K53" i="2"/>
  <c r="L53" i="2" s="1"/>
  <c r="M53" i="2" s="1"/>
  <c r="H53" i="2"/>
  <c r="I53" i="2" s="1"/>
  <c r="J53" i="2" s="1"/>
  <c r="E53" i="2"/>
  <c r="F53" i="2" s="1"/>
  <c r="G53" i="2" s="1"/>
  <c r="C54" i="2"/>
  <c r="B54" i="2" s="1"/>
  <c r="D53" i="2"/>
  <c r="A55" i="2" l="1"/>
  <c r="N54" i="2"/>
  <c r="O54" i="2" s="1"/>
  <c r="P54" i="2" s="1"/>
  <c r="K54" i="2"/>
  <c r="L54" i="2" s="1"/>
  <c r="M54" i="2" s="1"/>
  <c r="E54" i="2"/>
  <c r="F54" i="2" s="1"/>
  <c r="G54" i="2" s="1"/>
  <c r="H54" i="2"/>
  <c r="I54" i="2" s="1"/>
  <c r="J54" i="2" s="1"/>
  <c r="D54" i="2"/>
  <c r="C55" i="2"/>
  <c r="B55" i="2" s="1"/>
  <c r="A56" i="2" l="1"/>
  <c r="N55" i="2"/>
  <c r="O55" i="2" s="1"/>
  <c r="P55" i="2" s="1"/>
  <c r="K55" i="2"/>
  <c r="L55" i="2" s="1"/>
  <c r="M55" i="2" s="1"/>
  <c r="H55" i="2"/>
  <c r="I55" i="2" s="1"/>
  <c r="J55" i="2" s="1"/>
  <c r="E55" i="2"/>
  <c r="F55" i="2" s="1"/>
  <c r="G55" i="2" s="1"/>
  <c r="D55" i="2"/>
  <c r="C56" i="2"/>
  <c r="B56" i="2" s="1"/>
  <c r="A57" i="2" l="1"/>
  <c r="N56" i="2"/>
  <c r="O56" i="2" s="1"/>
  <c r="P56" i="2" s="1"/>
  <c r="E56" i="2"/>
  <c r="F56" i="2" s="1"/>
  <c r="G56" i="2" s="1"/>
  <c r="K56" i="2"/>
  <c r="L56" i="2" s="1"/>
  <c r="M56" i="2" s="1"/>
  <c r="H56" i="2"/>
  <c r="I56" i="2" s="1"/>
  <c r="J56" i="2" s="1"/>
  <c r="D56" i="2"/>
  <c r="C57" i="2"/>
  <c r="B57" i="2" s="1"/>
  <c r="A58" i="2" l="1"/>
  <c r="N57" i="2"/>
  <c r="O57" i="2" s="1"/>
  <c r="P57" i="2" s="1"/>
  <c r="K57" i="2"/>
  <c r="L57" i="2" s="1"/>
  <c r="M57" i="2" s="1"/>
  <c r="H57" i="2"/>
  <c r="I57" i="2" s="1"/>
  <c r="J57" i="2" s="1"/>
  <c r="E57" i="2"/>
  <c r="F57" i="2" s="1"/>
  <c r="G57" i="2" s="1"/>
  <c r="D57" i="2"/>
  <c r="C58" i="2"/>
  <c r="B58" i="2" s="1"/>
  <c r="A59" i="2" l="1"/>
  <c r="N58" i="2"/>
  <c r="O58" i="2" s="1"/>
  <c r="P58" i="2" s="1"/>
  <c r="E58" i="2"/>
  <c r="F58" i="2" s="1"/>
  <c r="G58" i="2" s="1"/>
  <c r="K58" i="2"/>
  <c r="L58" i="2" s="1"/>
  <c r="M58" i="2" s="1"/>
  <c r="H58" i="2"/>
  <c r="I58" i="2" s="1"/>
  <c r="J58" i="2" s="1"/>
  <c r="D58" i="2"/>
  <c r="C59" i="2"/>
  <c r="B59" i="2" s="1"/>
  <c r="A60" i="2" l="1"/>
  <c r="N59" i="2"/>
  <c r="O59" i="2" s="1"/>
  <c r="P59" i="2" s="1"/>
  <c r="K59" i="2"/>
  <c r="L59" i="2" s="1"/>
  <c r="M59" i="2" s="1"/>
  <c r="H59" i="2"/>
  <c r="I59" i="2" s="1"/>
  <c r="J59" i="2" s="1"/>
  <c r="E59" i="2"/>
  <c r="F59" i="2" s="1"/>
  <c r="G59" i="2" s="1"/>
  <c r="D59" i="2"/>
  <c r="C60" i="2"/>
  <c r="B60" i="2" s="1"/>
  <c r="A61" i="2" l="1"/>
  <c r="N60" i="2"/>
  <c r="O60" i="2" s="1"/>
  <c r="P60" i="2" s="1"/>
  <c r="E60" i="2"/>
  <c r="F60" i="2" s="1"/>
  <c r="G60" i="2" s="1"/>
  <c r="K60" i="2"/>
  <c r="L60" i="2" s="1"/>
  <c r="M60" i="2" s="1"/>
  <c r="H60" i="2"/>
  <c r="I60" i="2" s="1"/>
  <c r="J60" i="2" s="1"/>
  <c r="D60" i="2"/>
  <c r="C61" i="2"/>
  <c r="B61" i="2" s="1"/>
  <c r="A62" i="2" l="1"/>
  <c r="E61" i="2"/>
  <c r="F61" i="2" s="1"/>
  <c r="G61" i="2" s="1"/>
  <c r="N61" i="2"/>
  <c r="O61" i="2" s="1"/>
  <c r="P61" i="2" s="1"/>
  <c r="K61" i="2"/>
  <c r="L61" i="2" s="1"/>
  <c r="M61" i="2" s="1"/>
  <c r="H61" i="2"/>
  <c r="I61" i="2" s="1"/>
  <c r="J61" i="2" s="1"/>
  <c r="D61" i="2"/>
  <c r="C62" i="2"/>
  <c r="B62" i="2" s="1"/>
  <c r="A63" i="2" l="1"/>
  <c r="N62" i="2"/>
  <c r="O62" i="2" s="1"/>
  <c r="P62" i="2" s="1"/>
  <c r="K62" i="2"/>
  <c r="L62" i="2" s="1"/>
  <c r="M62" i="2" s="1"/>
  <c r="E62" i="2"/>
  <c r="F62" i="2" s="1"/>
  <c r="G62" i="2" s="1"/>
  <c r="H62" i="2"/>
  <c r="I62" i="2" s="1"/>
  <c r="J62" i="2" s="1"/>
  <c r="D62" i="2"/>
  <c r="C63" i="2"/>
  <c r="B63" i="2" s="1"/>
  <c r="A64" i="2" l="1"/>
  <c r="N63" i="2"/>
  <c r="O63" i="2" s="1"/>
  <c r="P63" i="2" s="1"/>
  <c r="E63" i="2"/>
  <c r="F63" i="2" s="1"/>
  <c r="G63" i="2" s="1"/>
  <c r="K63" i="2"/>
  <c r="L63" i="2" s="1"/>
  <c r="M63" i="2" s="1"/>
  <c r="H63" i="2"/>
  <c r="I63" i="2" s="1"/>
  <c r="J63" i="2" s="1"/>
  <c r="D63" i="2"/>
  <c r="C64" i="2"/>
  <c r="B64" i="2" s="1"/>
  <c r="A65" i="2" l="1"/>
  <c r="N64" i="2"/>
  <c r="O64" i="2" s="1"/>
  <c r="P64" i="2" s="1"/>
  <c r="K64" i="2"/>
  <c r="L64" i="2" s="1"/>
  <c r="M64" i="2" s="1"/>
  <c r="H64" i="2"/>
  <c r="I64" i="2" s="1"/>
  <c r="J64" i="2" s="1"/>
  <c r="E64" i="2"/>
  <c r="F64" i="2" s="1"/>
  <c r="G64" i="2" s="1"/>
  <c r="D64" i="2"/>
  <c r="C65" i="2"/>
  <c r="B65" i="2" s="1"/>
  <c r="A66" i="2" l="1"/>
  <c r="N65" i="2"/>
  <c r="O65" i="2" s="1"/>
  <c r="P65" i="2" s="1"/>
  <c r="E65" i="2"/>
  <c r="F65" i="2" s="1"/>
  <c r="G65" i="2" s="1"/>
  <c r="K65" i="2"/>
  <c r="L65" i="2" s="1"/>
  <c r="M65" i="2" s="1"/>
  <c r="H65" i="2"/>
  <c r="I65" i="2" s="1"/>
  <c r="J65" i="2" s="1"/>
  <c r="D65" i="2"/>
  <c r="C66" i="2"/>
  <c r="B66" i="2" s="1"/>
  <c r="A67" i="2" l="1"/>
  <c r="N66" i="2"/>
  <c r="O66" i="2" s="1"/>
  <c r="P66" i="2" s="1"/>
  <c r="K66" i="2"/>
  <c r="L66" i="2" s="1"/>
  <c r="M66" i="2" s="1"/>
  <c r="E66" i="2"/>
  <c r="F66" i="2" s="1"/>
  <c r="G66" i="2" s="1"/>
  <c r="H66" i="2"/>
  <c r="I66" i="2" s="1"/>
  <c r="J66" i="2" s="1"/>
  <c r="D66" i="2"/>
  <c r="C67" i="2"/>
  <c r="B67" i="2" s="1"/>
  <c r="A68" i="2" l="1"/>
  <c r="N67" i="2"/>
  <c r="O67" i="2" s="1"/>
  <c r="P67" i="2" s="1"/>
  <c r="K67" i="2"/>
  <c r="L67" i="2" s="1"/>
  <c r="M67" i="2" s="1"/>
  <c r="H67" i="2"/>
  <c r="I67" i="2" s="1"/>
  <c r="J67" i="2" s="1"/>
  <c r="E67" i="2"/>
  <c r="F67" i="2" s="1"/>
  <c r="G67" i="2" s="1"/>
  <c r="D67" i="2"/>
  <c r="C68" i="2"/>
  <c r="B68" i="2" s="1"/>
  <c r="A69" i="2" l="1"/>
  <c r="N68" i="2"/>
  <c r="O68" i="2" s="1"/>
  <c r="P68" i="2" s="1"/>
  <c r="E68" i="2"/>
  <c r="F68" i="2" s="1"/>
  <c r="G68" i="2" s="1"/>
  <c r="K68" i="2"/>
  <c r="L68" i="2" s="1"/>
  <c r="M68" i="2" s="1"/>
  <c r="H68" i="2"/>
  <c r="I68" i="2" s="1"/>
  <c r="J68" i="2" s="1"/>
  <c r="D68" i="2"/>
  <c r="C69" i="2"/>
  <c r="B69" i="2" s="1"/>
  <c r="A70" i="2" l="1"/>
  <c r="E69" i="2"/>
  <c r="F69" i="2" s="1"/>
  <c r="G69" i="2" s="1"/>
  <c r="N69" i="2"/>
  <c r="O69" i="2" s="1"/>
  <c r="P69" i="2" s="1"/>
  <c r="K69" i="2"/>
  <c r="L69" i="2" s="1"/>
  <c r="M69" i="2" s="1"/>
  <c r="H69" i="2"/>
  <c r="I69" i="2" s="1"/>
  <c r="J69" i="2" s="1"/>
  <c r="D69" i="2"/>
  <c r="C70" i="2"/>
  <c r="B70" i="2" s="1"/>
  <c r="A71" i="2" l="1"/>
  <c r="N70" i="2"/>
  <c r="O70" i="2" s="1"/>
  <c r="P70" i="2" s="1"/>
  <c r="K70" i="2"/>
  <c r="L70" i="2" s="1"/>
  <c r="M70" i="2" s="1"/>
  <c r="E70" i="2"/>
  <c r="F70" i="2" s="1"/>
  <c r="G70" i="2" s="1"/>
  <c r="H70" i="2"/>
  <c r="I70" i="2" s="1"/>
  <c r="J70" i="2" s="1"/>
  <c r="D70" i="2"/>
  <c r="C71" i="2"/>
  <c r="B71" i="2" s="1"/>
  <c r="A72" i="2" l="1"/>
  <c r="N71" i="2"/>
  <c r="O71" i="2" s="1"/>
  <c r="P71" i="2" s="1"/>
  <c r="E71" i="2"/>
  <c r="F71" i="2" s="1"/>
  <c r="G71" i="2" s="1"/>
  <c r="K71" i="2"/>
  <c r="L71" i="2" s="1"/>
  <c r="M71" i="2" s="1"/>
  <c r="H71" i="2"/>
  <c r="I71" i="2" s="1"/>
  <c r="J71" i="2" s="1"/>
  <c r="D71" i="2"/>
  <c r="C72" i="2"/>
  <c r="B72" i="2" s="1"/>
  <c r="A73" i="2" l="1"/>
  <c r="N72" i="2"/>
  <c r="O72" i="2" s="1"/>
  <c r="P72" i="2" s="1"/>
  <c r="K72" i="2"/>
  <c r="L72" i="2" s="1"/>
  <c r="M72" i="2" s="1"/>
  <c r="H72" i="2"/>
  <c r="I72" i="2" s="1"/>
  <c r="J72" i="2" s="1"/>
  <c r="E72" i="2"/>
  <c r="F72" i="2" s="1"/>
  <c r="G72" i="2" s="1"/>
  <c r="D72" i="2"/>
  <c r="C73" i="2"/>
  <c r="B73" i="2" s="1"/>
  <c r="A74" i="2" l="1"/>
  <c r="E73" i="2"/>
  <c r="F73" i="2" s="1"/>
  <c r="G73" i="2" s="1"/>
  <c r="N73" i="2"/>
  <c r="O73" i="2" s="1"/>
  <c r="P73" i="2" s="1"/>
  <c r="K73" i="2"/>
  <c r="L73" i="2" s="1"/>
  <c r="M73" i="2" s="1"/>
  <c r="H73" i="2"/>
  <c r="I73" i="2" s="1"/>
  <c r="J73" i="2" s="1"/>
  <c r="D73" i="2"/>
  <c r="C74" i="2"/>
  <c r="B74" i="2" s="1"/>
  <c r="A75" i="2" l="1"/>
  <c r="N74" i="2"/>
  <c r="O74" i="2" s="1"/>
  <c r="P74" i="2" s="1"/>
  <c r="K74" i="2"/>
  <c r="L74" i="2" s="1"/>
  <c r="M74" i="2" s="1"/>
  <c r="E74" i="2"/>
  <c r="F74" i="2" s="1"/>
  <c r="G74" i="2" s="1"/>
  <c r="H74" i="2"/>
  <c r="I74" i="2" s="1"/>
  <c r="J74" i="2" s="1"/>
  <c r="D74" i="2"/>
  <c r="C75" i="2"/>
  <c r="B75" i="2" s="1"/>
  <c r="A76" i="2" l="1"/>
  <c r="N75" i="2"/>
  <c r="O75" i="2" s="1"/>
  <c r="P75" i="2" s="1"/>
  <c r="E75" i="2"/>
  <c r="F75" i="2" s="1"/>
  <c r="G75" i="2" s="1"/>
  <c r="K75" i="2"/>
  <c r="L75" i="2" s="1"/>
  <c r="M75" i="2" s="1"/>
  <c r="H75" i="2"/>
  <c r="I75" i="2" s="1"/>
  <c r="J75" i="2" s="1"/>
  <c r="D75" i="2"/>
  <c r="C76" i="2"/>
  <c r="B76" i="2" s="1"/>
  <c r="A77" i="2" l="1"/>
  <c r="E76" i="2"/>
  <c r="F76" i="2" s="1"/>
  <c r="G76" i="2" s="1"/>
  <c r="N76" i="2"/>
  <c r="O76" i="2" s="1"/>
  <c r="P76" i="2" s="1"/>
  <c r="K76" i="2"/>
  <c r="L76" i="2" s="1"/>
  <c r="M76" i="2" s="1"/>
  <c r="H76" i="2"/>
  <c r="I76" i="2" s="1"/>
  <c r="J76" i="2" s="1"/>
  <c r="D76" i="2"/>
  <c r="C77" i="2"/>
  <c r="B77" i="2" s="1"/>
  <c r="A78" i="2" l="1"/>
  <c r="N77" i="2"/>
  <c r="O77" i="2" s="1"/>
  <c r="P77" i="2" s="1"/>
  <c r="K77" i="2"/>
  <c r="L77" i="2" s="1"/>
  <c r="M77" i="2" s="1"/>
  <c r="H77" i="2"/>
  <c r="I77" i="2" s="1"/>
  <c r="J77" i="2" s="1"/>
  <c r="E77" i="2"/>
  <c r="F77" i="2" s="1"/>
  <c r="G77" i="2" s="1"/>
  <c r="D77" i="2"/>
  <c r="C78" i="2"/>
  <c r="B78" i="2" s="1"/>
  <c r="A79" i="2" l="1"/>
  <c r="N78" i="2"/>
  <c r="O78" i="2" s="1"/>
  <c r="P78" i="2" s="1"/>
  <c r="E78" i="2"/>
  <c r="F78" i="2" s="1"/>
  <c r="G78" i="2" s="1"/>
  <c r="K78" i="2"/>
  <c r="L78" i="2" s="1"/>
  <c r="M78" i="2" s="1"/>
  <c r="H78" i="2"/>
  <c r="I78" i="2" s="1"/>
  <c r="J78" i="2" s="1"/>
  <c r="C79" i="2"/>
  <c r="B79" i="2" s="1"/>
  <c r="D78" i="2"/>
  <c r="A80" i="2" l="1"/>
  <c r="N79" i="2"/>
  <c r="O79" i="2" s="1"/>
  <c r="P79" i="2" s="1"/>
  <c r="K79" i="2"/>
  <c r="L79" i="2" s="1"/>
  <c r="M79" i="2" s="1"/>
  <c r="E79" i="2"/>
  <c r="F79" i="2" s="1"/>
  <c r="G79" i="2" s="1"/>
  <c r="H79" i="2"/>
  <c r="I79" i="2" s="1"/>
  <c r="J79" i="2" s="1"/>
  <c r="C80" i="2"/>
  <c r="B80" i="2" s="1"/>
  <c r="D79" i="2"/>
  <c r="A81" i="2" l="1"/>
  <c r="E80" i="2"/>
  <c r="F80" i="2" s="1"/>
  <c r="G80" i="2" s="1"/>
  <c r="N80" i="2"/>
  <c r="O80" i="2" s="1"/>
  <c r="P80" i="2" s="1"/>
  <c r="K80" i="2"/>
  <c r="L80" i="2" s="1"/>
  <c r="M80" i="2" s="1"/>
  <c r="H80" i="2"/>
  <c r="I80" i="2" s="1"/>
  <c r="J80" i="2" s="1"/>
  <c r="C81" i="2"/>
  <c r="B81" i="2" s="1"/>
  <c r="D80" i="2"/>
  <c r="A82" i="2" l="1"/>
  <c r="N81" i="2"/>
  <c r="O81" i="2" s="1"/>
  <c r="P81" i="2" s="1"/>
  <c r="E81" i="2"/>
  <c r="F81" i="2" s="1"/>
  <c r="G81" i="2" s="1"/>
  <c r="K81" i="2"/>
  <c r="L81" i="2" s="1"/>
  <c r="M81" i="2" s="1"/>
  <c r="H81" i="2"/>
  <c r="I81" i="2" s="1"/>
  <c r="J81" i="2" s="1"/>
  <c r="C82" i="2"/>
  <c r="B82" i="2" s="1"/>
  <c r="D81" i="2"/>
  <c r="A83" i="2" l="1"/>
  <c r="N82" i="2"/>
  <c r="O82" i="2" s="1"/>
  <c r="P82" i="2" s="1"/>
  <c r="K82" i="2"/>
  <c r="L82" i="2" s="1"/>
  <c r="M82" i="2" s="1"/>
  <c r="H82" i="2"/>
  <c r="I82" i="2" s="1"/>
  <c r="J82" i="2" s="1"/>
  <c r="E82" i="2"/>
  <c r="F82" i="2" s="1"/>
  <c r="G82" i="2" s="1"/>
  <c r="D82" i="2"/>
  <c r="C83" i="2"/>
  <c r="B83" i="2" s="1"/>
  <c r="A84" i="2" l="1"/>
  <c r="N83" i="2"/>
  <c r="O83" i="2" s="1"/>
  <c r="P83" i="2" s="1"/>
  <c r="K83" i="2"/>
  <c r="L83" i="2" s="1"/>
  <c r="M83" i="2" s="1"/>
  <c r="E83" i="2"/>
  <c r="F83" i="2" s="1"/>
  <c r="G83" i="2" s="1"/>
  <c r="H83" i="2"/>
  <c r="I83" i="2" s="1"/>
  <c r="J83" i="2" s="1"/>
  <c r="C84" i="2"/>
  <c r="B84" i="2" s="1"/>
  <c r="D83" i="2"/>
  <c r="A85" i="2" l="1"/>
  <c r="E84" i="2"/>
  <c r="F84" i="2" s="1"/>
  <c r="G84" i="2" s="1"/>
  <c r="N84" i="2"/>
  <c r="O84" i="2" s="1"/>
  <c r="P84" i="2" s="1"/>
  <c r="K84" i="2"/>
  <c r="L84" i="2" s="1"/>
  <c r="M84" i="2" s="1"/>
  <c r="H84" i="2"/>
  <c r="I84" i="2" s="1"/>
  <c r="J84" i="2" s="1"/>
  <c r="D84" i="2"/>
  <c r="C85" i="2"/>
  <c r="B85" i="2" s="1"/>
  <c r="A86" i="2" l="1"/>
  <c r="N85" i="2"/>
  <c r="O85" i="2" s="1"/>
  <c r="P85" i="2" s="1"/>
  <c r="K85" i="2"/>
  <c r="L85" i="2" s="1"/>
  <c r="M85" i="2" s="1"/>
  <c r="H85" i="2"/>
  <c r="I85" i="2" s="1"/>
  <c r="J85" i="2" s="1"/>
  <c r="E85" i="2"/>
  <c r="F85" i="2" s="1"/>
  <c r="G85" i="2" s="1"/>
  <c r="D85" i="2"/>
  <c r="C86" i="2"/>
  <c r="B86" i="2" s="1"/>
  <c r="A87" i="2" l="1"/>
  <c r="N86" i="2"/>
  <c r="O86" i="2" s="1"/>
  <c r="P86" i="2" s="1"/>
  <c r="E86" i="2"/>
  <c r="F86" i="2" s="1"/>
  <c r="G86" i="2" s="1"/>
  <c r="K86" i="2"/>
  <c r="L86" i="2" s="1"/>
  <c r="M86" i="2" s="1"/>
  <c r="H86" i="2"/>
  <c r="I86" i="2" s="1"/>
  <c r="J86" i="2" s="1"/>
  <c r="D86" i="2"/>
  <c r="C87" i="2"/>
  <c r="B87" i="2" s="1"/>
  <c r="A88" i="2" l="1"/>
  <c r="N87" i="2"/>
  <c r="O87" i="2" s="1"/>
  <c r="P87" i="2" s="1"/>
  <c r="K87" i="2"/>
  <c r="L87" i="2" s="1"/>
  <c r="M87" i="2" s="1"/>
  <c r="E87" i="2"/>
  <c r="F87" i="2" s="1"/>
  <c r="G87" i="2" s="1"/>
  <c r="H87" i="2"/>
  <c r="I87" i="2" s="1"/>
  <c r="J87" i="2" s="1"/>
  <c r="D87" i="2"/>
  <c r="C88" i="2"/>
  <c r="B88" i="2" s="1"/>
  <c r="A89" i="2" l="1"/>
  <c r="N88" i="2"/>
  <c r="O88" i="2" s="1"/>
  <c r="P88" i="2" s="1"/>
  <c r="K88" i="2"/>
  <c r="L88" i="2" s="1"/>
  <c r="M88" i="2" s="1"/>
  <c r="H88" i="2"/>
  <c r="I88" i="2" s="1"/>
  <c r="J88" i="2" s="1"/>
  <c r="E88" i="2"/>
  <c r="F88" i="2" s="1"/>
  <c r="G88" i="2" s="1"/>
  <c r="D88" i="2"/>
  <c r="C89" i="2"/>
  <c r="B89" i="2" s="1"/>
  <c r="A90" i="2" l="1"/>
  <c r="N89" i="2"/>
  <c r="O89" i="2" s="1"/>
  <c r="P89" i="2" s="1"/>
  <c r="E89" i="2"/>
  <c r="F89" i="2" s="1"/>
  <c r="G89" i="2" s="1"/>
  <c r="K89" i="2"/>
  <c r="L89" i="2" s="1"/>
  <c r="M89" i="2" s="1"/>
  <c r="H89" i="2"/>
  <c r="I89" i="2" s="1"/>
  <c r="J89" i="2" s="1"/>
  <c r="D89" i="2"/>
  <c r="C90" i="2"/>
  <c r="B90" i="2" s="1"/>
  <c r="A91" i="2" l="1"/>
  <c r="E90" i="2"/>
  <c r="F90" i="2" s="1"/>
  <c r="G90" i="2" s="1"/>
  <c r="N90" i="2"/>
  <c r="O90" i="2" s="1"/>
  <c r="P90" i="2" s="1"/>
  <c r="K90" i="2"/>
  <c r="L90" i="2" s="1"/>
  <c r="M90" i="2" s="1"/>
  <c r="H90" i="2"/>
  <c r="I90" i="2" s="1"/>
  <c r="J90" i="2" s="1"/>
  <c r="D90" i="2"/>
  <c r="C91" i="2"/>
  <c r="B91" i="2" s="1"/>
  <c r="A92" i="2" l="1"/>
  <c r="N91" i="2"/>
  <c r="O91" i="2" s="1"/>
  <c r="P91" i="2" s="1"/>
  <c r="K91" i="2"/>
  <c r="L91" i="2" s="1"/>
  <c r="M91" i="2" s="1"/>
  <c r="E91" i="2"/>
  <c r="F91" i="2" s="1"/>
  <c r="G91" i="2" s="1"/>
  <c r="H91" i="2"/>
  <c r="I91" i="2" s="1"/>
  <c r="J91" i="2" s="1"/>
  <c r="D91" i="2"/>
  <c r="C92" i="2"/>
  <c r="B92" i="2" s="1"/>
  <c r="A93" i="2" l="1"/>
  <c r="N92" i="2"/>
  <c r="O92" i="2" s="1"/>
  <c r="P92" i="2" s="1"/>
  <c r="E92" i="2"/>
  <c r="F92" i="2" s="1"/>
  <c r="G92" i="2" s="1"/>
  <c r="K92" i="2"/>
  <c r="L92" i="2" s="1"/>
  <c r="M92" i="2" s="1"/>
  <c r="H92" i="2"/>
  <c r="I92" i="2" s="1"/>
  <c r="J92" i="2" s="1"/>
  <c r="D92" i="2"/>
  <c r="C93" i="2"/>
  <c r="B93" i="2" s="1"/>
  <c r="A94" i="2" l="1"/>
  <c r="N93" i="2"/>
  <c r="O93" i="2" s="1"/>
  <c r="P93" i="2" s="1"/>
  <c r="K93" i="2"/>
  <c r="L93" i="2" s="1"/>
  <c r="M93" i="2" s="1"/>
  <c r="H93" i="2"/>
  <c r="I93" i="2" s="1"/>
  <c r="J93" i="2" s="1"/>
  <c r="E93" i="2"/>
  <c r="F93" i="2" s="1"/>
  <c r="G93" i="2" s="1"/>
  <c r="D93" i="2"/>
  <c r="C94" i="2"/>
  <c r="B94" i="2" s="1"/>
  <c r="A95" i="2" l="1"/>
  <c r="N94" i="2"/>
  <c r="O94" i="2" s="1"/>
  <c r="P94" i="2" s="1"/>
  <c r="K94" i="2"/>
  <c r="L94" i="2" s="1"/>
  <c r="M94" i="2" s="1"/>
  <c r="E94" i="2"/>
  <c r="F94" i="2" s="1"/>
  <c r="G94" i="2" s="1"/>
  <c r="H94" i="2"/>
  <c r="I94" i="2" s="1"/>
  <c r="J94" i="2" s="1"/>
  <c r="C95" i="2"/>
  <c r="D94" i="2"/>
  <c r="A96" i="2" l="1"/>
  <c r="E95" i="2"/>
  <c r="F95" i="2" s="1"/>
  <c r="G95" i="2" s="1"/>
  <c r="N95" i="2"/>
  <c r="O95" i="2" s="1"/>
  <c r="P95" i="2" s="1"/>
  <c r="K95" i="2"/>
  <c r="L95" i="2" s="1"/>
  <c r="M95" i="2" s="1"/>
  <c r="H95" i="2"/>
  <c r="I95" i="2" s="1"/>
  <c r="J95" i="2" s="1"/>
  <c r="D95" i="2"/>
  <c r="C96" i="2"/>
  <c r="A97" i="2" l="1"/>
  <c r="N96" i="2"/>
  <c r="O96" i="2" s="1"/>
  <c r="P96" i="2" s="1"/>
  <c r="E96" i="2"/>
  <c r="F96" i="2" s="1"/>
  <c r="G96" i="2" s="1"/>
  <c r="K96" i="2"/>
  <c r="L96" i="2" s="1"/>
  <c r="M96" i="2" s="1"/>
  <c r="H96" i="2"/>
  <c r="I96" i="2" s="1"/>
  <c r="J96" i="2" s="1"/>
  <c r="D96" i="2"/>
  <c r="C97" i="2"/>
  <c r="A98" i="2" l="1"/>
  <c r="N97" i="2"/>
  <c r="O97" i="2" s="1"/>
  <c r="P97" i="2" s="1"/>
  <c r="K97" i="2"/>
  <c r="L97" i="2" s="1"/>
  <c r="M97" i="2" s="1"/>
  <c r="H97" i="2"/>
  <c r="I97" i="2" s="1"/>
  <c r="J97" i="2" s="1"/>
  <c r="E97" i="2"/>
  <c r="F97" i="2" s="1"/>
  <c r="G97" i="2" s="1"/>
  <c r="D97" i="2"/>
  <c r="C98" i="2"/>
  <c r="A99" i="2" l="1"/>
  <c r="N98" i="2"/>
  <c r="O98" i="2" s="1"/>
  <c r="P98" i="2" s="1"/>
  <c r="K98" i="2"/>
  <c r="L98" i="2" s="1"/>
  <c r="M98" i="2" s="1"/>
  <c r="E98" i="2"/>
  <c r="F98" i="2" s="1"/>
  <c r="G98" i="2" s="1"/>
  <c r="H98" i="2"/>
  <c r="I98" i="2" s="1"/>
  <c r="J98" i="2" s="1"/>
  <c r="D98" i="2"/>
  <c r="C99" i="2"/>
  <c r="A100" i="2" l="1"/>
  <c r="N99" i="2"/>
  <c r="O99" i="2" s="1"/>
  <c r="P99" i="2" s="1"/>
  <c r="K99" i="2"/>
  <c r="L99" i="2" s="1"/>
  <c r="M99" i="2" s="1"/>
  <c r="H99" i="2"/>
  <c r="I99" i="2" s="1"/>
  <c r="J99" i="2" s="1"/>
  <c r="E99" i="2"/>
  <c r="F99" i="2" s="1"/>
  <c r="G99" i="2" s="1"/>
  <c r="D99" i="2"/>
  <c r="C100" i="2"/>
  <c r="A101" i="2" l="1"/>
  <c r="E100" i="2"/>
  <c r="F100" i="2" s="1"/>
  <c r="G100" i="2" s="1"/>
  <c r="N100" i="2"/>
  <c r="O100" i="2" s="1"/>
  <c r="P100" i="2" s="1"/>
  <c r="K100" i="2"/>
  <c r="L100" i="2" s="1"/>
  <c r="M100" i="2" s="1"/>
  <c r="H100" i="2"/>
  <c r="I100" i="2" s="1"/>
  <c r="J100" i="2" s="1"/>
  <c r="D100" i="2"/>
  <c r="C101" i="2"/>
  <c r="A102" i="2" l="1"/>
  <c r="N101" i="2"/>
  <c r="O101" i="2" s="1"/>
  <c r="P101" i="2" s="1"/>
  <c r="E101" i="2"/>
  <c r="F101" i="2" s="1"/>
  <c r="G101" i="2" s="1"/>
  <c r="K101" i="2"/>
  <c r="L101" i="2" s="1"/>
  <c r="M101" i="2" s="1"/>
  <c r="H101" i="2"/>
  <c r="I101" i="2" s="1"/>
  <c r="J101" i="2" s="1"/>
  <c r="D101" i="2"/>
  <c r="C102" i="2"/>
  <c r="A103" i="2" l="1"/>
  <c r="N102" i="2"/>
  <c r="O102" i="2" s="1"/>
  <c r="P102" i="2" s="1"/>
  <c r="K102" i="2"/>
  <c r="L102" i="2" s="1"/>
  <c r="M102" i="2" s="1"/>
  <c r="E102" i="2"/>
  <c r="F102" i="2" s="1"/>
  <c r="G102" i="2" s="1"/>
  <c r="H102" i="2"/>
  <c r="I102" i="2" s="1"/>
  <c r="J102" i="2" s="1"/>
  <c r="D102" i="2"/>
  <c r="C103" i="2"/>
  <c r="A104" i="2" l="1"/>
  <c r="N103" i="2"/>
  <c r="O103" i="2" s="1"/>
  <c r="P103" i="2" s="1"/>
  <c r="E103" i="2"/>
  <c r="F103" i="2" s="1"/>
  <c r="G103" i="2" s="1"/>
  <c r="K103" i="2"/>
  <c r="L103" i="2" s="1"/>
  <c r="M103" i="2" s="1"/>
  <c r="H103" i="2"/>
  <c r="I103" i="2" s="1"/>
  <c r="J103" i="2" s="1"/>
  <c r="D103" i="2"/>
  <c r="C104" i="2"/>
  <c r="A105" i="2" l="1"/>
  <c r="N104" i="2"/>
  <c r="O104" i="2" s="1"/>
  <c r="P104" i="2" s="1"/>
  <c r="K104" i="2"/>
  <c r="L104" i="2" s="1"/>
  <c r="M104" i="2" s="1"/>
  <c r="H104" i="2"/>
  <c r="I104" i="2" s="1"/>
  <c r="J104" i="2" s="1"/>
  <c r="E104" i="2"/>
  <c r="F104" i="2" s="1"/>
  <c r="G104" i="2" s="1"/>
  <c r="C105" i="2"/>
  <c r="D104" i="2"/>
  <c r="A106" i="2" l="1"/>
  <c r="N105" i="2"/>
  <c r="O105" i="2" s="1"/>
  <c r="P105" i="2" s="1"/>
  <c r="E105" i="2"/>
  <c r="F105" i="2" s="1"/>
  <c r="G105" i="2" s="1"/>
  <c r="K105" i="2"/>
  <c r="L105" i="2" s="1"/>
  <c r="M105" i="2" s="1"/>
  <c r="H105" i="2"/>
  <c r="I105" i="2" s="1"/>
  <c r="J105" i="2" s="1"/>
  <c r="D105" i="2"/>
  <c r="C106" i="2"/>
  <c r="A107" i="2" l="1"/>
  <c r="N106" i="2"/>
  <c r="O106" i="2" s="1"/>
  <c r="P106" i="2" s="1"/>
  <c r="K106" i="2"/>
  <c r="L106" i="2" s="1"/>
  <c r="M106" i="2" s="1"/>
  <c r="H106" i="2"/>
  <c r="I106" i="2" s="1"/>
  <c r="J106" i="2" s="1"/>
  <c r="E106" i="2"/>
  <c r="F106" i="2" s="1"/>
  <c r="G106" i="2" s="1"/>
  <c r="C107" i="2"/>
  <c r="D106" i="2"/>
  <c r="A108" i="2" l="1"/>
  <c r="H107" i="2"/>
  <c r="I107" i="2" s="1"/>
  <c r="J107" i="2" s="1"/>
  <c r="N107" i="2"/>
  <c r="O107" i="2" s="1"/>
  <c r="P107" i="2" s="1"/>
  <c r="K107" i="2"/>
  <c r="L107" i="2" s="1"/>
  <c r="M107" i="2" s="1"/>
  <c r="E107" i="2"/>
  <c r="F107" i="2" s="1"/>
  <c r="G107" i="2" s="1"/>
  <c r="C108" i="2"/>
  <c r="D107" i="2"/>
  <c r="A109" i="2" l="1"/>
  <c r="N108" i="2"/>
  <c r="O108" i="2" s="1"/>
  <c r="P108" i="2" s="1"/>
  <c r="E108" i="2"/>
  <c r="F108" i="2" s="1"/>
  <c r="G108" i="2" s="1"/>
  <c r="K108" i="2"/>
  <c r="L108" i="2" s="1"/>
  <c r="M108" i="2" s="1"/>
  <c r="H108" i="2"/>
  <c r="I108" i="2" s="1"/>
  <c r="J108" i="2" s="1"/>
  <c r="D108" i="2"/>
  <c r="C109" i="2"/>
  <c r="A110" i="2" l="1"/>
  <c r="N109" i="2"/>
  <c r="O109" i="2" s="1"/>
  <c r="P109" i="2" s="1"/>
  <c r="E109" i="2"/>
  <c r="F109" i="2" s="1"/>
  <c r="G109" i="2" s="1"/>
  <c r="H109" i="2"/>
  <c r="I109" i="2" s="1"/>
  <c r="J109" i="2" s="1"/>
  <c r="K109" i="2"/>
  <c r="L109" i="2" s="1"/>
  <c r="M109" i="2" s="1"/>
  <c r="D109" i="2"/>
  <c r="C110" i="2"/>
  <c r="A111" i="2" l="1"/>
  <c r="N110" i="2"/>
  <c r="O110" i="2" s="1"/>
  <c r="P110" i="2" s="1"/>
  <c r="K110" i="2"/>
  <c r="L110" i="2" s="1"/>
  <c r="M110" i="2" s="1"/>
  <c r="H110" i="2"/>
  <c r="I110" i="2" s="1"/>
  <c r="J110" i="2" s="1"/>
  <c r="E110" i="2"/>
  <c r="F110" i="2" s="1"/>
  <c r="G110" i="2" s="1"/>
  <c r="D110" i="2"/>
  <c r="C111" i="2"/>
  <c r="A112" i="2" l="1"/>
  <c r="N111" i="2"/>
  <c r="O111" i="2" s="1"/>
  <c r="P111" i="2" s="1"/>
  <c r="H111" i="2"/>
  <c r="I111" i="2" s="1"/>
  <c r="J111" i="2" s="1"/>
  <c r="E111" i="2"/>
  <c r="F111" i="2" s="1"/>
  <c r="G111" i="2" s="1"/>
  <c r="K111" i="2"/>
  <c r="L111" i="2" s="1"/>
  <c r="M111" i="2" s="1"/>
  <c r="C112" i="2"/>
  <c r="D111" i="2"/>
  <c r="A113" i="2" l="1"/>
  <c r="H112" i="2"/>
  <c r="I112" i="2" s="1"/>
  <c r="J112" i="2" s="1"/>
  <c r="N112" i="2"/>
  <c r="O112" i="2" s="1"/>
  <c r="P112" i="2" s="1"/>
  <c r="K112" i="2"/>
  <c r="L112" i="2" s="1"/>
  <c r="M112" i="2" s="1"/>
  <c r="E112" i="2"/>
  <c r="F112" i="2" s="1"/>
  <c r="G112" i="2" s="1"/>
  <c r="C113" i="2"/>
  <c r="D112" i="2"/>
  <c r="A114" i="2" l="1"/>
  <c r="N113" i="2"/>
  <c r="O113" i="2" s="1"/>
  <c r="P113" i="2" s="1"/>
  <c r="E113" i="2"/>
  <c r="F113" i="2" s="1"/>
  <c r="G113" i="2" s="1"/>
  <c r="H113" i="2"/>
  <c r="I113" i="2" s="1"/>
  <c r="J113" i="2" s="1"/>
  <c r="K113" i="2"/>
  <c r="L113" i="2" s="1"/>
  <c r="M113" i="2" s="1"/>
  <c r="D113" i="2"/>
  <c r="C114" i="2"/>
  <c r="A115" i="2" l="1"/>
  <c r="N114" i="2"/>
  <c r="O114" i="2" s="1"/>
  <c r="P114" i="2" s="1"/>
  <c r="K114" i="2"/>
  <c r="L114" i="2" s="1"/>
  <c r="M114" i="2" s="1"/>
  <c r="E114" i="2"/>
  <c r="F114" i="2" s="1"/>
  <c r="G114" i="2" s="1"/>
  <c r="H114" i="2"/>
  <c r="I114" i="2" s="1"/>
  <c r="J114" i="2" s="1"/>
  <c r="C115" i="2"/>
  <c r="D114" i="2"/>
  <c r="A116" i="2" l="1"/>
  <c r="N115" i="2"/>
  <c r="O115" i="2" s="1"/>
  <c r="P115" i="2" s="1"/>
  <c r="K115" i="2"/>
  <c r="L115" i="2" s="1"/>
  <c r="M115" i="2" s="1"/>
  <c r="H115" i="2"/>
  <c r="I115" i="2" s="1"/>
  <c r="J115" i="2" s="1"/>
  <c r="E115" i="2"/>
  <c r="F115" i="2" s="1"/>
  <c r="G115" i="2" s="1"/>
  <c r="C116" i="2"/>
  <c r="D115" i="2"/>
  <c r="A117" i="2" l="1"/>
  <c r="N116" i="2"/>
  <c r="O116" i="2" s="1"/>
  <c r="P116" i="2" s="1"/>
  <c r="E116" i="2"/>
  <c r="F116" i="2" s="1"/>
  <c r="G116" i="2" s="1"/>
  <c r="K116" i="2"/>
  <c r="L116" i="2" s="1"/>
  <c r="M116" i="2" s="1"/>
  <c r="H116" i="2"/>
  <c r="I116" i="2" s="1"/>
  <c r="J116" i="2" s="1"/>
  <c r="D116" i="2"/>
  <c r="C117" i="2"/>
  <c r="A118" i="2" l="1"/>
  <c r="N117" i="2"/>
  <c r="O117" i="2" s="1"/>
  <c r="P117" i="2" s="1"/>
  <c r="E117" i="2"/>
  <c r="F117" i="2" s="1"/>
  <c r="G117" i="2" s="1"/>
  <c r="H117" i="2"/>
  <c r="I117" i="2" s="1"/>
  <c r="J117" i="2" s="1"/>
  <c r="K117" i="2"/>
  <c r="L117" i="2" s="1"/>
  <c r="M117" i="2" s="1"/>
  <c r="D117" i="2"/>
  <c r="C118" i="2"/>
  <c r="A119" i="2" l="1"/>
  <c r="N118" i="2"/>
  <c r="O118" i="2" s="1"/>
  <c r="P118" i="2" s="1"/>
  <c r="K118" i="2"/>
  <c r="L118" i="2" s="1"/>
  <c r="M118" i="2" s="1"/>
  <c r="E118" i="2"/>
  <c r="F118" i="2" s="1"/>
  <c r="G118" i="2" s="1"/>
  <c r="H118" i="2"/>
  <c r="I118" i="2" s="1"/>
  <c r="J118" i="2" s="1"/>
  <c r="C119" i="2"/>
  <c r="D118" i="2"/>
  <c r="A120" i="2" l="1"/>
  <c r="N119" i="2"/>
  <c r="O119" i="2" s="1"/>
  <c r="P119" i="2" s="1"/>
  <c r="H119" i="2"/>
  <c r="I119" i="2" s="1"/>
  <c r="J119" i="2" s="1"/>
  <c r="E119" i="2"/>
  <c r="F119" i="2" s="1"/>
  <c r="G119" i="2" s="1"/>
  <c r="K119" i="2"/>
  <c r="L119" i="2" s="1"/>
  <c r="M119" i="2" s="1"/>
  <c r="C120" i="2"/>
  <c r="D119" i="2"/>
  <c r="A121" i="2" l="1"/>
  <c r="H120" i="2"/>
  <c r="I120" i="2" s="1"/>
  <c r="J120" i="2" s="1"/>
  <c r="N120" i="2"/>
  <c r="O120" i="2" s="1"/>
  <c r="P120" i="2" s="1"/>
  <c r="K120" i="2"/>
  <c r="L120" i="2" s="1"/>
  <c r="M120" i="2" s="1"/>
  <c r="E120" i="2"/>
  <c r="F120" i="2" s="1"/>
  <c r="G120" i="2" s="1"/>
  <c r="D120" i="2"/>
  <c r="C121" i="2"/>
  <c r="A122" i="2" l="1"/>
  <c r="N121" i="2"/>
  <c r="O121" i="2" s="1"/>
  <c r="P121" i="2" s="1"/>
  <c r="E121" i="2"/>
  <c r="F121" i="2" s="1"/>
  <c r="G121" i="2" s="1"/>
  <c r="K121" i="2"/>
  <c r="L121" i="2" s="1"/>
  <c r="M121" i="2" s="1"/>
  <c r="H121" i="2"/>
  <c r="I121" i="2" s="1"/>
  <c r="J121" i="2" s="1"/>
  <c r="D121" i="2"/>
  <c r="C122" i="2"/>
  <c r="A123" i="2" l="1"/>
  <c r="N122" i="2"/>
  <c r="O122" i="2" s="1"/>
  <c r="P122" i="2" s="1"/>
  <c r="H122" i="2"/>
  <c r="I122" i="2" s="1"/>
  <c r="J122" i="2" s="1"/>
  <c r="K122" i="2"/>
  <c r="L122" i="2" s="1"/>
  <c r="M122" i="2" s="1"/>
  <c r="E122" i="2"/>
  <c r="F122" i="2" s="1"/>
  <c r="G122" i="2" s="1"/>
  <c r="C123" i="2"/>
  <c r="D122" i="2"/>
  <c r="A124" i="2" l="1"/>
  <c r="N123" i="2"/>
  <c r="O123" i="2" s="1"/>
  <c r="P123" i="2" s="1"/>
  <c r="E123" i="2"/>
  <c r="F123" i="2" s="1"/>
  <c r="G123" i="2" s="1"/>
  <c r="K123" i="2"/>
  <c r="L123" i="2" s="1"/>
  <c r="M123" i="2" s="1"/>
  <c r="H123" i="2"/>
  <c r="I123" i="2" s="1"/>
  <c r="J123" i="2" s="1"/>
  <c r="C124" i="2"/>
  <c r="D123" i="2"/>
  <c r="A125" i="2" l="1"/>
  <c r="H124" i="2"/>
  <c r="I124" i="2" s="1"/>
  <c r="J124" i="2" s="1"/>
  <c r="E124" i="2"/>
  <c r="F124" i="2" s="1"/>
  <c r="G124" i="2" s="1"/>
  <c r="N124" i="2"/>
  <c r="O124" i="2" s="1"/>
  <c r="P124" i="2" s="1"/>
  <c r="K124" i="2"/>
  <c r="L124" i="2" s="1"/>
  <c r="M124" i="2" s="1"/>
  <c r="C125" i="2"/>
  <c r="D124" i="2"/>
  <c r="A126" i="2" l="1"/>
  <c r="N125" i="2"/>
  <c r="O125" i="2" s="1"/>
  <c r="P125" i="2" s="1"/>
  <c r="H125" i="2"/>
  <c r="I125" i="2" s="1"/>
  <c r="J125" i="2" s="1"/>
  <c r="K125" i="2"/>
  <c r="L125" i="2" s="1"/>
  <c r="M125" i="2" s="1"/>
  <c r="E125" i="2"/>
  <c r="F125" i="2" s="1"/>
  <c r="G125" i="2" s="1"/>
  <c r="D125" i="2"/>
  <c r="C126" i="2"/>
  <c r="A127" i="2" l="1"/>
  <c r="N126" i="2"/>
  <c r="O126" i="2" s="1"/>
  <c r="P126" i="2" s="1"/>
  <c r="K126" i="2"/>
  <c r="L126" i="2" s="1"/>
  <c r="M126" i="2" s="1"/>
  <c r="H126" i="2"/>
  <c r="I126" i="2" s="1"/>
  <c r="J126" i="2" s="1"/>
  <c r="E126" i="2"/>
  <c r="F126" i="2" s="1"/>
  <c r="G126" i="2" s="1"/>
  <c r="D126" i="2"/>
  <c r="C127" i="2"/>
  <c r="A128" i="2" l="1"/>
  <c r="N127" i="2"/>
  <c r="O127" i="2" s="1"/>
  <c r="P127" i="2" s="1"/>
  <c r="H127" i="2"/>
  <c r="I127" i="2" s="1"/>
  <c r="J127" i="2" s="1"/>
  <c r="K127" i="2"/>
  <c r="L127" i="2" s="1"/>
  <c r="M127" i="2" s="1"/>
  <c r="E127" i="2"/>
  <c r="F127" i="2" s="1"/>
  <c r="G127" i="2" s="1"/>
  <c r="C128" i="2"/>
  <c r="D127" i="2"/>
  <c r="A129" i="2" l="1"/>
  <c r="E128" i="2"/>
  <c r="F128" i="2" s="1"/>
  <c r="G128" i="2" s="1"/>
  <c r="N128" i="2"/>
  <c r="O128" i="2" s="1"/>
  <c r="P128" i="2" s="1"/>
  <c r="K128" i="2"/>
  <c r="L128" i="2" s="1"/>
  <c r="M128" i="2" s="1"/>
  <c r="H128" i="2"/>
  <c r="I128" i="2" s="1"/>
  <c r="J128" i="2" s="1"/>
  <c r="C129" i="2"/>
  <c r="D128" i="2"/>
  <c r="A130" i="2" l="1"/>
  <c r="N129" i="2"/>
  <c r="O129" i="2" s="1"/>
  <c r="P129" i="2" s="1"/>
  <c r="E129" i="2"/>
  <c r="F129" i="2" s="1"/>
  <c r="G129" i="2" s="1"/>
  <c r="K129" i="2"/>
  <c r="L129" i="2" s="1"/>
  <c r="M129" i="2" s="1"/>
  <c r="H129" i="2"/>
  <c r="I129" i="2" s="1"/>
  <c r="J129" i="2" s="1"/>
  <c r="D129" i="2"/>
  <c r="C130" i="2"/>
  <c r="A131" i="2" l="1"/>
  <c r="H130" i="2"/>
  <c r="I130" i="2" s="1"/>
  <c r="J130" i="2" s="1"/>
  <c r="N130" i="2"/>
  <c r="O130" i="2" s="1"/>
  <c r="P130" i="2" s="1"/>
  <c r="K130" i="2"/>
  <c r="L130" i="2" s="1"/>
  <c r="M130" i="2" s="1"/>
  <c r="E130" i="2"/>
  <c r="F130" i="2" s="1"/>
  <c r="G130" i="2" s="1"/>
  <c r="D130" i="2"/>
  <c r="C131" i="2"/>
  <c r="A132" i="2" l="1"/>
  <c r="N131" i="2"/>
  <c r="O131" i="2" s="1"/>
  <c r="P131" i="2" s="1"/>
  <c r="E131" i="2"/>
  <c r="F131" i="2" s="1"/>
  <c r="G131" i="2" s="1"/>
  <c r="K131" i="2"/>
  <c r="L131" i="2" s="1"/>
  <c r="M131" i="2" s="1"/>
  <c r="H131" i="2"/>
  <c r="I131" i="2" s="1"/>
  <c r="J131" i="2" s="1"/>
  <c r="C132" i="2"/>
  <c r="D131" i="2"/>
  <c r="A133" i="2" l="1"/>
  <c r="N132" i="2"/>
  <c r="O132" i="2" s="1"/>
  <c r="P132" i="2" s="1"/>
  <c r="K132" i="2"/>
  <c r="L132" i="2" s="1"/>
  <c r="M132" i="2" s="1"/>
  <c r="H132" i="2"/>
  <c r="I132" i="2" s="1"/>
  <c r="J132" i="2" s="1"/>
  <c r="E132" i="2"/>
  <c r="F132" i="2" s="1"/>
  <c r="G132" i="2" s="1"/>
  <c r="D132" i="2"/>
  <c r="C133" i="2"/>
  <c r="A134" i="2" l="1"/>
  <c r="N133" i="2"/>
  <c r="O133" i="2" s="1"/>
  <c r="P133" i="2" s="1"/>
  <c r="H133" i="2"/>
  <c r="I133" i="2" s="1"/>
  <c r="J133" i="2" s="1"/>
  <c r="K133" i="2"/>
  <c r="L133" i="2" s="1"/>
  <c r="M133" i="2" s="1"/>
  <c r="E133" i="2"/>
  <c r="F133" i="2" s="1"/>
  <c r="G133" i="2" s="1"/>
  <c r="D133" i="2"/>
  <c r="C134" i="2"/>
  <c r="A135" i="2" l="1"/>
  <c r="N134" i="2"/>
  <c r="O134" i="2" s="1"/>
  <c r="P134" i="2" s="1"/>
  <c r="K134" i="2"/>
  <c r="L134" i="2" s="1"/>
  <c r="M134" i="2" s="1"/>
  <c r="H134" i="2"/>
  <c r="I134" i="2" s="1"/>
  <c r="J134" i="2" s="1"/>
  <c r="E134" i="2"/>
  <c r="F134" i="2" s="1"/>
  <c r="G134" i="2" s="1"/>
  <c r="D134" i="2"/>
  <c r="C135" i="2"/>
  <c r="A136" i="2" l="1"/>
  <c r="N135" i="2"/>
  <c r="O135" i="2" s="1"/>
  <c r="P135" i="2" s="1"/>
  <c r="H135" i="2"/>
  <c r="I135" i="2" s="1"/>
  <c r="J135" i="2" s="1"/>
  <c r="E135" i="2"/>
  <c r="F135" i="2" s="1"/>
  <c r="G135" i="2" s="1"/>
  <c r="K135" i="2"/>
  <c r="L135" i="2" s="1"/>
  <c r="M135" i="2" s="1"/>
  <c r="D135" i="2"/>
  <c r="C136" i="2"/>
  <c r="A137" i="2" l="1"/>
  <c r="N136" i="2"/>
  <c r="O136" i="2" s="1"/>
  <c r="P136" i="2" s="1"/>
  <c r="E136" i="2"/>
  <c r="F136" i="2" s="1"/>
  <c r="G136" i="2" s="1"/>
  <c r="K136" i="2"/>
  <c r="L136" i="2" s="1"/>
  <c r="M136" i="2" s="1"/>
  <c r="H136" i="2"/>
  <c r="I136" i="2" s="1"/>
  <c r="J136" i="2" s="1"/>
  <c r="C137" i="2"/>
  <c r="D136" i="2"/>
  <c r="A138" i="2" l="1"/>
  <c r="N137" i="2"/>
  <c r="O137" i="2" s="1"/>
  <c r="P137" i="2" s="1"/>
  <c r="H137" i="2"/>
  <c r="I137" i="2" s="1"/>
  <c r="J137" i="2" s="1"/>
  <c r="K137" i="2"/>
  <c r="L137" i="2" s="1"/>
  <c r="M137" i="2" s="1"/>
  <c r="E137" i="2"/>
  <c r="F137" i="2" s="1"/>
  <c r="G137" i="2" s="1"/>
  <c r="C138" i="2"/>
  <c r="D137" i="2"/>
  <c r="A139" i="2" l="1"/>
  <c r="N138" i="2"/>
  <c r="O138" i="2" s="1"/>
  <c r="P138" i="2" s="1"/>
  <c r="E138" i="2"/>
  <c r="F138" i="2" s="1"/>
  <c r="G138" i="2" s="1"/>
  <c r="K138" i="2"/>
  <c r="L138" i="2" s="1"/>
  <c r="M138" i="2" s="1"/>
  <c r="H138" i="2"/>
  <c r="I138" i="2" s="1"/>
  <c r="J138" i="2" s="1"/>
  <c r="C139" i="2"/>
  <c r="D138" i="2"/>
  <c r="A140" i="2" l="1"/>
  <c r="N139" i="2"/>
  <c r="O139" i="2" s="1"/>
  <c r="P139" i="2" s="1"/>
  <c r="H139" i="2"/>
  <c r="I139" i="2" s="1"/>
  <c r="J139" i="2" s="1"/>
  <c r="K139" i="2"/>
  <c r="L139" i="2" s="1"/>
  <c r="M139" i="2" s="1"/>
  <c r="E139" i="2"/>
  <c r="F139" i="2" s="1"/>
  <c r="G139" i="2" s="1"/>
  <c r="C140" i="2"/>
  <c r="D139" i="2"/>
  <c r="A141" i="2" l="1"/>
  <c r="N140" i="2"/>
  <c r="O140" i="2" s="1"/>
  <c r="P140" i="2" s="1"/>
  <c r="E140" i="2"/>
  <c r="F140" i="2" s="1"/>
  <c r="G140" i="2" s="1"/>
  <c r="K140" i="2"/>
  <c r="L140" i="2" s="1"/>
  <c r="M140" i="2" s="1"/>
  <c r="H140" i="2"/>
  <c r="I140" i="2" s="1"/>
  <c r="J140" i="2" s="1"/>
  <c r="D140" i="2"/>
  <c r="C141" i="2"/>
  <c r="A142" i="2" l="1"/>
  <c r="H141" i="2"/>
  <c r="I141" i="2" s="1"/>
  <c r="J141" i="2" s="1"/>
  <c r="N141" i="2"/>
  <c r="O141" i="2" s="1"/>
  <c r="P141" i="2" s="1"/>
  <c r="K141" i="2"/>
  <c r="L141" i="2" s="1"/>
  <c r="M141" i="2" s="1"/>
  <c r="E141" i="2"/>
  <c r="F141" i="2" s="1"/>
  <c r="G141" i="2" s="1"/>
  <c r="D141" i="2"/>
  <c r="C142" i="2"/>
  <c r="A143" i="2" l="1"/>
  <c r="N142" i="2"/>
  <c r="O142" i="2" s="1"/>
  <c r="P142" i="2" s="1"/>
  <c r="H142" i="2"/>
  <c r="I142" i="2" s="1"/>
  <c r="J142" i="2" s="1"/>
  <c r="E142" i="2"/>
  <c r="F142" i="2" s="1"/>
  <c r="G142" i="2" s="1"/>
  <c r="K142" i="2"/>
  <c r="L142" i="2" s="1"/>
  <c r="M142" i="2" s="1"/>
  <c r="C143" i="2"/>
  <c r="D142" i="2"/>
  <c r="A144" i="2" l="1"/>
  <c r="N143" i="2"/>
  <c r="O143" i="2" s="1"/>
  <c r="P143" i="2" s="1"/>
  <c r="K143" i="2"/>
  <c r="L143" i="2" s="1"/>
  <c r="M143" i="2" s="1"/>
  <c r="H143" i="2"/>
  <c r="I143" i="2" s="1"/>
  <c r="J143" i="2" s="1"/>
  <c r="E143" i="2"/>
  <c r="F143" i="2" s="1"/>
  <c r="G143" i="2" s="1"/>
  <c r="C144" i="2"/>
  <c r="D143" i="2"/>
  <c r="A145" i="2" l="1"/>
  <c r="N144" i="2"/>
  <c r="O144" i="2" s="1"/>
  <c r="P144" i="2" s="1"/>
  <c r="E144" i="2"/>
  <c r="F144" i="2" s="1"/>
  <c r="G144" i="2" s="1"/>
  <c r="H144" i="2"/>
  <c r="I144" i="2" s="1"/>
  <c r="J144" i="2" s="1"/>
  <c r="K144" i="2"/>
  <c r="L144" i="2" s="1"/>
  <c r="M144" i="2" s="1"/>
  <c r="D144" i="2"/>
  <c r="C145" i="2"/>
  <c r="A146" i="2" l="1"/>
  <c r="H145" i="2"/>
  <c r="I145" i="2" s="1"/>
  <c r="J145" i="2" s="1"/>
  <c r="N145" i="2"/>
  <c r="O145" i="2" s="1"/>
  <c r="P145" i="2" s="1"/>
  <c r="E145" i="2"/>
  <c r="F145" i="2" s="1"/>
  <c r="G145" i="2" s="1"/>
  <c r="K145" i="2"/>
  <c r="L145" i="2" s="1"/>
  <c r="M145" i="2" s="1"/>
  <c r="C146" i="2"/>
  <c r="D145" i="2"/>
  <c r="A147" i="2" l="1"/>
  <c r="N146" i="2"/>
  <c r="O146" i="2" s="1"/>
  <c r="P146" i="2" s="1"/>
  <c r="H146" i="2"/>
  <c r="I146" i="2" s="1"/>
  <c r="J146" i="2" s="1"/>
  <c r="K146" i="2"/>
  <c r="L146" i="2" s="1"/>
  <c r="M146" i="2" s="1"/>
  <c r="E146" i="2"/>
  <c r="F146" i="2" s="1"/>
  <c r="G146" i="2" s="1"/>
  <c r="C147" i="2"/>
  <c r="D146" i="2"/>
  <c r="A148" i="2" l="1"/>
  <c r="N147" i="2"/>
  <c r="O147" i="2" s="1"/>
  <c r="P147" i="2" s="1"/>
  <c r="K147" i="2"/>
  <c r="L147" i="2" s="1"/>
  <c r="M147" i="2" s="1"/>
  <c r="H147" i="2"/>
  <c r="I147" i="2" s="1"/>
  <c r="J147" i="2" s="1"/>
  <c r="E147" i="2"/>
  <c r="F147" i="2" s="1"/>
  <c r="G147" i="2" s="1"/>
  <c r="D147" i="2"/>
  <c r="C148" i="2"/>
  <c r="A149" i="2" l="1"/>
  <c r="H148" i="2"/>
  <c r="I148" i="2" s="1"/>
  <c r="J148" i="2" s="1"/>
  <c r="E148" i="2"/>
  <c r="F148" i="2" s="1"/>
  <c r="G148" i="2" s="1"/>
  <c r="N148" i="2"/>
  <c r="O148" i="2" s="1"/>
  <c r="P148" i="2" s="1"/>
  <c r="K148" i="2"/>
  <c r="L148" i="2" s="1"/>
  <c r="M148" i="2" s="1"/>
  <c r="C149" i="2"/>
  <c r="D148" i="2"/>
  <c r="A150" i="2" l="1"/>
  <c r="N149" i="2"/>
  <c r="O149" i="2" s="1"/>
  <c r="P149" i="2" s="1"/>
  <c r="K149" i="2"/>
  <c r="L149" i="2" s="1"/>
  <c r="M149" i="2" s="1"/>
  <c r="H149" i="2"/>
  <c r="I149" i="2" s="1"/>
  <c r="J149" i="2" s="1"/>
  <c r="E149" i="2"/>
  <c r="F149" i="2" s="1"/>
  <c r="G149" i="2" s="1"/>
  <c r="D149" i="2"/>
  <c r="C150" i="2"/>
  <c r="A151" i="2" l="1"/>
  <c r="N150" i="2"/>
  <c r="O150" i="2" s="1"/>
  <c r="P150" i="2" s="1"/>
  <c r="E150" i="2"/>
  <c r="F150" i="2" s="1"/>
  <c r="G150" i="2" s="1"/>
  <c r="K150" i="2"/>
  <c r="L150" i="2" s="1"/>
  <c r="M150" i="2" s="1"/>
  <c r="H150" i="2"/>
  <c r="I150" i="2" s="1"/>
  <c r="J150" i="2" s="1"/>
  <c r="C151" i="2"/>
  <c r="D150" i="2"/>
  <c r="A152" i="2" l="1"/>
  <c r="N151" i="2"/>
  <c r="O151" i="2" s="1"/>
  <c r="P151" i="2" s="1"/>
  <c r="H151" i="2"/>
  <c r="I151" i="2" s="1"/>
  <c r="J151" i="2" s="1"/>
  <c r="K151" i="2"/>
  <c r="L151" i="2" s="1"/>
  <c r="M151" i="2" s="1"/>
  <c r="E151" i="2"/>
  <c r="F151" i="2" s="1"/>
  <c r="G151" i="2" s="1"/>
  <c r="C152" i="2"/>
  <c r="D151" i="2"/>
  <c r="A153" i="2" l="1"/>
  <c r="N152" i="2"/>
  <c r="O152" i="2" s="1"/>
  <c r="P152" i="2" s="1"/>
  <c r="H152" i="2"/>
  <c r="I152" i="2" s="1"/>
  <c r="J152" i="2" s="1"/>
  <c r="E152" i="2"/>
  <c r="F152" i="2" s="1"/>
  <c r="G152" i="2" s="1"/>
  <c r="K152" i="2"/>
  <c r="L152" i="2" s="1"/>
  <c r="M152" i="2" s="1"/>
  <c r="C153" i="2"/>
  <c r="D152" i="2"/>
  <c r="A154" i="2" l="1"/>
  <c r="N153" i="2"/>
  <c r="O153" i="2" s="1"/>
  <c r="P153" i="2" s="1"/>
  <c r="K153" i="2"/>
  <c r="L153" i="2" s="1"/>
  <c r="M153" i="2" s="1"/>
  <c r="H153" i="2"/>
  <c r="I153" i="2" s="1"/>
  <c r="J153" i="2" s="1"/>
  <c r="E153" i="2"/>
  <c r="F153" i="2" s="1"/>
  <c r="G153" i="2" s="1"/>
  <c r="D153" i="2"/>
  <c r="C154" i="2"/>
  <c r="A155" i="2" l="1"/>
  <c r="N154" i="2"/>
  <c r="O154" i="2" s="1"/>
  <c r="P154" i="2" s="1"/>
  <c r="H154" i="2"/>
  <c r="I154" i="2" s="1"/>
  <c r="J154" i="2" s="1"/>
  <c r="E154" i="2"/>
  <c r="F154" i="2" s="1"/>
  <c r="G154" i="2" s="1"/>
  <c r="K154" i="2"/>
  <c r="L154" i="2" s="1"/>
  <c r="M154" i="2" s="1"/>
  <c r="C155" i="2"/>
  <c r="D154" i="2"/>
  <c r="A156" i="2" l="1"/>
  <c r="N155" i="2"/>
  <c r="O155" i="2" s="1"/>
  <c r="P155" i="2" s="1"/>
  <c r="K155" i="2"/>
  <c r="L155" i="2" s="1"/>
  <c r="M155" i="2" s="1"/>
  <c r="H155" i="2"/>
  <c r="I155" i="2" s="1"/>
  <c r="J155" i="2" s="1"/>
  <c r="E155" i="2"/>
  <c r="F155" i="2" s="1"/>
  <c r="G155" i="2" s="1"/>
  <c r="C156" i="2"/>
  <c r="D155" i="2"/>
  <c r="A157" i="2" l="1"/>
  <c r="H156" i="2"/>
  <c r="I156" i="2" s="1"/>
  <c r="J156" i="2" s="1"/>
  <c r="N156" i="2"/>
  <c r="O156" i="2" s="1"/>
  <c r="P156" i="2" s="1"/>
  <c r="E156" i="2"/>
  <c r="F156" i="2" s="1"/>
  <c r="G156" i="2" s="1"/>
  <c r="K156" i="2"/>
  <c r="L156" i="2" s="1"/>
  <c r="M156" i="2" s="1"/>
  <c r="D156" i="2"/>
  <c r="C157" i="2"/>
  <c r="A158" i="2" l="1"/>
  <c r="N157" i="2"/>
  <c r="O157" i="2" s="1"/>
  <c r="P157" i="2" s="1"/>
  <c r="E157" i="2"/>
  <c r="F157" i="2" s="1"/>
  <c r="G157" i="2" s="1"/>
  <c r="H157" i="2"/>
  <c r="I157" i="2" s="1"/>
  <c r="J157" i="2" s="1"/>
  <c r="K157" i="2"/>
  <c r="L157" i="2" s="1"/>
  <c r="M157" i="2" s="1"/>
  <c r="D157" i="2"/>
  <c r="C158" i="2"/>
  <c r="A159" i="2" l="1"/>
  <c r="N158" i="2"/>
  <c r="O158" i="2" s="1"/>
  <c r="P158" i="2" s="1"/>
  <c r="K158" i="2"/>
  <c r="L158" i="2" s="1"/>
  <c r="M158" i="2" s="1"/>
  <c r="E158" i="2"/>
  <c r="F158" i="2" s="1"/>
  <c r="G158" i="2" s="1"/>
  <c r="H158" i="2"/>
  <c r="I158" i="2" s="1"/>
  <c r="J158" i="2" s="1"/>
  <c r="C159" i="2"/>
  <c r="D158" i="2"/>
  <c r="A160" i="2" l="1"/>
  <c r="N159" i="2"/>
  <c r="O159" i="2" s="1"/>
  <c r="P159" i="2" s="1"/>
  <c r="K159" i="2"/>
  <c r="L159" i="2" s="1"/>
  <c r="M159" i="2" s="1"/>
  <c r="H159" i="2"/>
  <c r="I159" i="2" s="1"/>
  <c r="J159" i="2" s="1"/>
  <c r="E159" i="2"/>
  <c r="F159" i="2" s="1"/>
  <c r="G159" i="2" s="1"/>
  <c r="C160" i="2"/>
  <c r="D159" i="2"/>
  <c r="A161" i="2" l="1"/>
  <c r="H160" i="2"/>
  <c r="I160" i="2" s="1"/>
  <c r="J160" i="2" s="1"/>
  <c r="N160" i="2"/>
  <c r="O160" i="2" s="1"/>
  <c r="P160" i="2" s="1"/>
  <c r="E160" i="2"/>
  <c r="F160" i="2" s="1"/>
  <c r="G160" i="2" s="1"/>
  <c r="K160" i="2"/>
  <c r="L160" i="2" s="1"/>
  <c r="M160" i="2" s="1"/>
  <c r="D160" i="2"/>
  <c r="C161" i="2"/>
  <c r="A162" i="2" l="1"/>
  <c r="N161" i="2"/>
  <c r="O161" i="2" s="1"/>
  <c r="P161" i="2" s="1"/>
  <c r="E161" i="2"/>
  <c r="F161" i="2" s="1"/>
  <c r="G161" i="2" s="1"/>
  <c r="H161" i="2"/>
  <c r="I161" i="2" s="1"/>
  <c r="J161" i="2" s="1"/>
  <c r="K161" i="2"/>
  <c r="L161" i="2" s="1"/>
  <c r="M161" i="2" s="1"/>
  <c r="D161" i="2"/>
  <c r="C162" i="2"/>
  <c r="A163" i="2" l="1"/>
  <c r="N162" i="2"/>
  <c r="O162" i="2" s="1"/>
  <c r="P162" i="2" s="1"/>
  <c r="E162" i="2"/>
  <c r="F162" i="2" s="1"/>
  <c r="G162" i="2" s="1"/>
  <c r="K162" i="2"/>
  <c r="L162" i="2" s="1"/>
  <c r="M162" i="2" s="1"/>
  <c r="H162" i="2"/>
  <c r="I162" i="2" s="1"/>
  <c r="J162" i="2" s="1"/>
  <c r="D162" i="2"/>
  <c r="C163" i="2"/>
  <c r="A164" i="2" l="1"/>
  <c r="H163" i="2"/>
  <c r="I163" i="2" s="1"/>
  <c r="J163" i="2" s="1"/>
  <c r="N163" i="2"/>
  <c r="O163" i="2" s="1"/>
  <c r="P163" i="2" s="1"/>
  <c r="K163" i="2"/>
  <c r="L163" i="2" s="1"/>
  <c r="M163" i="2" s="1"/>
  <c r="E163" i="2"/>
  <c r="F163" i="2" s="1"/>
  <c r="G163" i="2" s="1"/>
  <c r="D163" i="2"/>
  <c r="C164" i="2"/>
  <c r="A165" i="2" l="1"/>
  <c r="N164" i="2"/>
  <c r="O164" i="2" s="1"/>
  <c r="P164" i="2" s="1"/>
  <c r="K164" i="2"/>
  <c r="L164" i="2" s="1"/>
  <c r="M164" i="2" s="1"/>
  <c r="H164" i="2"/>
  <c r="I164" i="2" s="1"/>
  <c r="J164" i="2" s="1"/>
  <c r="E164" i="2"/>
  <c r="F164" i="2" s="1"/>
  <c r="G164" i="2" s="1"/>
  <c r="C165" i="2"/>
  <c r="D164" i="2"/>
  <c r="A166" i="2" l="1"/>
  <c r="E165" i="2"/>
  <c r="F165" i="2" s="1"/>
  <c r="G165" i="2" s="1"/>
  <c r="N165" i="2"/>
  <c r="O165" i="2" s="1"/>
  <c r="P165" i="2" s="1"/>
  <c r="H165" i="2"/>
  <c r="I165" i="2" s="1"/>
  <c r="J165" i="2" s="1"/>
  <c r="K165" i="2"/>
  <c r="L165" i="2" s="1"/>
  <c r="M165" i="2" s="1"/>
  <c r="D165" i="2"/>
  <c r="C166" i="2"/>
  <c r="A167" i="2" l="1"/>
  <c r="N166" i="2"/>
  <c r="O166" i="2" s="1"/>
  <c r="P166" i="2" s="1"/>
  <c r="K166" i="2"/>
  <c r="L166" i="2" s="1"/>
  <c r="M166" i="2" s="1"/>
  <c r="H166" i="2"/>
  <c r="I166" i="2" s="1"/>
  <c r="J166" i="2" s="1"/>
  <c r="E166" i="2"/>
  <c r="F166" i="2" s="1"/>
  <c r="G166" i="2" s="1"/>
  <c r="C167" i="2"/>
  <c r="D166" i="2"/>
  <c r="A168" i="2" l="1"/>
  <c r="H167" i="2"/>
  <c r="I167" i="2" s="1"/>
  <c r="J167" i="2" s="1"/>
  <c r="E167" i="2"/>
  <c r="F167" i="2" s="1"/>
  <c r="G167" i="2" s="1"/>
  <c r="N167" i="2"/>
  <c r="O167" i="2" s="1"/>
  <c r="P167" i="2" s="1"/>
  <c r="K167" i="2"/>
  <c r="L167" i="2" s="1"/>
  <c r="M167" i="2" s="1"/>
  <c r="D167" i="2"/>
  <c r="C168" i="2"/>
  <c r="A169" i="2" l="1"/>
  <c r="N168" i="2"/>
  <c r="O168" i="2" s="1"/>
  <c r="P168" i="2" s="1"/>
  <c r="E168" i="2"/>
  <c r="F168" i="2" s="1"/>
  <c r="G168" i="2" s="1"/>
  <c r="K168" i="2"/>
  <c r="L168" i="2" s="1"/>
  <c r="M168" i="2" s="1"/>
  <c r="H168" i="2"/>
  <c r="I168" i="2" s="1"/>
  <c r="J168" i="2" s="1"/>
  <c r="C169" i="2"/>
  <c r="D168" i="2"/>
  <c r="A170" i="2" l="1"/>
  <c r="N169" i="2"/>
  <c r="O169" i="2" s="1"/>
  <c r="P169" i="2" s="1"/>
  <c r="H169" i="2"/>
  <c r="I169" i="2" s="1"/>
  <c r="J169" i="2" s="1"/>
  <c r="K169" i="2"/>
  <c r="L169" i="2" s="1"/>
  <c r="M169" i="2" s="1"/>
  <c r="E169" i="2"/>
  <c r="F169" i="2" s="1"/>
  <c r="G169" i="2" s="1"/>
  <c r="D169" i="2"/>
  <c r="C170" i="2"/>
  <c r="A171" i="2" l="1"/>
  <c r="H170" i="2"/>
  <c r="I170" i="2" s="1"/>
  <c r="J170" i="2" s="1"/>
  <c r="N170" i="2"/>
  <c r="O170" i="2" s="1"/>
  <c r="P170" i="2" s="1"/>
  <c r="K170" i="2"/>
  <c r="L170" i="2" s="1"/>
  <c r="M170" i="2" s="1"/>
  <c r="E170" i="2"/>
  <c r="F170" i="2" s="1"/>
  <c r="G170" i="2" s="1"/>
  <c r="D170" i="2"/>
  <c r="C171" i="2"/>
  <c r="A172" i="2" l="1"/>
  <c r="N171" i="2"/>
  <c r="O171" i="2" s="1"/>
  <c r="P171" i="2" s="1"/>
  <c r="E171" i="2"/>
  <c r="F171" i="2" s="1"/>
  <c r="G171" i="2" s="1"/>
  <c r="K171" i="2"/>
  <c r="L171" i="2" s="1"/>
  <c r="M171" i="2" s="1"/>
  <c r="H171" i="2"/>
  <c r="I171" i="2" s="1"/>
  <c r="J171" i="2" s="1"/>
  <c r="C172" i="2"/>
  <c r="D171" i="2"/>
  <c r="A173" i="2" l="1"/>
  <c r="N172" i="2"/>
  <c r="O172" i="2" s="1"/>
  <c r="P172" i="2" s="1"/>
  <c r="K172" i="2"/>
  <c r="L172" i="2" s="1"/>
  <c r="M172" i="2" s="1"/>
  <c r="H172" i="2"/>
  <c r="I172" i="2" s="1"/>
  <c r="J172" i="2" s="1"/>
  <c r="E172" i="2"/>
  <c r="F172" i="2" s="1"/>
  <c r="G172" i="2" s="1"/>
  <c r="D172" i="2"/>
  <c r="C173" i="2"/>
  <c r="A174" i="2" l="1"/>
  <c r="E173" i="2"/>
  <c r="F173" i="2" s="1"/>
  <c r="G173" i="2" s="1"/>
  <c r="N173" i="2"/>
  <c r="O173" i="2" s="1"/>
  <c r="P173" i="2" s="1"/>
  <c r="H173" i="2"/>
  <c r="I173" i="2" s="1"/>
  <c r="J173" i="2" s="1"/>
  <c r="K173" i="2"/>
  <c r="L173" i="2" s="1"/>
  <c r="M173" i="2" s="1"/>
  <c r="D173" i="2"/>
  <c r="C174" i="2"/>
  <c r="A175" i="2" l="1"/>
  <c r="N174" i="2"/>
  <c r="O174" i="2" s="1"/>
  <c r="P174" i="2" s="1"/>
  <c r="K174" i="2"/>
  <c r="L174" i="2" s="1"/>
  <c r="M174" i="2" s="1"/>
  <c r="H174" i="2"/>
  <c r="I174" i="2" s="1"/>
  <c r="J174" i="2" s="1"/>
  <c r="E174" i="2"/>
  <c r="F174" i="2" s="1"/>
  <c r="G174" i="2" s="1"/>
  <c r="D174" i="2"/>
  <c r="C175" i="2"/>
  <c r="A176" i="2" l="1"/>
  <c r="H175" i="2"/>
  <c r="I175" i="2" s="1"/>
  <c r="J175" i="2" s="1"/>
  <c r="N175" i="2"/>
  <c r="O175" i="2" s="1"/>
  <c r="P175" i="2" s="1"/>
  <c r="K175" i="2"/>
  <c r="L175" i="2" s="1"/>
  <c r="M175" i="2" s="1"/>
  <c r="E175" i="2"/>
  <c r="F175" i="2" s="1"/>
  <c r="G175" i="2" s="1"/>
  <c r="D175" i="2"/>
  <c r="C176" i="2"/>
  <c r="A177" i="2" l="1"/>
  <c r="N176" i="2"/>
  <c r="O176" i="2" s="1"/>
  <c r="P176" i="2" s="1"/>
  <c r="E176" i="2"/>
  <c r="F176" i="2" s="1"/>
  <c r="G176" i="2" s="1"/>
  <c r="H176" i="2"/>
  <c r="I176" i="2" s="1"/>
  <c r="J176" i="2" s="1"/>
  <c r="K176" i="2"/>
  <c r="L176" i="2" s="1"/>
  <c r="M176" i="2" s="1"/>
  <c r="C177" i="2"/>
  <c r="D176" i="2"/>
  <c r="A178" i="2" l="1"/>
  <c r="N177" i="2"/>
  <c r="O177" i="2" s="1"/>
  <c r="P177" i="2" s="1"/>
  <c r="K177" i="2"/>
  <c r="L177" i="2" s="1"/>
  <c r="M177" i="2" s="1"/>
  <c r="H177" i="2"/>
  <c r="I177" i="2" s="1"/>
  <c r="J177" i="2" s="1"/>
  <c r="E177" i="2"/>
  <c r="F177" i="2" s="1"/>
  <c r="G177" i="2" s="1"/>
  <c r="C178" i="2"/>
  <c r="D177" i="2"/>
  <c r="A179" i="2" l="1"/>
  <c r="E178" i="2"/>
  <c r="F178" i="2" s="1"/>
  <c r="G178" i="2" s="1"/>
  <c r="N178" i="2"/>
  <c r="O178" i="2" s="1"/>
  <c r="P178" i="2" s="1"/>
  <c r="K178" i="2"/>
  <c r="L178" i="2" s="1"/>
  <c r="M178" i="2" s="1"/>
  <c r="H178" i="2"/>
  <c r="I178" i="2" s="1"/>
  <c r="J178" i="2" s="1"/>
  <c r="C179" i="2"/>
  <c r="D178" i="2"/>
  <c r="A180" i="2" l="1"/>
  <c r="N179" i="2"/>
  <c r="O179" i="2" s="1"/>
  <c r="P179" i="2" s="1"/>
  <c r="H179" i="2"/>
  <c r="I179" i="2" s="1"/>
  <c r="J179" i="2" s="1"/>
  <c r="K179" i="2"/>
  <c r="L179" i="2" s="1"/>
  <c r="M179" i="2" s="1"/>
  <c r="E179" i="2"/>
  <c r="F179" i="2" s="1"/>
  <c r="G179" i="2" s="1"/>
  <c r="D179" i="2"/>
  <c r="C180" i="2"/>
  <c r="A181" i="2" l="1"/>
  <c r="H180" i="2"/>
  <c r="I180" i="2" s="1"/>
  <c r="J180" i="2" s="1"/>
  <c r="N180" i="2"/>
  <c r="O180" i="2" s="1"/>
  <c r="P180" i="2" s="1"/>
  <c r="E180" i="2"/>
  <c r="F180" i="2" s="1"/>
  <c r="G180" i="2" s="1"/>
  <c r="K180" i="2"/>
  <c r="L180" i="2" s="1"/>
  <c r="M180" i="2" s="1"/>
  <c r="C181" i="2"/>
  <c r="D180" i="2"/>
  <c r="A182" i="2" l="1"/>
  <c r="N181" i="2"/>
  <c r="O181" i="2" s="1"/>
  <c r="P181" i="2" s="1"/>
  <c r="K181" i="2"/>
  <c r="L181" i="2" s="1"/>
  <c r="M181" i="2" s="1"/>
  <c r="E181" i="2"/>
  <c r="F181" i="2" s="1"/>
  <c r="G181" i="2" s="1"/>
  <c r="H181" i="2"/>
  <c r="I181" i="2" s="1"/>
  <c r="J181" i="2" s="1"/>
  <c r="C182" i="2"/>
  <c r="D181" i="2"/>
  <c r="A183" i="2" l="1"/>
  <c r="N182" i="2"/>
  <c r="O182" i="2" s="1"/>
  <c r="P182" i="2" s="1"/>
  <c r="H182" i="2"/>
  <c r="I182" i="2" s="1"/>
  <c r="J182" i="2" s="1"/>
  <c r="K182" i="2"/>
  <c r="L182" i="2" s="1"/>
  <c r="M182" i="2" s="1"/>
  <c r="E182" i="2"/>
  <c r="F182" i="2" s="1"/>
  <c r="G182" i="2" s="1"/>
  <c r="D182" i="2"/>
  <c r="C183" i="2"/>
  <c r="A184" i="2" l="1"/>
  <c r="E183" i="2"/>
  <c r="F183" i="2" s="1"/>
  <c r="G183" i="2" s="1"/>
  <c r="N183" i="2"/>
  <c r="O183" i="2" s="1"/>
  <c r="P183" i="2" s="1"/>
  <c r="K183" i="2"/>
  <c r="L183" i="2" s="1"/>
  <c r="M183" i="2" s="1"/>
  <c r="H183" i="2"/>
  <c r="I183" i="2" s="1"/>
  <c r="J183" i="2" s="1"/>
  <c r="C184" i="2"/>
  <c r="D183" i="2"/>
  <c r="A185" i="2" l="1"/>
  <c r="H184" i="2"/>
  <c r="I184" i="2" s="1"/>
  <c r="J184" i="2" s="1"/>
  <c r="N184" i="2"/>
  <c r="O184" i="2" s="1"/>
  <c r="P184" i="2" s="1"/>
  <c r="E184" i="2"/>
  <c r="F184" i="2" s="1"/>
  <c r="G184" i="2" s="1"/>
  <c r="K184" i="2"/>
  <c r="L184" i="2" s="1"/>
  <c r="M184" i="2" s="1"/>
  <c r="D184" i="2"/>
  <c r="C185" i="2"/>
  <c r="A186" i="2" l="1"/>
  <c r="N185" i="2"/>
  <c r="O185" i="2" s="1"/>
  <c r="P185" i="2" s="1"/>
  <c r="K185" i="2"/>
  <c r="L185" i="2" s="1"/>
  <c r="M185" i="2" s="1"/>
  <c r="H185" i="2"/>
  <c r="I185" i="2" s="1"/>
  <c r="J185" i="2" s="1"/>
  <c r="E185" i="2"/>
  <c r="F185" i="2" s="1"/>
  <c r="G185" i="2" s="1"/>
  <c r="D185" i="2"/>
  <c r="C186" i="2"/>
  <c r="A187" i="2" l="1"/>
  <c r="N186" i="2"/>
  <c r="O186" i="2" s="1"/>
  <c r="P186" i="2" s="1"/>
  <c r="H186" i="2"/>
  <c r="I186" i="2" s="1"/>
  <c r="J186" i="2" s="1"/>
  <c r="K186" i="2"/>
  <c r="L186" i="2" s="1"/>
  <c r="M186" i="2" s="1"/>
  <c r="E186" i="2"/>
  <c r="F186" i="2" s="1"/>
  <c r="G186" i="2" s="1"/>
  <c r="D186" i="2"/>
  <c r="C187" i="2"/>
  <c r="A188" i="2" l="1"/>
  <c r="E187" i="2"/>
  <c r="F187" i="2" s="1"/>
  <c r="G187" i="2" s="1"/>
  <c r="N187" i="2"/>
  <c r="O187" i="2" s="1"/>
  <c r="P187" i="2" s="1"/>
  <c r="K187" i="2"/>
  <c r="L187" i="2" s="1"/>
  <c r="M187" i="2" s="1"/>
  <c r="H187" i="2"/>
  <c r="I187" i="2" s="1"/>
  <c r="J187" i="2" s="1"/>
  <c r="D187" i="2"/>
  <c r="C188" i="2"/>
  <c r="A189" i="2" l="1"/>
  <c r="H188" i="2"/>
  <c r="I188" i="2" s="1"/>
  <c r="J188" i="2" s="1"/>
  <c r="N188" i="2"/>
  <c r="O188" i="2" s="1"/>
  <c r="P188" i="2" s="1"/>
  <c r="K188" i="2"/>
  <c r="L188" i="2" s="1"/>
  <c r="M188" i="2" s="1"/>
  <c r="E188" i="2"/>
  <c r="F188" i="2" s="1"/>
  <c r="G188" i="2" s="1"/>
  <c r="D188" i="2"/>
  <c r="C189" i="2"/>
  <c r="A190" i="2" l="1"/>
  <c r="N189" i="2"/>
  <c r="O189" i="2" s="1"/>
  <c r="P189" i="2" s="1"/>
  <c r="H189" i="2"/>
  <c r="I189" i="2" s="1"/>
  <c r="J189" i="2" s="1"/>
  <c r="E189" i="2"/>
  <c r="F189" i="2" s="1"/>
  <c r="G189" i="2" s="1"/>
  <c r="K189" i="2"/>
  <c r="L189" i="2" s="1"/>
  <c r="M189" i="2" s="1"/>
  <c r="C190" i="2"/>
  <c r="D189" i="2"/>
  <c r="A191" i="2" l="1"/>
  <c r="E190" i="2"/>
  <c r="F190" i="2" s="1"/>
  <c r="G190" i="2" s="1"/>
  <c r="N190" i="2"/>
  <c r="O190" i="2" s="1"/>
  <c r="P190" i="2" s="1"/>
  <c r="K190" i="2"/>
  <c r="L190" i="2" s="1"/>
  <c r="M190" i="2" s="1"/>
  <c r="H190" i="2"/>
  <c r="I190" i="2" s="1"/>
  <c r="J190" i="2" s="1"/>
  <c r="D190" i="2"/>
  <c r="C191" i="2"/>
  <c r="A192" i="2" l="1"/>
  <c r="H191" i="2"/>
  <c r="I191" i="2" s="1"/>
  <c r="J191" i="2" s="1"/>
  <c r="N191" i="2"/>
  <c r="O191" i="2" s="1"/>
  <c r="P191" i="2" s="1"/>
  <c r="K191" i="2"/>
  <c r="L191" i="2" s="1"/>
  <c r="M191" i="2" s="1"/>
  <c r="E191" i="2"/>
  <c r="F191" i="2" s="1"/>
  <c r="G191" i="2" s="1"/>
  <c r="D191" i="2"/>
  <c r="C192" i="2"/>
  <c r="A193" i="2" l="1"/>
  <c r="N192" i="2"/>
  <c r="O192" i="2" s="1"/>
  <c r="P192" i="2" s="1"/>
  <c r="K192" i="2"/>
  <c r="L192" i="2" s="1"/>
  <c r="M192" i="2" s="1"/>
  <c r="H192" i="2"/>
  <c r="I192" i="2" s="1"/>
  <c r="J192" i="2" s="1"/>
  <c r="E192" i="2"/>
  <c r="F192" i="2" s="1"/>
  <c r="G192" i="2" s="1"/>
  <c r="C193" i="2"/>
  <c r="D192" i="2"/>
  <c r="A194" i="2" l="1"/>
  <c r="N193" i="2"/>
  <c r="O193" i="2" s="1"/>
  <c r="P193" i="2" s="1"/>
  <c r="H193" i="2"/>
  <c r="I193" i="2" s="1"/>
  <c r="J193" i="2" s="1"/>
  <c r="E193" i="2"/>
  <c r="F193" i="2" s="1"/>
  <c r="G193" i="2" s="1"/>
  <c r="K193" i="2"/>
  <c r="L193" i="2" s="1"/>
  <c r="M193" i="2" s="1"/>
  <c r="D193" i="2"/>
  <c r="C194" i="2"/>
  <c r="A195" i="2" l="1"/>
  <c r="H194" i="2"/>
  <c r="I194" i="2" s="1"/>
  <c r="J194" i="2" s="1"/>
  <c r="E194" i="2"/>
  <c r="F194" i="2" s="1"/>
  <c r="G194" i="2" s="1"/>
  <c r="N194" i="2"/>
  <c r="O194" i="2" s="1"/>
  <c r="P194" i="2" s="1"/>
  <c r="K194" i="2"/>
  <c r="L194" i="2" s="1"/>
  <c r="M194" i="2" s="1"/>
  <c r="C195" i="2"/>
  <c r="D194" i="2"/>
  <c r="A196" i="2" l="1"/>
  <c r="N195" i="2"/>
  <c r="O195" i="2" s="1"/>
  <c r="P195" i="2" s="1"/>
  <c r="H195" i="2"/>
  <c r="I195" i="2" s="1"/>
  <c r="J195" i="2" s="1"/>
  <c r="E195" i="2"/>
  <c r="F195" i="2" s="1"/>
  <c r="G195" i="2" s="1"/>
  <c r="K195" i="2"/>
  <c r="L195" i="2" s="1"/>
  <c r="M195" i="2" s="1"/>
  <c r="C196" i="2"/>
  <c r="D195" i="2"/>
  <c r="A197" i="2" l="1"/>
  <c r="N196" i="2"/>
  <c r="O196" i="2" s="1"/>
  <c r="P196" i="2" s="1"/>
  <c r="K196" i="2"/>
  <c r="L196" i="2" s="1"/>
  <c r="M196" i="2" s="1"/>
  <c r="H196" i="2"/>
  <c r="I196" i="2" s="1"/>
  <c r="J196" i="2" s="1"/>
  <c r="E196" i="2"/>
  <c r="F196" i="2" s="1"/>
  <c r="G196" i="2" s="1"/>
  <c r="D196" i="2"/>
  <c r="C197" i="2"/>
  <c r="A198" i="2" l="1"/>
  <c r="N197" i="2"/>
  <c r="O197" i="2" s="1"/>
  <c r="P197" i="2" s="1"/>
  <c r="H197" i="2"/>
  <c r="I197" i="2" s="1"/>
  <c r="J197" i="2" s="1"/>
  <c r="K197" i="2"/>
  <c r="L197" i="2" s="1"/>
  <c r="M197" i="2" s="1"/>
  <c r="E197" i="2"/>
  <c r="F197" i="2" s="1"/>
  <c r="G197" i="2" s="1"/>
  <c r="C198" i="2"/>
  <c r="D197" i="2"/>
  <c r="A199" i="2" l="1"/>
  <c r="N198" i="2"/>
  <c r="O198" i="2" s="1"/>
  <c r="P198" i="2" s="1"/>
  <c r="E198" i="2"/>
  <c r="F198" i="2" s="1"/>
  <c r="G198" i="2" s="1"/>
  <c r="K198" i="2"/>
  <c r="L198" i="2" s="1"/>
  <c r="M198" i="2" s="1"/>
  <c r="H198" i="2"/>
  <c r="I198" i="2" s="1"/>
  <c r="J198" i="2" s="1"/>
  <c r="D198" i="2"/>
  <c r="C199" i="2"/>
  <c r="A200" i="2" l="1"/>
  <c r="N199" i="2"/>
  <c r="O199" i="2" s="1"/>
  <c r="P199" i="2" s="1"/>
  <c r="H199" i="2"/>
  <c r="I199" i="2" s="1"/>
  <c r="J199" i="2" s="1"/>
  <c r="E199" i="2"/>
  <c r="F199" i="2" s="1"/>
  <c r="G199" i="2" s="1"/>
  <c r="K199" i="2"/>
  <c r="L199" i="2" s="1"/>
  <c r="M199" i="2" s="1"/>
  <c r="D199" i="2"/>
  <c r="C200" i="2"/>
  <c r="A201" i="2" l="1"/>
  <c r="N200" i="2"/>
  <c r="O200" i="2" s="1"/>
  <c r="P200" i="2" s="1"/>
  <c r="H200" i="2"/>
  <c r="I200" i="2" s="1"/>
  <c r="J200" i="2" s="1"/>
  <c r="K200" i="2"/>
  <c r="L200" i="2" s="1"/>
  <c r="M200" i="2" s="1"/>
  <c r="E200" i="2"/>
  <c r="F200" i="2" s="1"/>
  <c r="G200" i="2" s="1"/>
  <c r="D200" i="2"/>
  <c r="C201" i="2"/>
  <c r="A202" i="2" l="1"/>
  <c r="N201" i="2"/>
  <c r="O201" i="2" s="1"/>
  <c r="P201" i="2" s="1"/>
  <c r="K201" i="2"/>
  <c r="L201" i="2" s="1"/>
  <c r="M201" i="2" s="1"/>
  <c r="H201" i="2"/>
  <c r="I201" i="2" s="1"/>
  <c r="J201" i="2" s="1"/>
  <c r="E201" i="2"/>
  <c r="F201" i="2" s="1"/>
  <c r="G201" i="2" s="1"/>
  <c r="C202" i="2"/>
  <c r="D201" i="2"/>
  <c r="A203" i="2" l="1"/>
  <c r="H202" i="2"/>
  <c r="I202" i="2" s="1"/>
  <c r="J202" i="2" s="1"/>
  <c r="E202" i="2"/>
  <c r="F202" i="2" s="1"/>
  <c r="G202" i="2" s="1"/>
  <c r="N202" i="2"/>
  <c r="O202" i="2" s="1"/>
  <c r="P202" i="2" s="1"/>
  <c r="K202" i="2"/>
  <c r="L202" i="2" s="1"/>
  <c r="M202" i="2" s="1"/>
  <c r="C203" i="2"/>
  <c r="D202" i="2"/>
  <c r="A204" i="2" l="1"/>
  <c r="N203" i="2"/>
  <c r="O203" i="2" s="1"/>
  <c r="P203" i="2" s="1"/>
  <c r="K203" i="2"/>
  <c r="L203" i="2" s="1"/>
  <c r="M203" i="2" s="1"/>
  <c r="H203" i="2"/>
  <c r="I203" i="2" s="1"/>
  <c r="J203" i="2" s="1"/>
  <c r="E203" i="2"/>
  <c r="F203" i="2" s="1"/>
  <c r="G203" i="2" s="1"/>
  <c r="D203" i="2"/>
  <c r="C204" i="2"/>
  <c r="A205" i="2" l="1"/>
  <c r="N204" i="2"/>
  <c r="O204" i="2" s="1"/>
  <c r="P204" i="2" s="1"/>
  <c r="H204" i="2"/>
  <c r="I204" i="2" s="1"/>
  <c r="J204" i="2" s="1"/>
  <c r="E204" i="2"/>
  <c r="F204" i="2" s="1"/>
  <c r="G204" i="2" s="1"/>
  <c r="K204" i="2"/>
  <c r="L204" i="2" s="1"/>
  <c r="M204" i="2" s="1"/>
  <c r="C205" i="2"/>
  <c r="D204" i="2"/>
  <c r="A206" i="2" l="1"/>
  <c r="H205" i="2"/>
  <c r="I205" i="2" s="1"/>
  <c r="J205" i="2" s="1"/>
  <c r="N205" i="2"/>
  <c r="O205" i="2" s="1"/>
  <c r="P205" i="2" s="1"/>
  <c r="K205" i="2"/>
  <c r="L205" i="2" s="1"/>
  <c r="M205" i="2" s="1"/>
  <c r="E205" i="2"/>
  <c r="F205" i="2" s="1"/>
  <c r="G205" i="2" s="1"/>
  <c r="C206" i="2"/>
  <c r="D205" i="2"/>
  <c r="A207" i="2" l="1"/>
  <c r="E206" i="2"/>
  <c r="F206" i="2" s="1"/>
  <c r="G206" i="2" s="1"/>
  <c r="N206" i="2"/>
  <c r="O206" i="2" s="1"/>
  <c r="P206" i="2" s="1"/>
  <c r="K206" i="2"/>
  <c r="L206" i="2" s="1"/>
  <c r="M206" i="2" s="1"/>
  <c r="H206" i="2"/>
  <c r="I206" i="2" s="1"/>
  <c r="J206" i="2" s="1"/>
  <c r="D206" i="2"/>
  <c r="C207" i="2"/>
  <c r="A208" i="2" l="1"/>
  <c r="N207" i="2"/>
  <c r="O207" i="2" s="1"/>
  <c r="P207" i="2" s="1"/>
  <c r="E207" i="2"/>
  <c r="F207" i="2" s="1"/>
  <c r="G207" i="2" s="1"/>
  <c r="K207" i="2"/>
  <c r="L207" i="2" s="1"/>
  <c r="M207" i="2" s="1"/>
  <c r="H207" i="2"/>
  <c r="I207" i="2" s="1"/>
  <c r="J207" i="2" s="1"/>
  <c r="C208" i="2"/>
  <c r="D207" i="2"/>
  <c r="A209" i="2" l="1"/>
  <c r="N208" i="2"/>
  <c r="O208" i="2" s="1"/>
  <c r="P208" i="2" s="1"/>
  <c r="H208" i="2"/>
  <c r="I208" i="2" s="1"/>
  <c r="J208" i="2" s="1"/>
  <c r="K208" i="2"/>
  <c r="L208" i="2" s="1"/>
  <c r="M208" i="2" s="1"/>
  <c r="E208" i="2"/>
  <c r="F208" i="2" s="1"/>
  <c r="G208" i="2" s="1"/>
  <c r="D208" i="2"/>
  <c r="C209" i="2"/>
  <c r="A210" i="2" l="1"/>
  <c r="H209" i="2"/>
  <c r="I209" i="2" s="1"/>
  <c r="J209" i="2" s="1"/>
  <c r="N209" i="2"/>
  <c r="O209" i="2" s="1"/>
  <c r="P209" i="2" s="1"/>
  <c r="E209" i="2"/>
  <c r="F209" i="2" s="1"/>
  <c r="G209" i="2" s="1"/>
  <c r="K209" i="2"/>
  <c r="L209" i="2" s="1"/>
  <c r="M209" i="2" s="1"/>
  <c r="D209" i="2"/>
  <c r="C210" i="2"/>
  <c r="A211" i="2" l="1"/>
  <c r="N210" i="2"/>
  <c r="O210" i="2" s="1"/>
  <c r="P210" i="2" s="1"/>
  <c r="K210" i="2"/>
  <c r="L210" i="2" s="1"/>
  <c r="M210" i="2" s="1"/>
  <c r="H210" i="2"/>
  <c r="I210" i="2" s="1"/>
  <c r="J210" i="2" s="1"/>
  <c r="E210" i="2"/>
  <c r="F210" i="2" s="1"/>
  <c r="G210" i="2" s="1"/>
  <c r="D210" i="2"/>
  <c r="C211" i="2"/>
  <c r="A212" i="2" l="1"/>
  <c r="E211" i="2"/>
  <c r="F211" i="2" s="1"/>
  <c r="G211" i="2" s="1"/>
  <c r="N211" i="2"/>
  <c r="O211" i="2" s="1"/>
  <c r="P211" i="2" s="1"/>
  <c r="H211" i="2"/>
  <c r="I211" i="2" s="1"/>
  <c r="J211" i="2" s="1"/>
  <c r="K211" i="2"/>
  <c r="L211" i="2" s="1"/>
  <c r="M211" i="2" s="1"/>
  <c r="D211" i="2"/>
  <c r="C212" i="2"/>
  <c r="A213" i="2" l="1"/>
  <c r="N212" i="2"/>
  <c r="O212" i="2" s="1"/>
  <c r="P212" i="2" s="1"/>
  <c r="K212" i="2"/>
  <c r="L212" i="2" s="1"/>
  <c r="M212" i="2" s="1"/>
  <c r="E212" i="2"/>
  <c r="F212" i="2" s="1"/>
  <c r="G212" i="2" s="1"/>
  <c r="H212" i="2"/>
  <c r="I212" i="2" s="1"/>
  <c r="J212" i="2" s="1"/>
  <c r="C213" i="2"/>
  <c r="D212" i="2"/>
  <c r="A214" i="2" l="1"/>
  <c r="H213" i="2"/>
  <c r="I213" i="2" s="1"/>
  <c r="J213" i="2" s="1"/>
  <c r="N213" i="2"/>
  <c r="O213" i="2" s="1"/>
  <c r="P213" i="2" s="1"/>
  <c r="E213" i="2"/>
  <c r="F213" i="2" s="1"/>
  <c r="G213" i="2" s="1"/>
  <c r="K213" i="2"/>
  <c r="L213" i="2" s="1"/>
  <c r="M213" i="2" s="1"/>
  <c r="C214" i="2"/>
  <c r="D213" i="2"/>
  <c r="A215" i="2" l="1"/>
  <c r="N214" i="2"/>
  <c r="O214" i="2" s="1"/>
  <c r="P214" i="2" s="1"/>
  <c r="K214" i="2"/>
  <c r="L214" i="2" s="1"/>
  <c r="M214" i="2" s="1"/>
  <c r="H214" i="2"/>
  <c r="I214" i="2" s="1"/>
  <c r="J214" i="2" s="1"/>
  <c r="E214" i="2"/>
  <c r="F214" i="2" s="1"/>
  <c r="G214" i="2" s="1"/>
  <c r="D214" i="2"/>
  <c r="C215" i="2"/>
  <c r="A216" i="2" l="1"/>
  <c r="N215" i="2"/>
  <c r="O215" i="2" s="1"/>
  <c r="P215" i="2" s="1"/>
  <c r="K215" i="2"/>
  <c r="L215" i="2" s="1"/>
  <c r="M215" i="2" s="1"/>
  <c r="E215" i="2"/>
  <c r="F215" i="2" s="1"/>
  <c r="G215" i="2" s="1"/>
  <c r="H215" i="2"/>
  <c r="I215" i="2" s="1"/>
  <c r="J215" i="2" s="1"/>
  <c r="D215" i="2"/>
  <c r="C216" i="2"/>
  <c r="A217" i="2" l="1"/>
  <c r="H216" i="2"/>
  <c r="I216" i="2" s="1"/>
  <c r="J216" i="2" s="1"/>
  <c r="N216" i="2"/>
  <c r="O216" i="2" s="1"/>
  <c r="P216" i="2" s="1"/>
  <c r="E216" i="2"/>
  <c r="F216" i="2" s="1"/>
  <c r="G216" i="2" s="1"/>
  <c r="K216" i="2"/>
  <c r="L216" i="2" s="1"/>
  <c r="M216" i="2" s="1"/>
  <c r="D216" i="2"/>
  <c r="C217" i="2"/>
  <c r="A218" i="2" l="1"/>
  <c r="N217" i="2"/>
  <c r="O217" i="2" s="1"/>
  <c r="P217" i="2" s="1"/>
  <c r="K217" i="2"/>
  <c r="L217" i="2" s="1"/>
  <c r="M217" i="2" s="1"/>
  <c r="H217" i="2"/>
  <c r="I217" i="2" s="1"/>
  <c r="J217" i="2" s="1"/>
  <c r="E217" i="2"/>
  <c r="F217" i="2" s="1"/>
  <c r="G217" i="2" s="1"/>
  <c r="D217" i="2"/>
  <c r="C218" i="2"/>
  <c r="A219" i="2" l="1"/>
  <c r="N218" i="2"/>
  <c r="O218" i="2" s="1"/>
  <c r="P218" i="2" s="1"/>
  <c r="E218" i="2"/>
  <c r="F218" i="2" s="1"/>
  <c r="G218" i="2" s="1"/>
  <c r="K218" i="2"/>
  <c r="L218" i="2" s="1"/>
  <c r="M218" i="2" s="1"/>
  <c r="H218" i="2"/>
  <c r="I218" i="2" s="1"/>
  <c r="J218" i="2" s="1"/>
  <c r="D218" i="2"/>
  <c r="C219" i="2"/>
  <c r="A220" i="2" l="1"/>
  <c r="N219" i="2"/>
  <c r="O219" i="2" s="1"/>
  <c r="P219" i="2" s="1"/>
  <c r="H219" i="2"/>
  <c r="I219" i="2" s="1"/>
  <c r="J219" i="2" s="1"/>
  <c r="K219" i="2"/>
  <c r="L219" i="2" s="1"/>
  <c r="M219" i="2" s="1"/>
  <c r="E219" i="2"/>
  <c r="F219" i="2" s="1"/>
  <c r="G219" i="2" s="1"/>
  <c r="D219" i="2"/>
  <c r="C220" i="2"/>
  <c r="A221" i="2" l="1"/>
  <c r="H220" i="2"/>
  <c r="I220" i="2" s="1"/>
  <c r="J220" i="2" s="1"/>
  <c r="N220" i="2"/>
  <c r="O220" i="2" s="1"/>
  <c r="P220" i="2" s="1"/>
  <c r="E220" i="2"/>
  <c r="F220" i="2" s="1"/>
  <c r="G220" i="2" s="1"/>
  <c r="K220" i="2"/>
  <c r="L220" i="2" s="1"/>
  <c r="M220" i="2" s="1"/>
  <c r="D220" i="2"/>
  <c r="C221" i="2"/>
  <c r="A222" i="2" l="1"/>
  <c r="N221" i="2"/>
  <c r="O221" i="2" s="1"/>
  <c r="P221" i="2" s="1"/>
  <c r="K221" i="2"/>
  <c r="L221" i="2" s="1"/>
  <c r="M221" i="2" s="1"/>
  <c r="H221" i="2"/>
  <c r="I221" i="2" s="1"/>
  <c r="J221" i="2" s="1"/>
  <c r="E221" i="2"/>
  <c r="F221" i="2" s="1"/>
  <c r="G221" i="2" s="1"/>
  <c r="C222" i="2"/>
  <c r="D221" i="2"/>
  <c r="A223" i="2" l="1"/>
  <c r="H222" i="2"/>
  <c r="I222" i="2" s="1"/>
  <c r="J222" i="2" s="1"/>
  <c r="N222" i="2"/>
  <c r="O222" i="2" s="1"/>
  <c r="P222" i="2" s="1"/>
  <c r="E222" i="2"/>
  <c r="F222" i="2" s="1"/>
  <c r="G222" i="2" s="1"/>
  <c r="K222" i="2"/>
  <c r="L222" i="2" s="1"/>
  <c r="M222" i="2" s="1"/>
  <c r="D222" i="2"/>
  <c r="C223" i="2"/>
  <c r="A224" i="2" l="1"/>
  <c r="N223" i="2"/>
  <c r="O223" i="2" s="1"/>
  <c r="P223" i="2" s="1"/>
  <c r="K223" i="2"/>
  <c r="L223" i="2" s="1"/>
  <c r="M223" i="2" s="1"/>
  <c r="H223" i="2"/>
  <c r="I223" i="2" s="1"/>
  <c r="J223" i="2" s="1"/>
  <c r="E223" i="2"/>
  <c r="F223" i="2" s="1"/>
  <c r="G223" i="2" s="1"/>
  <c r="D223" i="2"/>
  <c r="C224" i="2"/>
  <c r="A225" i="2" l="1"/>
  <c r="N224" i="2"/>
  <c r="O224" i="2" s="1"/>
  <c r="P224" i="2" s="1"/>
  <c r="E224" i="2"/>
  <c r="F224" i="2" s="1"/>
  <c r="G224" i="2" s="1"/>
  <c r="K224" i="2"/>
  <c r="L224" i="2" s="1"/>
  <c r="M224" i="2" s="1"/>
  <c r="H224" i="2"/>
  <c r="I224" i="2" s="1"/>
  <c r="J224" i="2" s="1"/>
  <c r="D224" i="2"/>
  <c r="C225" i="2"/>
  <c r="A226" i="2" l="1"/>
  <c r="N225" i="2"/>
  <c r="O225" i="2" s="1"/>
  <c r="P225" i="2" s="1"/>
  <c r="E225" i="2"/>
  <c r="F225" i="2" s="1"/>
  <c r="G225" i="2" s="1"/>
  <c r="K225" i="2"/>
  <c r="L225" i="2" s="1"/>
  <c r="M225" i="2" s="1"/>
  <c r="H225" i="2"/>
  <c r="I225" i="2" s="1"/>
  <c r="J225" i="2" s="1"/>
  <c r="C226" i="2"/>
  <c r="D225" i="2"/>
  <c r="A227" i="2" l="1"/>
  <c r="N226" i="2"/>
  <c r="O226" i="2" s="1"/>
  <c r="P226" i="2" s="1"/>
  <c r="H226" i="2"/>
  <c r="I226" i="2" s="1"/>
  <c r="J226" i="2" s="1"/>
  <c r="K226" i="2"/>
  <c r="L226" i="2" s="1"/>
  <c r="M226" i="2" s="1"/>
  <c r="E226" i="2"/>
  <c r="F226" i="2" s="1"/>
  <c r="G226" i="2" s="1"/>
  <c r="D226" i="2"/>
  <c r="C227" i="2"/>
  <c r="A228" i="2" l="1"/>
  <c r="N227" i="2"/>
  <c r="O227" i="2" s="1"/>
  <c r="P227" i="2" s="1"/>
  <c r="E227" i="2"/>
  <c r="F227" i="2" s="1"/>
  <c r="G227" i="2" s="1"/>
  <c r="K227" i="2"/>
  <c r="L227" i="2" s="1"/>
  <c r="M227" i="2" s="1"/>
  <c r="H227" i="2"/>
  <c r="I227" i="2" s="1"/>
  <c r="J227" i="2" s="1"/>
  <c r="D227" i="2"/>
  <c r="C228" i="2"/>
  <c r="A229" i="2" l="1"/>
  <c r="H228" i="2"/>
  <c r="I228" i="2" s="1"/>
  <c r="J228" i="2" s="1"/>
  <c r="N228" i="2"/>
  <c r="O228" i="2" s="1"/>
  <c r="P228" i="2" s="1"/>
  <c r="K228" i="2"/>
  <c r="L228" i="2" s="1"/>
  <c r="M228" i="2" s="1"/>
  <c r="E228" i="2"/>
  <c r="F228" i="2" s="1"/>
  <c r="G228" i="2" s="1"/>
  <c r="C229" i="2"/>
  <c r="D228" i="2"/>
  <c r="A230" i="2" l="1"/>
  <c r="N229" i="2"/>
  <c r="O229" i="2" s="1"/>
  <c r="P229" i="2" s="1"/>
  <c r="E229" i="2"/>
  <c r="F229" i="2" s="1"/>
  <c r="G229" i="2" s="1"/>
  <c r="H229" i="2"/>
  <c r="I229" i="2" s="1"/>
  <c r="J229" i="2" s="1"/>
  <c r="K229" i="2"/>
  <c r="L229" i="2" s="1"/>
  <c r="M229" i="2" s="1"/>
  <c r="C230" i="2"/>
  <c r="D229" i="2"/>
  <c r="A231" i="2" l="1"/>
  <c r="N230" i="2"/>
  <c r="O230" i="2" s="1"/>
  <c r="P230" i="2" s="1"/>
  <c r="K230" i="2"/>
  <c r="L230" i="2" s="1"/>
  <c r="M230" i="2" s="1"/>
  <c r="E230" i="2"/>
  <c r="F230" i="2" s="1"/>
  <c r="G230" i="2" s="1"/>
  <c r="H230" i="2"/>
  <c r="I230" i="2" s="1"/>
  <c r="J230" i="2" s="1"/>
  <c r="D230" i="2"/>
  <c r="C231" i="2"/>
  <c r="A232" i="2" l="1"/>
  <c r="N231" i="2"/>
  <c r="O231" i="2" s="1"/>
  <c r="P231" i="2" s="1"/>
  <c r="K231" i="2"/>
  <c r="L231" i="2" s="1"/>
  <c r="M231" i="2" s="1"/>
  <c r="H231" i="2"/>
  <c r="I231" i="2" s="1"/>
  <c r="J231" i="2" s="1"/>
  <c r="E231" i="2"/>
  <c r="F231" i="2" s="1"/>
  <c r="G231" i="2" s="1"/>
  <c r="C232" i="2"/>
  <c r="D231" i="2"/>
  <c r="A233" i="2" l="1"/>
  <c r="H232" i="2"/>
  <c r="I232" i="2" s="1"/>
  <c r="J232" i="2" s="1"/>
  <c r="N232" i="2"/>
  <c r="O232" i="2" s="1"/>
  <c r="P232" i="2" s="1"/>
  <c r="E232" i="2"/>
  <c r="F232" i="2" s="1"/>
  <c r="G232" i="2" s="1"/>
  <c r="K232" i="2"/>
  <c r="L232" i="2" s="1"/>
  <c r="M232" i="2" s="1"/>
  <c r="D232" i="2"/>
  <c r="C233" i="2"/>
  <c r="A234" i="2" l="1"/>
  <c r="N233" i="2"/>
  <c r="O233" i="2" s="1"/>
  <c r="P233" i="2" s="1"/>
  <c r="E233" i="2"/>
  <c r="F233" i="2" s="1"/>
  <c r="G233" i="2" s="1"/>
  <c r="K233" i="2"/>
  <c r="L233" i="2" s="1"/>
  <c r="M233" i="2" s="1"/>
  <c r="H233" i="2"/>
  <c r="I233" i="2" s="1"/>
  <c r="J233" i="2" s="1"/>
  <c r="D233" i="2"/>
  <c r="C234" i="2"/>
  <c r="A235" i="2" l="1"/>
  <c r="N234" i="2"/>
  <c r="O234" i="2" s="1"/>
  <c r="P234" i="2" s="1"/>
  <c r="H234" i="2"/>
  <c r="I234" i="2" s="1"/>
  <c r="J234" i="2" s="1"/>
  <c r="K234" i="2"/>
  <c r="L234" i="2" s="1"/>
  <c r="M234" i="2" s="1"/>
  <c r="E234" i="2"/>
  <c r="F234" i="2" s="1"/>
  <c r="G234" i="2" s="1"/>
  <c r="C235" i="2"/>
  <c r="D234" i="2"/>
  <c r="A236" i="2" l="1"/>
  <c r="N235" i="2"/>
  <c r="O235" i="2" s="1"/>
  <c r="P235" i="2" s="1"/>
  <c r="E235" i="2"/>
  <c r="F235" i="2" s="1"/>
  <c r="G235" i="2" s="1"/>
  <c r="K235" i="2"/>
  <c r="L235" i="2" s="1"/>
  <c r="M235" i="2" s="1"/>
  <c r="H235" i="2"/>
  <c r="I235" i="2" s="1"/>
  <c r="J235" i="2" s="1"/>
  <c r="C236" i="2"/>
  <c r="D235" i="2"/>
  <c r="A237" i="2" l="1"/>
  <c r="N236" i="2"/>
  <c r="O236" i="2" s="1"/>
  <c r="P236" i="2" s="1"/>
  <c r="E236" i="2"/>
  <c r="F236" i="2" s="1"/>
  <c r="G236" i="2" s="1"/>
  <c r="H236" i="2"/>
  <c r="I236" i="2" s="1"/>
  <c r="J236" i="2" s="1"/>
  <c r="K236" i="2"/>
  <c r="L236" i="2" s="1"/>
  <c r="M236" i="2" s="1"/>
  <c r="C237" i="2"/>
  <c r="D236" i="2"/>
  <c r="A238" i="2" l="1"/>
  <c r="H237" i="2"/>
  <c r="I237" i="2" s="1"/>
  <c r="J237" i="2" s="1"/>
  <c r="N237" i="2"/>
  <c r="O237" i="2" s="1"/>
  <c r="P237" i="2" s="1"/>
  <c r="K237" i="2"/>
  <c r="L237" i="2" s="1"/>
  <c r="M237" i="2" s="1"/>
  <c r="E237" i="2"/>
  <c r="F237" i="2" s="1"/>
  <c r="G237" i="2" s="1"/>
  <c r="D237" i="2"/>
  <c r="C238" i="2"/>
  <c r="A239" i="2" l="1"/>
  <c r="N238" i="2"/>
  <c r="O238" i="2" s="1"/>
  <c r="P238" i="2" s="1"/>
  <c r="E238" i="2"/>
  <c r="F238" i="2" s="1"/>
  <c r="G238" i="2" s="1"/>
  <c r="K238" i="2"/>
  <c r="L238" i="2" s="1"/>
  <c r="M238" i="2" s="1"/>
  <c r="H238" i="2"/>
  <c r="I238" i="2" s="1"/>
  <c r="J238" i="2" s="1"/>
  <c r="C239" i="2"/>
  <c r="D238" i="2"/>
  <c r="A240" i="2" l="1"/>
  <c r="N239" i="2"/>
  <c r="O239" i="2" s="1"/>
  <c r="P239" i="2" s="1"/>
  <c r="K239" i="2"/>
  <c r="L239" i="2" s="1"/>
  <c r="M239" i="2" s="1"/>
  <c r="E239" i="2"/>
  <c r="F239" i="2" s="1"/>
  <c r="G239" i="2" s="1"/>
  <c r="H239" i="2"/>
  <c r="I239" i="2" s="1"/>
  <c r="J239" i="2" s="1"/>
  <c r="D239" i="2"/>
  <c r="C240" i="2"/>
  <c r="A241" i="2" l="1"/>
  <c r="E240" i="2"/>
  <c r="F240" i="2" s="1"/>
  <c r="G240" i="2" s="1"/>
  <c r="N240" i="2"/>
  <c r="O240" i="2" s="1"/>
  <c r="P240" i="2" s="1"/>
  <c r="H240" i="2"/>
  <c r="I240" i="2" s="1"/>
  <c r="J240" i="2" s="1"/>
  <c r="K240" i="2"/>
  <c r="L240" i="2" s="1"/>
  <c r="M240" i="2" s="1"/>
  <c r="C241" i="2"/>
  <c r="D240" i="2"/>
  <c r="A242" i="2" l="1"/>
  <c r="H241" i="2"/>
  <c r="I241" i="2" s="1"/>
  <c r="J241" i="2" s="1"/>
  <c r="N241" i="2"/>
  <c r="O241" i="2" s="1"/>
  <c r="P241" i="2" s="1"/>
  <c r="E241" i="2"/>
  <c r="F241" i="2" s="1"/>
  <c r="G241" i="2" s="1"/>
  <c r="K241" i="2"/>
  <c r="L241" i="2" s="1"/>
  <c r="M241" i="2" s="1"/>
  <c r="D241" i="2"/>
  <c r="C242" i="2"/>
  <c r="A243" i="2" l="1"/>
  <c r="N242" i="2"/>
  <c r="O242" i="2" s="1"/>
  <c r="P242" i="2" s="1"/>
  <c r="K242" i="2"/>
  <c r="L242" i="2" s="1"/>
  <c r="M242" i="2" s="1"/>
  <c r="H242" i="2"/>
  <c r="I242" i="2" s="1"/>
  <c r="J242" i="2" s="1"/>
  <c r="E242" i="2"/>
  <c r="F242" i="2" s="1"/>
  <c r="G242" i="2" s="1"/>
  <c r="D242" i="2"/>
  <c r="C243" i="2"/>
  <c r="A244" i="2" l="1"/>
  <c r="E243" i="2"/>
  <c r="F243" i="2" s="1"/>
  <c r="G243" i="2" s="1"/>
  <c r="N243" i="2"/>
  <c r="O243" i="2" s="1"/>
  <c r="P243" i="2" s="1"/>
  <c r="H243" i="2"/>
  <c r="I243" i="2" s="1"/>
  <c r="J243" i="2" s="1"/>
  <c r="K243" i="2"/>
  <c r="L243" i="2" s="1"/>
  <c r="M243" i="2" s="1"/>
  <c r="D243" i="2"/>
  <c r="C244" i="2"/>
  <c r="A245" i="2" l="1"/>
  <c r="H244" i="2"/>
  <c r="I244" i="2" s="1"/>
  <c r="J244" i="2" s="1"/>
  <c r="N244" i="2"/>
  <c r="O244" i="2" s="1"/>
  <c r="P244" i="2" s="1"/>
  <c r="E244" i="2"/>
  <c r="F244" i="2" s="1"/>
  <c r="G244" i="2" s="1"/>
  <c r="K244" i="2"/>
  <c r="L244" i="2" s="1"/>
  <c r="M244" i="2" s="1"/>
  <c r="C245" i="2"/>
  <c r="D244" i="2"/>
  <c r="A246" i="2" l="1"/>
  <c r="N245" i="2"/>
  <c r="O245" i="2" s="1"/>
  <c r="P245" i="2" s="1"/>
  <c r="H245" i="2"/>
  <c r="I245" i="2" s="1"/>
  <c r="J245" i="2" s="1"/>
  <c r="K245" i="2"/>
  <c r="L245" i="2" s="1"/>
  <c r="M245" i="2" s="1"/>
  <c r="E245" i="2"/>
  <c r="F245" i="2" s="1"/>
  <c r="G245" i="2" s="1"/>
  <c r="D245" i="2"/>
  <c r="C246" i="2"/>
  <c r="A247" i="2" l="1"/>
  <c r="E246" i="2"/>
  <c r="F246" i="2" s="1"/>
  <c r="G246" i="2" s="1"/>
  <c r="N246" i="2"/>
  <c r="O246" i="2" s="1"/>
  <c r="P246" i="2" s="1"/>
  <c r="K246" i="2"/>
  <c r="L246" i="2" s="1"/>
  <c r="M246" i="2" s="1"/>
  <c r="H246" i="2"/>
  <c r="I246" i="2" s="1"/>
  <c r="J246" i="2" s="1"/>
  <c r="C247" i="2"/>
  <c r="D246" i="2"/>
  <c r="A248" i="2" l="1"/>
  <c r="H247" i="2"/>
  <c r="I247" i="2" s="1"/>
  <c r="J247" i="2" s="1"/>
  <c r="N247" i="2"/>
  <c r="O247" i="2" s="1"/>
  <c r="P247" i="2" s="1"/>
  <c r="K247" i="2"/>
  <c r="L247" i="2" s="1"/>
  <c r="M247" i="2" s="1"/>
  <c r="E247" i="2"/>
  <c r="F247" i="2" s="1"/>
  <c r="G247" i="2" s="1"/>
  <c r="D247" i="2"/>
  <c r="C248" i="2"/>
  <c r="A249" i="2" l="1"/>
  <c r="N248" i="2"/>
  <c r="O248" i="2" s="1"/>
  <c r="P248" i="2" s="1"/>
  <c r="K248" i="2"/>
  <c r="L248" i="2" s="1"/>
  <c r="M248" i="2" s="1"/>
  <c r="H248" i="2"/>
  <c r="I248" i="2" s="1"/>
  <c r="J248" i="2" s="1"/>
  <c r="E248" i="2"/>
  <c r="F248" i="2" s="1"/>
  <c r="G248" i="2" s="1"/>
  <c r="C249" i="2"/>
  <c r="D248" i="2"/>
  <c r="A250" i="2" l="1"/>
  <c r="N249" i="2"/>
  <c r="O249" i="2" s="1"/>
  <c r="P249" i="2" s="1"/>
  <c r="H249" i="2"/>
  <c r="I249" i="2" s="1"/>
  <c r="J249" i="2" s="1"/>
  <c r="E249" i="2"/>
  <c r="F249" i="2" s="1"/>
  <c r="G249" i="2" s="1"/>
  <c r="K249" i="2"/>
  <c r="L249" i="2" s="1"/>
  <c r="M249" i="2" s="1"/>
  <c r="D249" i="2"/>
  <c r="C250" i="2"/>
  <c r="A251" i="2" l="1"/>
  <c r="N250" i="2"/>
  <c r="O250" i="2" s="1"/>
  <c r="P250" i="2" s="1"/>
  <c r="K250" i="2"/>
  <c r="L250" i="2" s="1"/>
  <c r="M250" i="2" s="1"/>
  <c r="E250" i="2"/>
  <c r="F250" i="2" s="1"/>
  <c r="G250" i="2" s="1"/>
  <c r="H250" i="2"/>
  <c r="I250" i="2" s="1"/>
  <c r="J250" i="2" s="1"/>
  <c r="C251" i="2"/>
  <c r="D250" i="2"/>
  <c r="A252" i="2" l="1"/>
  <c r="N251" i="2"/>
  <c r="O251" i="2" s="1"/>
  <c r="P251" i="2" s="1"/>
  <c r="E251" i="2"/>
  <c r="F251" i="2" s="1"/>
  <c r="G251" i="2" s="1"/>
  <c r="K251" i="2"/>
  <c r="L251" i="2" s="1"/>
  <c r="M251" i="2" s="1"/>
  <c r="H251" i="2"/>
  <c r="I251" i="2" s="1"/>
  <c r="J251" i="2" s="1"/>
  <c r="C252" i="2"/>
  <c r="D251" i="2"/>
  <c r="A253" i="2" l="1"/>
  <c r="N252" i="2"/>
  <c r="O252" i="2" s="1"/>
  <c r="P252" i="2" s="1"/>
  <c r="H252" i="2"/>
  <c r="I252" i="2" s="1"/>
  <c r="J252" i="2" s="1"/>
  <c r="K252" i="2"/>
  <c r="L252" i="2" s="1"/>
  <c r="M252" i="2" s="1"/>
  <c r="E252" i="2"/>
  <c r="F252" i="2" s="1"/>
  <c r="G252" i="2" s="1"/>
  <c r="C253" i="2"/>
  <c r="D252" i="2"/>
  <c r="A254" i="2" l="1"/>
  <c r="E253" i="2"/>
  <c r="F253" i="2" s="1"/>
  <c r="G253" i="2" s="1"/>
  <c r="N253" i="2"/>
  <c r="O253" i="2" s="1"/>
  <c r="P253" i="2" s="1"/>
  <c r="H253" i="2"/>
  <c r="I253" i="2" s="1"/>
  <c r="J253" i="2" s="1"/>
  <c r="K253" i="2"/>
  <c r="L253" i="2" s="1"/>
  <c r="M253" i="2" s="1"/>
  <c r="D253" i="2"/>
  <c r="C254" i="2"/>
  <c r="A255" i="2" l="1"/>
  <c r="N254" i="2"/>
  <c r="O254" i="2" s="1"/>
  <c r="P254" i="2" s="1"/>
  <c r="K254" i="2"/>
  <c r="L254" i="2" s="1"/>
  <c r="M254" i="2" s="1"/>
  <c r="E254" i="2"/>
  <c r="F254" i="2" s="1"/>
  <c r="G254" i="2" s="1"/>
  <c r="H254" i="2"/>
  <c r="I254" i="2" s="1"/>
  <c r="J254" i="2" s="1"/>
  <c r="C255" i="2"/>
  <c r="D254" i="2"/>
  <c r="A256" i="2" l="1"/>
  <c r="H255" i="2"/>
  <c r="I255" i="2" s="1"/>
  <c r="J255" i="2" s="1"/>
  <c r="N255" i="2"/>
  <c r="O255" i="2" s="1"/>
  <c r="P255" i="2" s="1"/>
  <c r="E255" i="2"/>
  <c r="F255" i="2" s="1"/>
  <c r="G255" i="2" s="1"/>
  <c r="K255" i="2"/>
  <c r="L255" i="2" s="1"/>
  <c r="M255" i="2" s="1"/>
  <c r="D255" i="2"/>
  <c r="C256" i="2"/>
  <c r="A257" i="2" l="1"/>
  <c r="N256" i="2"/>
  <c r="O256" i="2" s="1"/>
  <c r="P256" i="2" s="1"/>
  <c r="H256" i="2"/>
  <c r="I256" i="2" s="1"/>
  <c r="J256" i="2" s="1"/>
  <c r="K256" i="2"/>
  <c r="L256" i="2" s="1"/>
  <c r="M256" i="2" s="1"/>
  <c r="E256" i="2"/>
  <c r="F256" i="2" s="1"/>
  <c r="G256" i="2" s="1"/>
  <c r="C257" i="2"/>
  <c r="D256" i="2"/>
  <c r="A258" i="2" l="1"/>
  <c r="E257" i="2"/>
  <c r="F257" i="2" s="1"/>
  <c r="G257" i="2" s="1"/>
  <c r="N257" i="2"/>
  <c r="O257" i="2" s="1"/>
  <c r="P257" i="2" s="1"/>
  <c r="K257" i="2"/>
  <c r="L257" i="2" s="1"/>
  <c r="M257" i="2" s="1"/>
  <c r="H257" i="2"/>
  <c r="I257" i="2" s="1"/>
  <c r="J257" i="2" s="1"/>
  <c r="D257" i="2"/>
  <c r="C258" i="2"/>
  <c r="A259" i="2" l="1"/>
  <c r="N258" i="2"/>
  <c r="O258" i="2" s="1"/>
  <c r="P258" i="2" s="1"/>
  <c r="H258" i="2"/>
  <c r="I258" i="2" s="1"/>
  <c r="J258" i="2" s="1"/>
  <c r="K258" i="2"/>
  <c r="L258" i="2" s="1"/>
  <c r="M258" i="2" s="1"/>
  <c r="E258" i="2"/>
  <c r="F258" i="2" s="1"/>
  <c r="G258" i="2" s="1"/>
  <c r="C259" i="2"/>
  <c r="D258" i="2"/>
  <c r="A260" i="2" l="1"/>
  <c r="N259" i="2"/>
  <c r="O259" i="2" s="1"/>
  <c r="P259" i="2" s="1"/>
  <c r="E259" i="2"/>
  <c r="F259" i="2" s="1"/>
  <c r="G259" i="2" s="1"/>
  <c r="K259" i="2"/>
  <c r="L259" i="2" s="1"/>
  <c r="M259" i="2" s="1"/>
  <c r="H259" i="2"/>
  <c r="I259" i="2" s="1"/>
  <c r="J259" i="2" s="1"/>
  <c r="D259" i="2"/>
  <c r="C260" i="2"/>
  <c r="A261" i="2" l="1"/>
  <c r="H260" i="2"/>
  <c r="I260" i="2" s="1"/>
  <c r="J260" i="2" s="1"/>
  <c r="N260" i="2"/>
  <c r="O260" i="2" s="1"/>
  <c r="P260" i="2" s="1"/>
  <c r="K260" i="2"/>
  <c r="L260" i="2" s="1"/>
  <c r="M260" i="2" s="1"/>
  <c r="E260" i="2"/>
  <c r="F260" i="2" s="1"/>
  <c r="G260" i="2" s="1"/>
  <c r="C261" i="2"/>
  <c r="D260" i="2"/>
  <c r="A262" i="2" l="1"/>
  <c r="N261" i="2"/>
  <c r="O261" i="2" s="1"/>
  <c r="P261" i="2" s="1"/>
  <c r="E261" i="2"/>
  <c r="F261" i="2" s="1"/>
  <c r="G261" i="2" s="1"/>
  <c r="H261" i="2"/>
  <c r="I261" i="2" s="1"/>
  <c r="J261" i="2" s="1"/>
  <c r="K261" i="2"/>
  <c r="L261" i="2" s="1"/>
  <c r="M261" i="2" s="1"/>
  <c r="C262" i="2"/>
  <c r="D261" i="2"/>
  <c r="A263" i="2" l="1"/>
  <c r="N262" i="2"/>
  <c r="O262" i="2" s="1"/>
  <c r="P262" i="2" s="1"/>
  <c r="E262" i="2"/>
  <c r="F262" i="2" s="1"/>
  <c r="G262" i="2" s="1"/>
  <c r="K262" i="2"/>
  <c r="L262" i="2" s="1"/>
  <c r="M262" i="2" s="1"/>
  <c r="H262" i="2"/>
  <c r="I262" i="2" s="1"/>
  <c r="J262" i="2" s="1"/>
  <c r="C263" i="2"/>
  <c r="D262" i="2"/>
  <c r="A264" i="2" l="1"/>
  <c r="N263" i="2"/>
  <c r="O263" i="2" s="1"/>
  <c r="P263" i="2" s="1"/>
  <c r="K263" i="2"/>
  <c r="L263" i="2" s="1"/>
  <c r="M263" i="2" s="1"/>
  <c r="H263" i="2"/>
  <c r="I263" i="2" s="1"/>
  <c r="J263" i="2" s="1"/>
  <c r="E263" i="2"/>
  <c r="F263" i="2" s="1"/>
  <c r="G263" i="2" s="1"/>
  <c r="D263" i="2"/>
  <c r="C264" i="2"/>
  <c r="A265" i="2" l="1"/>
  <c r="N264" i="2"/>
  <c r="O264" i="2" s="1"/>
  <c r="P264" i="2" s="1"/>
  <c r="H264" i="2"/>
  <c r="I264" i="2" s="1"/>
  <c r="J264" i="2" s="1"/>
  <c r="K264" i="2"/>
  <c r="L264" i="2" s="1"/>
  <c r="M264" i="2" s="1"/>
  <c r="E264" i="2"/>
  <c r="F264" i="2" s="1"/>
  <c r="G264" i="2" s="1"/>
  <c r="C265" i="2"/>
  <c r="D264" i="2"/>
  <c r="A266" i="2" l="1"/>
  <c r="N265" i="2"/>
  <c r="O265" i="2" s="1"/>
  <c r="P265" i="2" s="1"/>
  <c r="E265" i="2"/>
  <c r="F265" i="2" s="1"/>
  <c r="G265" i="2" s="1"/>
  <c r="K265" i="2"/>
  <c r="L265" i="2" s="1"/>
  <c r="M265" i="2" s="1"/>
  <c r="H265" i="2"/>
  <c r="I265" i="2" s="1"/>
  <c r="J265" i="2" s="1"/>
  <c r="D265" i="2"/>
  <c r="C266" i="2"/>
  <c r="A267" i="2" l="1"/>
  <c r="N266" i="2"/>
  <c r="O266" i="2" s="1"/>
  <c r="P266" i="2" s="1"/>
  <c r="H266" i="2"/>
  <c r="I266" i="2" s="1"/>
  <c r="J266" i="2" s="1"/>
  <c r="K266" i="2"/>
  <c r="L266" i="2" s="1"/>
  <c r="M266" i="2" s="1"/>
  <c r="E266" i="2"/>
  <c r="F266" i="2" s="1"/>
  <c r="G266" i="2" s="1"/>
  <c r="C267" i="2"/>
  <c r="D266" i="2"/>
  <c r="A268" i="2" l="1"/>
  <c r="N267" i="2"/>
  <c r="O267" i="2" s="1"/>
  <c r="P267" i="2" s="1"/>
  <c r="K267" i="2"/>
  <c r="L267" i="2" s="1"/>
  <c r="M267" i="2" s="1"/>
  <c r="H267" i="2"/>
  <c r="I267" i="2" s="1"/>
  <c r="J267" i="2" s="1"/>
  <c r="E267" i="2"/>
  <c r="F267" i="2" s="1"/>
  <c r="G267" i="2" s="1"/>
  <c r="D267" i="2"/>
  <c r="C268" i="2"/>
  <c r="A269" i="2" l="1"/>
  <c r="N268" i="2"/>
  <c r="O268" i="2" s="1"/>
  <c r="P268" i="2" s="1"/>
  <c r="H268" i="2"/>
  <c r="I268" i="2" s="1"/>
  <c r="J268" i="2" s="1"/>
  <c r="E268" i="2"/>
  <c r="F268" i="2" s="1"/>
  <c r="G268" i="2" s="1"/>
  <c r="K268" i="2"/>
  <c r="L268" i="2" s="1"/>
  <c r="M268" i="2" s="1"/>
  <c r="D268" i="2"/>
  <c r="C269" i="2"/>
  <c r="A270" i="2" l="1"/>
  <c r="N269" i="2"/>
  <c r="O269" i="2" s="1"/>
  <c r="P269" i="2" s="1"/>
  <c r="K269" i="2"/>
  <c r="L269" i="2" s="1"/>
  <c r="M269" i="2" s="1"/>
  <c r="H269" i="2"/>
  <c r="I269" i="2" s="1"/>
  <c r="J269" i="2" s="1"/>
  <c r="E269" i="2"/>
  <c r="F269" i="2" s="1"/>
  <c r="G269" i="2" s="1"/>
  <c r="C270" i="2"/>
  <c r="D269" i="2"/>
  <c r="A271" i="2" l="1"/>
  <c r="N270" i="2"/>
  <c r="O270" i="2" s="1"/>
  <c r="P270" i="2" s="1"/>
  <c r="H270" i="2"/>
  <c r="I270" i="2" s="1"/>
  <c r="J270" i="2" s="1"/>
  <c r="E270" i="2"/>
  <c r="F270" i="2" s="1"/>
  <c r="G270" i="2" s="1"/>
  <c r="K270" i="2"/>
  <c r="L270" i="2" s="1"/>
  <c r="M270" i="2" s="1"/>
  <c r="D270" i="2"/>
  <c r="C271" i="2"/>
  <c r="A272" i="2" l="1"/>
  <c r="N271" i="2"/>
  <c r="O271" i="2" s="1"/>
  <c r="P271" i="2" s="1"/>
  <c r="K271" i="2"/>
  <c r="L271" i="2" s="1"/>
  <c r="M271" i="2" s="1"/>
  <c r="H271" i="2"/>
  <c r="I271" i="2" s="1"/>
  <c r="J271" i="2" s="1"/>
  <c r="E271" i="2"/>
  <c r="F271" i="2" s="1"/>
  <c r="G271" i="2" s="1"/>
  <c r="D271" i="2"/>
  <c r="C272" i="2"/>
  <c r="A273" i="2" l="1"/>
  <c r="N272" i="2"/>
  <c r="O272" i="2" s="1"/>
  <c r="P272" i="2" s="1"/>
  <c r="H272" i="2"/>
  <c r="I272" i="2" s="1"/>
  <c r="J272" i="2" s="1"/>
  <c r="K272" i="2"/>
  <c r="L272" i="2" s="1"/>
  <c r="M272" i="2" s="1"/>
  <c r="E272" i="2"/>
  <c r="F272" i="2" s="1"/>
  <c r="G272" i="2" s="1"/>
  <c r="C273" i="2"/>
  <c r="D272" i="2"/>
  <c r="A274" i="2" l="1"/>
  <c r="N273" i="2"/>
  <c r="O273" i="2" s="1"/>
  <c r="P273" i="2" s="1"/>
  <c r="E273" i="2"/>
  <c r="F273" i="2" s="1"/>
  <c r="G273" i="2" s="1"/>
  <c r="K273" i="2"/>
  <c r="L273" i="2" s="1"/>
  <c r="M273" i="2" s="1"/>
  <c r="H273" i="2"/>
  <c r="I273" i="2" s="1"/>
  <c r="J273" i="2" s="1"/>
  <c r="D273" i="2"/>
  <c r="C274" i="2"/>
  <c r="A275" i="2" l="1"/>
  <c r="H274" i="2"/>
  <c r="I274" i="2" s="1"/>
  <c r="J274" i="2" s="1"/>
  <c r="E274" i="2"/>
  <c r="F274" i="2" s="1"/>
  <c r="G274" i="2" s="1"/>
  <c r="N274" i="2"/>
  <c r="O274" i="2" s="1"/>
  <c r="P274" i="2" s="1"/>
  <c r="K274" i="2"/>
  <c r="L274" i="2" s="1"/>
  <c r="M274" i="2" s="1"/>
  <c r="D274" i="2"/>
  <c r="C275" i="2"/>
  <c r="A276" i="2" l="1"/>
  <c r="N275" i="2"/>
  <c r="O275" i="2" s="1"/>
  <c r="P275" i="2" s="1"/>
  <c r="H275" i="2"/>
  <c r="I275" i="2" s="1"/>
  <c r="J275" i="2" s="1"/>
  <c r="K275" i="2"/>
  <c r="L275" i="2" s="1"/>
  <c r="M275" i="2" s="1"/>
  <c r="E275" i="2"/>
  <c r="F275" i="2" s="1"/>
  <c r="G275" i="2" s="1"/>
  <c r="D275" i="2"/>
  <c r="C276" i="2"/>
  <c r="A277" i="2" l="1"/>
  <c r="N276" i="2"/>
  <c r="O276" i="2" s="1"/>
  <c r="P276" i="2" s="1"/>
  <c r="K276" i="2"/>
  <c r="L276" i="2" s="1"/>
  <c r="M276" i="2" s="1"/>
  <c r="E276" i="2"/>
  <c r="F276" i="2" s="1"/>
  <c r="G276" i="2" s="1"/>
  <c r="H276" i="2"/>
  <c r="I276" i="2" s="1"/>
  <c r="J276" i="2" s="1"/>
  <c r="D276" i="2"/>
  <c r="C277" i="2"/>
  <c r="A278" i="2" l="1"/>
  <c r="E277" i="2"/>
  <c r="F277" i="2" s="1"/>
  <c r="G277" i="2" s="1"/>
  <c r="N277" i="2"/>
  <c r="O277" i="2" s="1"/>
  <c r="P277" i="2" s="1"/>
  <c r="H277" i="2"/>
  <c r="I277" i="2" s="1"/>
  <c r="J277" i="2" s="1"/>
  <c r="K277" i="2"/>
  <c r="L277" i="2" s="1"/>
  <c r="M277" i="2" s="1"/>
  <c r="C278" i="2"/>
  <c r="D277" i="2"/>
  <c r="A279" i="2" l="1"/>
  <c r="N278" i="2"/>
  <c r="O278" i="2" s="1"/>
  <c r="P278" i="2" s="1"/>
  <c r="K278" i="2"/>
  <c r="L278" i="2" s="1"/>
  <c r="M278" i="2" s="1"/>
  <c r="E278" i="2"/>
  <c r="F278" i="2" s="1"/>
  <c r="G278" i="2" s="1"/>
  <c r="H278" i="2"/>
  <c r="I278" i="2" s="1"/>
  <c r="J278" i="2" s="1"/>
  <c r="C279" i="2"/>
  <c r="D278" i="2"/>
  <c r="A280" i="2" l="1"/>
  <c r="E279" i="2"/>
  <c r="F279" i="2" s="1"/>
  <c r="G279" i="2" s="1"/>
  <c r="N279" i="2"/>
  <c r="O279" i="2" s="1"/>
  <c r="P279" i="2" s="1"/>
  <c r="H279" i="2"/>
  <c r="I279" i="2" s="1"/>
  <c r="J279" i="2" s="1"/>
  <c r="K279" i="2"/>
  <c r="L279" i="2" s="1"/>
  <c r="M279" i="2" s="1"/>
  <c r="D279" i="2"/>
  <c r="C280" i="2"/>
  <c r="A281" i="2" l="1"/>
  <c r="N280" i="2"/>
  <c r="O280" i="2" s="1"/>
  <c r="P280" i="2" s="1"/>
  <c r="E280" i="2"/>
  <c r="F280" i="2" s="1"/>
  <c r="G280" i="2" s="1"/>
  <c r="K280" i="2"/>
  <c r="L280" i="2" s="1"/>
  <c r="M280" i="2" s="1"/>
  <c r="H280" i="2"/>
  <c r="I280" i="2" s="1"/>
  <c r="J280" i="2" s="1"/>
  <c r="D280" i="2"/>
  <c r="C281" i="2"/>
  <c r="A282" i="2" l="1"/>
  <c r="H281" i="2"/>
  <c r="I281" i="2" s="1"/>
  <c r="J281" i="2" s="1"/>
  <c r="N281" i="2"/>
  <c r="O281" i="2" s="1"/>
  <c r="P281" i="2" s="1"/>
  <c r="K281" i="2"/>
  <c r="L281" i="2" s="1"/>
  <c r="M281" i="2" s="1"/>
  <c r="E281" i="2"/>
  <c r="F281" i="2" s="1"/>
  <c r="G281" i="2" s="1"/>
  <c r="D281" i="2"/>
  <c r="C282" i="2"/>
  <c r="A283" i="2" l="1"/>
  <c r="N282" i="2"/>
  <c r="O282" i="2" s="1"/>
  <c r="P282" i="2" s="1"/>
  <c r="K282" i="2"/>
  <c r="L282" i="2" s="1"/>
  <c r="M282" i="2" s="1"/>
  <c r="H282" i="2"/>
  <c r="I282" i="2" s="1"/>
  <c r="J282" i="2" s="1"/>
  <c r="E282" i="2"/>
  <c r="F282" i="2" s="1"/>
  <c r="G282" i="2" s="1"/>
  <c r="D282" i="2"/>
  <c r="C283" i="2"/>
  <c r="A284" i="2" l="1"/>
  <c r="N283" i="2"/>
  <c r="O283" i="2" s="1"/>
  <c r="P283" i="2" s="1"/>
  <c r="K283" i="2"/>
  <c r="L283" i="2" s="1"/>
  <c r="M283" i="2" s="1"/>
  <c r="H283" i="2"/>
  <c r="I283" i="2" s="1"/>
  <c r="J283" i="2" s="1"/>
  <c r="E283" i="2"/>
  <c r="F283" i="2" s="1"/>
  <c r="G283" i="2" s="1"/>
  <c r="D283" i="2"/>
  <c r="C284" i="2"/>
  <c r="A285" i="2" l="1"/>
  <c r="N284" i="2"/>
  <c r="O284" i="2" s="1"/>
  <c r="P284" i="2" s="1"/>
  <c r="H284" i="2"/>
  <c r="I284" i="2" s="1"/>
  <c r="J284" i="2" s="1"/>
  <c r="E284" i="2"/>
  <c r="F284" i="2" s="1"/>
  <c r="G284" i="2" s="1"/>
  <c r="K284" i="2"/>
  <c r="L284" i="2" s="1"/>
  <c r="M284" i="2" s="1"/>
  <c r="D284" i="2"/>
  <c r="C285" i="2"/>
  <c r="A286" i="2" l="1"/>
  <c r="N285" i="2"/>
  <c r="O285" i="2" s="1"/>
  <c r="P285" i="2" s="1"/>
  <c r="K285" i="2"/>
  <c r="L285" i="2" s="1"/>
  <c r="M285" i="2" s="1"/>
  <c r="H285" i="2"/>
  <c r="I285" i="2" s="1"/>
  <c r="J285" i="2" s="1"/>
  <c r="E285" i="2"/>
  <c r="F285" i="2" s="1"/>
  <c r="G285" i="2" s="1"/>
  <c r="C286" i="2"/>
  <c r="D285" i="2"/>
  <c r="A287" i="2" l="1"/>
  <c r="E286" i="2"/>
  <c r="F286" i="2" s="1"/>
  <c r="G286" i="2" s="1"/>
  <c r="N286" i="2"/>
  <c r="O286" i="2" s="1"/>
  <c r="P286" i="2" s="1"/>
  <c r="K286" i="2"/>
  <c r="L286" i="2" s="1"/>
  <c r="M286" i="2" s="1"/>
  <c r="H286" i="2"/>
  <c r="I286" i="2" s="1"/>
  <c r="J286" i="2" s="1"/>
  <c r="D286" i="2"/>
  <c r="C287" i="2"/>
  <c r="A288" i="2" l="1"/>
  <c r="N287" i="2"/>
  <c r="O287" i="2" s="1"/>
  <c r="P287" i="2" s="1"/>
  <c r="K287" i="2"/>
  <c r="L287" i="2" s="1"/>
  <c r="M287" i="2" s="1"/>
  <c r="H287" i="2"/>
  <c r="I287" i="2" s="1"/>
  <c r="J287" i="2" s="1"/>
  <c r="E287" i="2"/>
  <c r="F287" i="2" s="1"/>
  <c r="G287" i="2" s="1"/>
  <c r="D287" i="2"/>
  <c r="C288" i="2"/>
  <c r="A289" i="2" l="1"/>
  <c r="N288" i="2"/>
  <c r="O288" i="2" s="1"/>
  <c r="P288" i="2" s="1"/>
  <c r="H288" i="2"/>
  <c r="I288" i="2" s="1"/>
  <c r="J288" i="2" s="1"/>
  <c r="E288" i="2"/>
  <c r="F288" i="2" s="1"/>
  <c r="G288" i="2" s="1"/>
  <c r="K288" i="2"/>
  <c r="L288" i="2" s="1"/>
  <c r="M288" i="2" s="1"/>
  <c r="D288" i="2"/>
  <c r="C289" i="2"/>
  <c r="A290" i="2" l="1"/>
  <c r="E289" i="2"/>
  <c r="F289" i="2" s="1"/>
  <c r="G289" i="2" s="1"/>
  <c r="N289" i="2"/>
  <c r="O289" i="2" s="1"/>
  <c r="P289" i="2" s="1"/>
  <c r="K289" i="2"/>
  <c r="L289" i="2" s="1"/>
  <c r="M289" i="2" s="1"/>
  <c r="H289" i="2"/>
  <c r="I289" i="2" s="1"/>
  <c r="J289" i="2" s="1"/>
  <c r="D289" i="2"/>
  <c r="C290" i="2"/>
  <c r="A291" i="2" l="1"/>
  <c r="N290" i="2"/>
  <c r="O290" i="2" s="1"/>
  <c r="P290" i="2" s="1"/>
  <c r="K290" i="2"/>
  <c r="L290" i="2" s="1"/>
  <c r="M290" i="2" s="1"/>
  <c r="H290" i="2"/>
  <c r="I290" i="2" s="1"/>
  <c r="J290" i="2" s="1"/>
  <c r="E290" i="2"/>
  <c r="F290" i="2" s="1"/>
  <c r="G290" i="2" s="1"/>
  <c r="D290" i="2"/>
  <c r="C291" i="2"/>
  <c r="A292" i="2" l="1"/>
  <c r="H291" i="2"/>
  <c r="I291" i="2" s="1"/>
  <c r="J291" i="2" s="1"/>
  <c r="N291" i="2"/>
  <c r="O291" i="2" s="1"/>
  <c r="P291" i="2" s="1"/>
  <c r="K291" i="2"/>
  <c r="L291" i="2" s="1"/>
  <c r="M291" i="2" s="1"/>
  <c r="E291" i="2"/>
  <c r="F291" i="2" s="1"/>
  <c r="G291" i="2" s="1"/>
  <c r="D291" i="2"/>
  <c r="C292" i="2"/>
  <c r="A293" i="2" l="1"/>
  <c r="N292" i="2"/>
  <c r="O292" i="2" s="1"/>
  <c r="P292" i="2" s="1"/>
  <c r="E292" i="2"/>
  <c r="F292" i="2" s="1"/>
  <c r="G292" i="2" s="1"/>
  <c r="K292" i="2"/>
  <c r="L292" i="2" s="1"/>
  <c r="M292" i="2" s="1"/>
  <c r="H292" i="2"/>
  <c r="I292" i="2" s="1"/>
  <c r="J292" i="2" s="1"/>
  <c r="D292" i="2"/>
  <c r="C293" i="2"/>
  <c r="A294" i="2" l="1"/>
  <c r="N293" i="2"/>
  <c r="O293" i="2" s="1"/>
  <c r="P293" i="2" s="1"/>
  <c r="K293" i="2"/>
  <c r="L293" i="2" s="1"/>
  <c r="M293" i="2" s="1"/>
  <c r="H293" i="2"/>
  <c r="I293" i="2" s="1"/>
  <c r="J293" i="2" s="1"/>
  <c r="E293" i="2"/>
  <c r="F293" i="2" s="1"/>
  <c r="G293" i="2" s="1"/>
  <c r="C294" i="2"/>
  <c r="D293" i="2"/>
  <c r="A295" i="2" l="1"/>
  <c r="H294" i="2"/>
  <c r="I294" i="2" s="1"/>
  <c r="J294" i="2" s="1"/>
  <c r="E294" i="2"/>
  <c r="F294" i="2" s="1"/>
  <c r="G294" i="2" s="1"/>
  <c r="N294" i="2"/>
  <c r="O294" i="2" s="1"/>
  <c r="P294" i="2" s="1"/>
  <c r="K294" i="2"/>
  <c r="L294" i="2" s="1"/>
  <c r="M294" i="2" s="1"/>
  <c r="D294" i="2"/>
  <c r="C295" i="2"/>
  <c r="A296" i="2" l="1"/>
  <c r="N295" i="2"/>
  <c r="O295" i="2" s="1"/>
  <c r="P295" i="2" s="1"/>
  <c r="E295" i="2"/>
  <c r="F295" i="2" s="1"/>
  <c r="G295" i="2" s="1"/>
  <c r="K295" i="2"/>
  <c r="L295" i="2" s="1"/>
  <c r="M295" i="2" s="1"/>
  <c r="H295" i="2"/>
  <c r="I295" i="2" s="1"/>
  <c r="J295" i="2" s="1"/>
  <c r="D295" i="2"/>
  <c r="C296" i="2"/>
  <c r="A297" i="2" l="1"/>
  <c r="N296" i="2"/>
  <c r="O296" i="2" s="1"/>
  <c r="P296" i="2" s="1"/>
  <c r="H296" i="2"/>
  <c r="I296" i="2" s="1"/>
  <c r="J296" i="2" s="1"/>
  <c r="K296" i="2"/>
  <c r="L296" i="2" s="1"/>
  <c r="M296" i="2" s="1"/>
  <c r="E296" i="2"/>
  <c r="F296" i="2" s="1"/>
  <c r="G296" i="2" s="1"/>
  <c r="D296" i="2"/>
  <c r="C297" i="2"/>
  <c r="A298" i="2" l="1"/>
  <c r="N297" i="2"/>
  <c r="O297" i="2" s="1"/>
  <c r="P297" i="2" s="1"/>
  <c r="H297" i="2"/>
  <c r="I297" i="2" s="1"/>
  <c r="J297" i="2" s="1"/>
  <c r="E297" i="2"/>
  <c r="F297" i="2" s="1"/>
  <c r="G297" i="2" s="1"/>
  <c r="K297" i="2"/>
  <c r="L297" i="2" s="1"/>
  <c r="M297" i="2" s="1"/>
  <c r="D297" i="2"/>
  <c r="C298" i="2"/>
  <c r="A299" i="2" l="1"/>
  <c r="N298" i="2"/>
  <c r="O298" i="2" s="1"/>
  <c r="P298" i="2" s="1"/>
  <c r="E298" i="2"/>
  <c r="F298" i="2" s="1"/>
  <c r="G298" i="2" s="1"/>
  <c r="K298" i="2"/>
  <c r="L298" i="2" s="1"/>
  <c r="M298" i="2" s="1"/>
  <c r="H298" i="2"/>
  <c r="I298" i="2" s="1"/>
  <c r="J298" i="2" s="1"/>
  <c r="D298" i="2"/>
  <c r="C299" i="2"/>
  <c r="A300" i="2" l="1"/>
  <c r="N299" i="2"/>
  <c r="O299" i="2" s="1"/>
  <c r="P299" i="2" s="1"/>
  <c r="K299" i="2"/>
  <c r="L299" i="2" s="1"/>
  <c r="M299" i="2" s="1"/>
  <c r="E299" i="2"/>
  <c r="F299" i="2" s="1"/>
  <c r="G299" i="2" s="1"/>
  <c r="H299" i="2"/>
  <c r="I299" i="2" s="1"/>
  <c r="J299" i="2" s="1"/>
  <c r="D299" i="2"/>
  <c r="C300" i="2"/>
  <c r="A301" i="2" l="1"/>
  <c r="N300" i="2"/>
  <c r="O300" i="2" s="1"/>
  <c r="P300" i="2" s="1"/>
  <c r="E300" i="2"/>
  <c r="F300" i="2" s="1"/>
  <c r="G300" i="2" s="1"/>
  <c r="H300" i="2"/>
  <c r="I300" i="2" s="1"/>
  <c r="J300" i="2" s="1"/>
  <c r="K300" i="2"/>
  <c r="L300" i="2" s="1"/>
  <c r="M300" i="2" s="1"/>
  <c r="D300" i="2"/>
  <c r="C301" i="2"/>
  <c r="A302" i="2" l="1"/>
  <c r="H301" i="2"/>
  <c r="I301" i="2" s="1"/>
  <c r="J301" i="2" s="1"/>
  <c r="N301" i="2"/>
  <c r="O301" i="2" s="1"/>
  <c r="P301" i="2" s="1"/>
  <c r="E301" i="2"/>
  <c r="F301" i="2" s="1"/>
  <c r="G301" i="2" s="1"/>
  <c r="K301" i="2"/>
  <c r="L301" i="2" s="1"/>
  <c r="M301" i="2" s="1"/>
  <c r="D301" i="2"/>
  <c r="C302" i="2"/>
  <c r="A303" i="2" l="1"/>
  <c r="N302" i="2"/>
  <c r="O302" i="2" s="1"/>
  <c r="P302" i="2" s="1"/>
  <c r="K302" i="2"/>
  <c r="L302" i="2" s="1"/>
  <c r="M302" i="2" s="1"/>
  <c r="H302" i="2"/>
  <c r="I302" i="2" s="1"/>
  <c r="J302" i="2" s="1"/>
  <c r="E302" i="2"/>
  <c r="F302" i="2" s="1"/>
  <c r="G302" i="2" s="1"/>
  <c r="D302" i="2"/>
  <c r="C303" i="2"/>
  <c r="A304" i="2" l="1"/>
  <c r="E303" i="2"/>
  <c r="F303" i="2" s="1"/>
  <c r="G303" i="2" s="1"/>
  <c r="N303" i="2"/>
  <c r="O303" i="2" s="1"/>
  <c r="P303" i="2" s="1"/>
  <c r="H303" i="2"/>
  <c r="I303" i="2" s="1"/>
  <c r="J303" i="2" s="1"/>
  <c r="K303" i="2"/>
  <c r="L303" i="2" s="1"/>
  <c r="M303" i="2" s="1"/>
  <c r="D303" i="2"/>
  <c r="C304" i="2"/>
  <c r="A305" i="2" l="1"/>
  <c r="N304" i="2"/>
  <c r="O304" i="2" s="1"/>
  <c r="P304" i="2" s="1"/>
  <c r="K304" i="2"/>
  <c r="L304" i="2" s="1"/>
  <c r="M304" i="2" s="1"/>
  <c r="H304" i="2"/>
  <c r="I304" i="2" s="1"/>
  <c r="J304" i="2" s="1"/>
  <c r="E304" i="2"/>
  <c r="F304" i="2" s="1"/>
  <c r="G304" i="2" s="1"/>
  <c r="D304" i="2"/>
  <c r="C305" i="2"/>
  <c r="A306" i="2" l="1"/>
  <c r="H305" i="2"/>
  <c r="I305" i="2" s="1"/>
  <c r="J305" i="2" s="1"/>
  <c r="N305" i="2"/>
  <c r="O305" i="2" s="1"/>
  <c r="P305" i="2" s="1"/>
  <c r="K305" i="2"/>
  <c r="L305" i="2" s="1"/>
  <c r="M305" i="2" s="1"/>
  <c r="E305" i="2"/>
  <c r="F305" i="2" s="1"/>
  <c r="G305" i="2" s="1"/>
  <c r="D305" i="2"/>
  <c r="C306" i="2"/>
  <c r="A307" i="2" l="1"/>
  <c r="K306" i="2"/>
  <c r="L306" i="2" s="1"/>
  <c r="M306" i="2" s="1"/>
  <c r="N306" i="2"/>
  <c r="O306" i="2" s="1"/>
  <c r="P306" i="2" s="1"/>
  <c r="H306" i="2"/>
  <c r="I306" i="2" s="1"/>
  <c r="J306" i="2" s="1"/>
  <c r="E306" i="2"/>
  <c r="F306" i="2" s="1"/>
  <c r="G306" i="2" s="1"/>
  <c r="D306" i="2"/>
  <c r="C307" i="2"/>
  <c r="A308" i="2" l="1"/>
  <c r="N307" i="2"/>
  <c r="O307" i="2" s="1"/>
  <c r="P307" i="2" s="1"/>
  <c r="K307" i="2"/>
  <c r="L307" i="2" s="1"/>
  <c r="M307" i="2" s="1"/>
  <c r="H307" i="2"/>
  <c r="I307" i="2" s="1"/>
  <c r="J307" i="2" s="1"/>
  <c r="E307" i="2"/>
  <c r="F307" i="2" s="1"/>
  <c r="G307" i="2" s="1"/>
  <c r="D307" i="2"/>
  <c r="C308" i="2"/>
  <c r="A309" i="2" l="1"/>
  <c r="E308" i="2"/>
  <c r="F308" i="2" s="1"/>
  <c r="G308" i="2" s="1"/>
  <c r="N308" i="2"/>
  <c r="O308" i="2" s="1"/>
  <c r="P308" i="2" s="1"/>
  <c r="K308" i="2"/>
  <c r="L308" i="2" s="1"/>
  <c r="M308" i="2" s="1"/>
  <c r="H308" i="2"/>
  <c r="I308" i="2" s="1"/>
  <c r="J308" i="2" s="1"/>
  <c r="D308" i="2"/>
  <c r="C309" i="2"/>
  <c r="A310" i="2" l="1"/>
  <c r="N309" i="2"/>
  <c r="O309" i="2" s="1"/>
  <c r="P309" i="2" s="1"/>
  <c r="K309" i="2"/>
  <c r="L309" i="2" s="1"/>
  <c r="M309" i="2" s="1"/>
  <c r="H309" i="2"/>
  <c r="I309" i="2" s="1"/>
  <c r="J309" i="2" s="1"/>
  <c r="E309" i="2"/>
  <c r="F309" i="2" s="1"/>
  <c r="G309" i="2" s="1"/>
  <c r="D309" i="2"/>
  <c r="C310" i="2"/>
  <c r="A311" i="2" l="1"/>
  <c r="N310" i="2"/>
  <c r="O310" i="2" s="1"/>
  <c r="P310" i="2" s="1"/>
  <c r="K310" i="2"/>
  <c r="L310" i="2" s="1"/>
  <c r="M310" i="2" s="1"/>
  <c r="H310" i="2"/>
  <c r="I310" i="2" s="1"/>
  <c r="J310" i="2" s="1"/>
  <c r="E310" i="2"/>
  <c r="F310" i="2" s="1"/>
  <c r="G310" i="2" s="1"/>
  <c r="C311" i="2"/>
  <c r="D310" i="2"/>
  <c r="A312" i="2" l="1"/>
  <c r="E311" i="2"/>
  <c r="F311" i="2" s="1"/>
  <c r="G311" i="2" s="1"/>
  <c r="N311" i="2"/>
  <c r="O311" i="2" s="1"/>
  <c r="P311" i="2" s="1"/>
  <c r="K311" i="2"/>
  <c r="L311" i="2" s="1"/>
  <c r="M311" i="2" s="1"/>
  <c r="H311" i="2"/>
  <c r="I311" i="2" s="1"/>
  <c r="J311" i="2" s="1"/>
  <c r="D311" i="2"/>
  <c r="C312" i="2"/>
  <c r="A313" i="2" l="1"/>
  <c r="K312" i="2"/>
  <c r="L312" i="2" s="1"/>
  <c r="M312" i="2" s="1"/>
  <c r="H312" i="2"/>
  <c r="I312" i="2" s="1"/>
  <c r="J312" i="2" s="1"/>
  <c r="N312" i="2"/>
  <c r="O312" i="2" s="1"/>
  <c r="P312" i="2" s="1"/>
  <c r="E312" i="2"/>
  <c r="F312" i="2" s="1"/>
  <c r="G312" i="2" s="1"/>
  <c r="D312" i="2"/>
  <c r="C313" i="2"/>
  <c r="A314" i="2" l="1"/>
  <c r="N313" i="2"/>
  <c r="O313" i="2" s="1"/>
  <c r="P313" i="2" s="1"/>
  <c r="K313" i="2"/>
  <c r="L313" i="2" s="1"/>
  <c r="M313" i="2" s="1"/>
  <c r="H313" i="2"/>
  <c r="I313" i="2" s="1"/>
  <c r="J313" i="2" s="1"/>
  <c r="E313" i="2"/>
  <c r="F313" i="2" s="1"/>
  <c r="G313" i="2" s="1"/>
  <c r="D313" i="2"/>
  <c r="C314" i="2"/>
  <c r="A315" i="2" l="1"/>
  <c r="N314" i="2"/>
  <c r="O314" i="2" s="1"/>
  <c r="P314" i="2" s="1"/>
  <c r="E314" i="2"/>
  <c r="F314" i="2" s="1"/>
  <c r="G314" i="2" s="1"/>
  <c r="K314" i="2"/>
  <c r="L314" i="2" s="1"/>
  <c r="M314" i="2" s="1"/>
  <c r="H314" i="2"/>
  <c r="I314" i="2" s="1"/>
  <c r="J314" i="2" s="1"/>
  <c r="D314" i="2"/>
  <c r="C315" i="2"/>
  <c r="A316" i="2" l="1"/>
  <c r="K315" i="2"/>
  <c r="L315" i="2" s="1"/>
  <c r="M315" i="2" s="1"/>
  <c r="N315" i="2"/>
  <c r="O315" i="2" s="1"/>
  <c r="P315" i="2" s="1"/>
  <c r="H315" i="2"/>
  <c r="I315" i="2" s="1"/>
  <c r="J315" i="2" s="1"/>
  <c r="E315" i="2"/>
  <c r="F315" i="2" s="1"/>
  <c r="G315" i="2" s="1"/>
  <c r="D315" i="2"/>
  <c r="C316" i="2"/>
  <c r="A317" i="2" l="1"/>
  <c r="N316" i="2"/>
  <c r="O316" i="2" s="1"/>
  <c r="P316" i="2" s="1"/>
  <c r="K316" i="2"/>
  <c r="L316" i="2" s="1"/>
  <c r="M316" i="2" s="1"/>
  <c r="H316" i="2"/>
  <c r="I316" i="2" s="1"/>
  <c r="J316" i="2" s="1"/>
  <c r="E316" i="2"/>
  <c r="F316" i="2" s="1"/>
  <c r="G316" i="2" s="1"/>
  <c r="D316" i="2"/>
  <c r="C317" i="2"/>
  <c r="A318" i="2" l="1"/>
  <c r="E317" i="2"/>
  <c r="F317" i="2" s="1"/>
  <c r="G317" i="2" s="1"/>
  <c r="K317" i="2"/>
  <c r="L317" i="2" s="1"/>
  <c r="M317" i="2" s="1"/>
  <c r="N317" i="2"/>
  <c r="O317" i="2" s="1"/>
  <c r="P317" i="2" s="1"/>
  <c r="H317" i="2"/>
  <c r="I317" i="2" s="1"/>
  <c r="J317" i="2" s="1"/>
  <c r="D317" i="2"/>
  <c r="C318" i="2"/>
  <c r="A319" i="2" l="1"/>
  <c r="K318" i="2"/>
  <c r="L318" i="2" s="1"/>
  <c r="M318" i="2" s="1"/>
  <c r="N318" i="2"/>
  <c r="O318" i="2" s="1"/>
  <c r="P318" i="2" s="1"/>
  <c r="H318" i="2"/>
  <c r="I318" i="2" s="1"/>
  <c r="J318" i="2" s="1"/>
  <c r="E318" i="2"/>
  <c r="F318" i="2" s="1"/>
  <c r="G318" i="2" s="1"/>
  <c r="D318" i="2"/>
  <c r="C319" i="2"/>
  <c r="A320" i="2" l="1"/>
  <c r="N319" i="2"/>
  <c r="O319" i="2" s="1"/>
  <c r="P319" i="2" s="1"/>
  <c r="H319" i="2"/>
  <c r="I319" i="2" s="1"/>
  <c r="J319" i="2" s="1"/>
  <c r="K319" i="2"/>
  <c r="L319" i="2" s="1"/>
  <c r="M319" i="2" s="1"/>
  <c r="E319" i="2"/>
  <c r="F319" i="2" s="1"/>
  <c r="G319" i="2" s="1"/>
  <c r="D319" i="2"/>
  <c r="C320" i="2"/>
  <c r="A321" i="2" l="1"/>
  <c r="N320" i="2"/>
  <c r="O320" i="2" s="1"/>
  <c r="P320" i="2" s="1"/>
  <c r="K320" i="2"/>
  <c r="L320" i="2" s="1"/>
  <c r="M320" i="2" s="1"/>
  <c r="H320" i="2"/>
  <c r="I320" i="2" s="1"/>
  <c r="J320" i="2" s="1"/>
  <c r="E320" i="2"/>
  <c r="F320" i="2" s="1"/>
  <c r="G320" i="2" s="1"/>
  <c r="D320" i="2"/>
  <c r="C321" i="2"/>
  <c r="A322" i="2" l="1"/>
  <c r="K321" i="2"/>
  <c r="L321" i="2" s="1"/>
  <c r="M321" i="2" s="1"/>
  <c r="N321" i="2"/>
  <c r="O321" i="2" s="1"/>
  <c r="P321" i="2" s="1"/>
  <c r="H321" i="2"/>
  <c r="I321" i="2" s="1"/>
  <c r="J321" i="2" s="1"/>
  <c r="E321" i="2"/>
  <c r="F321" i="2" s="1"/>
  <c r="G321" i="2" s="1"/>
  <c r="D321" i="2"/>
  <c r="C322" i="2"/>
  <c r="A323" i="2" l="1"/>
  <c r="H322" i="2"/>
  <c r="I322" i="2" s="1"/>
  <c r="J322" i="2" s="1"/>
  <c r="E322" i="2"/>
  <c r="F322" i="2" s="1"/>
  <c r="G322" i="2" s="1"/>
  <c r="N322" i="2"/>
  <c r="O322" i="2" s="1"/>
  <c r="P322" i="2" s="1"/>
  <c r="K322" i="2"/>
  <c r="L322" i="2" s="1"/>
  <c r="M322" i="2" s="1"/>
  <c r="D322" i="2"/>
  <c r="C323" i="2"/>
  <c r="A324" i="2" l="1"/>
  <c r="N323" i="2"/>
  <c r="O323" i="2" s="1"/>
  <c r="P323" i="2" s="1"/>
  <c r="K323" i="2"/>
  <c r="L323" i="2" s="1"/>
  <c r="M323" i="2" s="1"/>
  <c r="H323" i="2"/>
  <c r="I323" i="2" s="1"/>
  <c r="J323" i="2" s="1"/>
  <c r="E323" i="2"/>
  <c r="F323" i="2" s="1"/>
  <c r="G323" i="2" s="1"/>
  <c r="D323" i="2"/>
  <c r="C324" i="2"/>
  <c r="A325" i="2" l="1"/>
  <c r="K324" i="2"/>
  <c r="L324" i="2" s="1"/>
  <c r="M324" i="2" s="1"/>
  <c r="E324" i="2"/>
  <c r="F324" i="2" s="1"/>
  <c r="G324" i="2" s="1"/>
  <c r="N324" i="2"/>
  <c r="O324" i="2" s="1"/>
  <c r="P324" i="2" s="1"/>
  <c r="H324" i="2"/>
  <c r="I324" i="2" s="1"/>
  <c r="J324" i="2" s="1"/>
  <c r="D324" i="2"/>
  <c r="C325" i="2"/>
  <c r="A326" i="2" l="1"/>
  <c r="H325" i="2"/>
  <c r="I325" i="2" s="1"/>
  <c r="J325" i="2" s="1"/>
  <c r="N325" i="2"/>
  <c r="O325" i="2" s="1"/>
  <c r="P325" i="2" s="1"/>
  <c r="K325" i="2"/>
  <c r="L325" i="2" s="1"/>
  <c r="M325" i="2" s="1"/>
  <c r="E325" i="2"/>
  <c r="F325" i="2" s="1"/>
  <c r="G325" i="2" s="1"/>
  <c r="D325" i="2"/>
  <c r="C326" i="2"/>
  <c r="A327" i="2" l="1"/>
  <c r="N326" i="2"/>
  <c r="O326" i="2" s="1"/>
  <c r="P326" i="2" s="1"/>
  <c r="K326" i="2"/>
  <c r="L326" i="2" s="1"/>
  <c r="M326" i="2" s="1"/>
  <c r="H326" i="2"/>
  <c r="I326" i="2" s="1"/>
  <c r="J326" i="2" s="1"/>
  <c r="E326" i="2"/>
  <c r="F326" i="2" s="1"/>
  <c r="G326" i="2" s="1"/>
  <c r="D326" i="2"/>
  <c r="C327" i="2"/>
  <c r="A328" i="2" l="1"/>
  <c r="K327" i="2"/>
  <c r="L327" i="2" s="1"/>
  <c r="M327" i="2" s="1"/>
  <c r="E327" i="2"/>
  <c r="F327" i="2" s="1"/>
  <c r="G327" i="2" s="1"/>
  <c r="N327" i="2"/>
  <c r="O327" i="2" s="1"/>
  <c r="P327" i="2" s="1"/>
  <c r="H327" i="2"/>
  <c r="I327" i="2" s="1"/>
  <c r="J327" i="2" s="1"/>
  <c r="D327" i="2"/>
  <c r="C328" i="2"/>
  <c r="A329" i="2" l="1"/>
  <c r="N328" i="2"/>
  <c r="O328" i="2" s="1"/>
  <c r="P328" i="2" s="1"/>
  <c r="K328" i="2"/>
  <c r="L328" i="2" s="1"/>
  <c r="M328" i="2" s="1"/>
  <c r="H328" i="2"/>
  <c r="I328" i="2" s="1"/>
  <c r="J328" i="2" s="1"/>
  <c r="E328" i="2"/>
  <c r="F328" i="2" s="1"/>
  <c r="G328" i="2" s="1"/>
  <c r="D328" i="2"/>
  <c r="C329" i="2"/>
  <c r="A330" i="2" l="1"/>
  <c r="N329" i="2"/>
  <c r="O329" i="2" s="1"/>
  <c r="P329" i="2" s="1"/>
  <c r="K329" i="2"/>
  <c r="L329" i="2" s="1"/>
  <c r="M329" i="2" s="1"/>
  <c r="H329" i="2"/>
  <c r="I329" i="2" s="1"/>
  <c r="J329" i="2" s="1"/>
  <c r="E329" i="2"/>
  <c r="F329" i="2" s="1"/>
  <c r="G329" i="2" s="1"/>
  <c r="D329" i="2"/>
  <c r="C330" i="2"/>
  <c r="A331" i="2" l="1"/>
  <c r="N330" i="2"/>
  <c r="O330" i="2" s="1"/>
  <c r="P330" i="2" s="1"/>
  <c r="K330" i="2"/>
  <c r="L330" i="2" s="1"/>
  <c r="M330" i="2" s="1"/>
  <c r="H330" i="2"/>
  <c r="I330" i="2" s="1"/>
  <c r="J330" i="2" s="1"/>
  <c r="E330" i="2"/>
  <c r="F330" i="2" s="1"/>
  <c r="G330" i="2" s="1"/>
  <c r="D330" i="2"/>
  <c r="C331" i="2"/>
  <c r="A332" i="2" l="1"/>
  <c r="H331" i="2"/>
  <c r="I331" i="2" s="1"/>
  <c r="J331" i="2" s="1"/>
  <c r="E331" i="2"/>
  <c r="F331" i="2" s="1"/>
  <c r="G331" i="2" s="1"/>
  <c r="N331" i="2"/>
  <c r="O331" i="2" s="1"/>
  <c r="P331" i="2" s="1"/>
  <c r="K331" i="2"/>
  <c r="L331" i="2" s="1"/>
  <c r="M331" i="2" s="1"/>
  <c r="D331" i="2"/>
  <c r="C332" i="2"/>
  <c r="A333" i="2" l="1"/>
  <c r="N332" i="2"/>
  <c r="O332" i="2" s="1"/>
  <c r="P332" i="2" s="1"/>
  <c r="K332" i="2"/>
  <c r="L332" i="2" s="1"/>
  <c r="M332" i="2" s="1"/>
  <c r="H332" i="2"/>
  <c r="I332" i="2" s="1"/>
  <c r="J332" i="2" s="1"/>
  <c r="E332" i="2"/>
  <c r="F332" i="2" s="1"/>
  <c r="G332" i="2" s="1"/>
  <c r="D332" i="2"/>
  <c r="C333" i="2"/>
  <c r="A334" i="2" l="1"/>
  <c r="K333" i="2"/>
  <c r="L333" i="2" s="1"/>
  <c r="M333" i="2" s="1"/>
  <c r="N333" i="2"/>
  <c r="O333" i="2" s="1"/>
  <c r="P333" i="2" s="1"/>
  <c r="H333" i="2"/>
  <c r="I333" i="2" s="1"/>
  <c r="J333" i="2" s="1"/>
  <c r="E333" i="2"/>
  <c r="F333" i="2" s="1"/>
  <c r="G333" i="2" s="1"/>
  <c r="D333" i="2"/>
  <c r="C334" i="2"/>
  <c r="A335" i="2" l="1"/>
  <c r="N334" i="2"/>
  <c r="O334" i="2" s="1"/>
  <c r="P334" i="2" s="1"/>
  <c r="K334" i="2"/>
  <c r="L334" i="2" s="1"/>
  <c r="M334" i="2" s="1"/>
  <c r="E334" i="2"/>
  <c r="F334" i="2" s="1"/>
  <c r="G334" i="2" s="1"/>
  <c r="H334" i="2"/>
  <c r="I334" i="2" s="1"/>
  <c r="J334" i="2" s="1"/>
  <c r="D334" i="2"/>
  <c r="C335" i="2"/>
  <c r="A336" i="2" l="1"/>
  <c r="H335" i="2"/>
  <c r="I335" i="2" s="1"/>
  <c r="J335" i="2" s="1"/>
  <c r="E335" i="2"/>
  <c r="F335" i="2" s="1"/>
  <c r="G335" i="2" s="1"/>
  <c r="K335" i="2"/>
  <c r="L335" i="2" s="1"/>
  <c r="M335" i="2" s="1"/>
  <c r="N335" i="2"/>
  <c r="O335" i="2" s="1"/>
  <c r="P335" i="2" s="1"/>
  <c r="D335" i="2"/>
  <c r="C336" i="2"/>
  <c r="A337" i="2" l="1"/>
  <c r="K336" i="2"/>
  <c r="L336" i="2" s="1"/>
  <c r="M336" i="2" s="1"/>
  <c r="E336" i="2"/>
  <c r="F336" i="2" s="1"/>
  <c r="G336" i="2" s="1"/>
  <c r="N336" i="2"/>
  <c r="O336" i="2" s="1"/>
  <c r="P336" i="2" s="1"/>
  <c r="H336" i="2"/>
  <c r="I336" i="2" s="1"/>
  <c r="J336" i="2" s="1"/>
  <c r="D336" i="2"/>
  <c r="C337" i="2"/>
  <c r="A338" i="2" l="1"/>
  <c r="N337" i="2"/>
  <c r="O337" i="2" s="1"/>
  <c r="P337" i="2" s="1"/>
  <c r="K337" i="2"/>
  <c r="L337" i="2" s="1"/>
  <c r="M337" i="2" s="1"/>
  <c r="H337" i="2"/>
  <c r="I337" i="2" s="1"/>
  <c r="J337" i="2" s="1"/>
  <c r="E337" i="2"/>
  <c r="F337" i="2" s="1"/>
  <c r="G337" i="2" s="1"/>
  <c r="D337" i="2"/>
  <c r="C338" i="2"/>
  <c r="A339" i="2" l="1"/>
  <c r="K338" i="2"/>
  <c r="L338" i="2" s="1"/>
  <c r="M338" i="2" s="1"/>
  <c r="N338" i="2"/>
  <c r="O338" i="2" s="1"/>
  <c r="P338" i="2" s="1"/>
  <c r="H338" i="2"/>
  <c r="I338" i="2" s="1"/>
  <c r="J338" i="2" s="1"/>
  <c r="E338" i="2"/>
  <c r="F338" i="2" s="1"/>
  <c r="G338" i="2" s="1"/>
  <c r="D338" i="2"/>
  <c r="C339" i="2"/>
  <c r="A340" i="2" l="1"/>
  <c r="K339" i="2"/>
  <c r="L339" i="2" s="1"/>
  <c r="M339" i="2" s="1"/>
  <c r="N339" i="2"/>
  <c r="O339" i="2" s="1"/>
  <c r="P339" i="2" s="1"/>
  <c r="H339" i="2"/>
  <c r="I339" i="2" s="1"/>
  <c r="J339" i="2" s="1"/>
  <c r="E339" i="2"/>
  <c r="F339" i="2" s="1"/>
  <c r="G339" i="2" s="1"/>
  <c r="D339" i="2"/>
  <c r="C340" i="2"/>
  <c r="A341" i="2" l="1"/>
  <c r="H340" i="2"/>
  <c r="I340" i="2" s="1"/>
  <c r="J340" i="2" s="1"/>
  <c r="N340" i="2"/>
  <c r="O340" i="2" s="1"/>
  <c r="P340" i="2" s="1"/>
  <c r="K340" i="2"/>
  <c r="L340" i="2" s="1"/>
  <c r="M340" i="2" s="1"/>
  <c r="E340" i="2"/>
  <c r="F340" i="2" s="1"/>
  <c r="G340" i="2" s="1"/>
  <c r="D340" i="2"/>
  <c r="C341" i="2"/>
  <c r="A342" i="2" l="1"/>
  <c r="E341" i="2"/>
  <c r="F341" i="2" s="1"/>
  <c r="G341" i="2" s="1"/>
  <c r="N341" i="2"/>
  <c r="O341" i="2" s="1"/>
  <c r="P341" i="2" s="1"/>
  <c r="K341" i="2"/>
  <c r="L341" i="2" s="1"/>
  <c r="M341" i="2" s="1"/>
  <c r="H341" i="2"/>
  <c r="I341" i="2" s="1"/>
  <c r="J341" i="2" s="1"/>
  <c r="D341" i="2"/>
  <c r="C342" i="2"/>
  <c r="A343" i="2" l="1"/>
  <c r="K342" i="2"/>
  <c r="L342" i="2" s="1"/>
  <c r="M342" i="2" s="1"/>
  <c r="N342" i="2"/>
  <c r="O342" i="2" s="1"/>
  <c r="P342" i="2" s="1"/>
  <c r="H342" i="2"/>
  <c r="I342" i="2" s="1"/>
  <c r="J342" i="2" s="1"/>
  <c r="E342" i="2"/>
  <c r="F342" i="2" s="1"/>
  <c r="G342" i="2" s="1"/>
  <c r="D342" i="2"/>
  <c r="C343" i="2"/>
  <c r="A344" i="2" l="1"/>
  <c r="N343" i="2"/>
  <c r="O343" i="2" s="1"/>
  <c r="P343" i="2" s="1"/>
  <c r="H343" i="2"/>
  <c r="I343" i="2" s="1"/>
  <c r="J343" i="2" s="1"/>
  <c r="E343" i="2"/>
  <c r="F343" i="2" s="1"/>
  <c r="G343" i="2" s="1"/>
  <c r="K343" i="2"/>
  <c r="L343" i="2" s="1"/>
  <c r="M343" i="2" s="1"/>
  <c r="D343" i="2"/>
  <c r="C344" i="2"/>
  <c r="A345" i="2" l="1"/>
  <c r="N344" i="2"/>
  <c r="O344" i="2" s="1"/>
  <c r="P344" i="2" s="1"/>
  <c r="K344" i="2"/>
  <c r="L344" i="2" s="1"/>
  <c r="M344" i="2" s="1"/>
  <c r="H344" i="2"/>
  <c r="I344" i="2" s="1"/>
  <c r="J344" i="2" s="1"/>
  <c r="E344" i="2"/>
  <c r="F344" i="2" s="1"/>
  <c r="G344" i="2" s="1"/>
  <c r="D344" i="2"/>
  <c r="C345" i="2"/>
  <c r="A346" i="2" l="1"/>
  <c r="K345" i="2"/>
  <c r="L345" i="2" s="1"/>
  <c r="M345" i="2" s="1"/>
  <c r="N345" i="2"/>
  <c r="O345" i="2" s="1"/>
  <c r="P345" i="2" s="1"/>
  <c r="E345" i="2"/>
  <c r="F345" i="2" s="1"/>
  <c r="G345" i="2" s="1"/>
  <c r="H345" i="2"/>
  <c r="I345" i="2" s="1"/>
  <c r="J345" i="2" s="1"/>
  <c r="C346" i="2"/>
  <c r="D345" i="2"/>
  <c r="A347" i="2" l="1"/>
  <c r="E346" i="2"/>
  <c r="F346" i="2" s="1"/>
  <c r="G346" i="2" s="1"/>
  <c r="N346" i="2"/>
  <c r="O346" i="2" s="1"/>
  <c r="P346" i="2" s="1"/>
  <c r="K346" i="2"/>
  <c r="L346" i="2" s="1"/>
  <c r="M346" i="2" s="1"/>
  <c r="H346" i="2"/>
  <c r="I346" i="2" s="1"/>
  <c r="J346" i="2" s="1"/>
  <c r="D346" i="2"/>
  <c r="C347" i="2"/>
  <c r="A348" i="2" l="1"/>
  <c r="K347" i="2"/>
  <c r="L347" i="2" s="1"/>
  <c r="M347" i="2" s="1"/>
  <c r="H347" i="2"/>
  <c r="I347" i="2" s="1"/>
  <c r="J347" i="2" s="1"/>
  <c r="N347" i="2"/>
  <c r="O347" i="2" s="1"/>
  <c r="P347" i="2" s="1"/>
  <c r="E347" i="2"/>
  <c r="F347" i="2" s="1"/>
  <c r="G347" i="2" s="1"/>
  <c r="D347" i="2"/>
  <c r="C348" i="2"/>
  <c r="A349" i="2" l="1"/>
  <c r="N348" i="2"/>
  <c r="O348" i="2" s="1"/>
  <c r="P348" i="2" s="1"/>
  <c r="K348" i="2"/>
  <c r="L348" i="2" s="1"/>
  <c r="M348" i="2" s="1"/>
  <c r="E348" i="2"/>
  <c r="F348" i="2" s="1"/>
  <c r="G348" i="2" s="1"/>
  <c r="H348" i="2"/>
  <c r="I348" i="2" s="1"/>
  <c r="J348" i="2" s="1"/>
  <c r="C349" i="2"/>
  <c r="D348" i="2"/>
  <c r="A350" i="2" l="1"/>
  <c r="N349" i="2"/>
  <c r="O349" i="2" s="1"/>
  <c r="P349" i="2" s="1"/>
  <c r="K349" i="2"/>
  <c r="L349" i="2" s="1"/>
  <c r="M349" i="2" s="1"/>
  <c r="H349" i="2"/>
  <c r="I349" i="2" s="1"/>
  <c r="J349" i="2" s="1"/>
  <c r="E349" i="2"/>
  <c r="F349" i="2" s="1"/>
  <c r="G349" i="2" s="1"/>
  <c r="D349" i="2"/>
  <c r="C350" i="2"/>
  <c r="A351" i="2" l="1"/>
  <c r="N350" i="2"/>
  <c r="O350" i="2" s="1"/>
  <c r="P350" i="2" s="1"/>
  <c r="K350" i="2"/>
  <c r="L350" i="2" s="1"/>
  <c r="M350" i="2" s="1"/>
  <c r="E350" i="2"/>
  <c r="F350" i="2" s="1"/>
  <c r="G350" i="2" s="1"/>
  <c r="H350" i="2"/>
  <c r="I350" i="2" s="1"/>
  <c r="J350" i="2" s="1"/>
  <c r="D350" i="2"/>
  <c r="C351" i="2"/>
  <c r="A352" i="2" l="1"/>
  <c r="H351" i="2"/>
  <c r="I351" i="2" s="1"/>
  <c r="J351" i="2" s="1"/>
  <c r="K351" i="2"/>
  <c r="L351" i="2" s="1"/>
  <c r="M351" i="2" s="1"/>
  <c r="N351" i="2"/>
  <c r="O351" i="2" s="1"/>
  <c r="P351" i="2" s="1"/>
  <c r="E351" i="2"/>
  <c r="F351" i="2" s="1"/>
  <c r="G351" i="2" s="1"/>
  <c r="D351" i="2"/>
  <c r="C352" i="2"/>
  <c r="A353" i="2" l="1"/>
  <c r="N352" i="2"/>
  <c r="O352" i="2" s="1"/>
  <c r="P352" i="2" s="1"/>
  <c r="K352" i="2"/>
  <c r="L352" i="2" s="1"/>
  <c r="M352" i="2" s="1"/>
  <c r="E352" i="2"/>
  <c r="F352" i="2" s="1"/>
  <c r="G352" i="2" s="1"/>
  <c r="H352" i="2"/>
  <c r="I352" i="2" s="1"/>
  <c r="J352" i="2" s="1"/>
  <c r="D352" i="2"/>
  <c r="C353" i="2"/>
  <c r="A354" i="2" l="1"/>
  <c r="K353" i="2"/>
  <c r="L353" i="2" s="1"/>
  <c r="M353" i="2" s="1"/>
  <c r="N353" i="2"/>
  <c r="O353" i="2" s="1"/>
  <c r="P353" i="2" s="1"/>
  <c r="H353" i="2"/>
  <c r="I353" i="2" s="1"/>
  <c r="J353" i="2" s="1"/>
  <c r="E353" i="2"/>
  <c r="F353" i="2" s="1"/>
  <c r="G353" i="2" s="1"/>
  <c r="D353" i="2"/>
  <c r="C354" i="2"/>
  <c r="A355" i="2" l="1"/>
  <c r="H354" i="2"/>
  <c r="I354" i="2" s="1"/>
  <c r="J354" i="2" s="1"/>
  <c r="N354" i="2"/>
  <c r="O354" i="2" s="1"/>
  <c r="P354" i="2" s="1"/>
  <c r="K354" i="2"/>
  <c r="L354" i="2" s="1"/>
  <c r="M354" i="2" s="1"/>
  <c r="E354" i="2"/>
  <c r="F354" i="2" s="1"/>
  <c r="G354" i="2" s="1"/>
  <c r="D354" i="2"/>
  <c r="C355" i="2"/>
  <c r="A356" i="2" l="1"/>
  <c r="N355" i="2"/>
  <c r="O355" i="2" s="1"/>
  <c r="P355" i="2" s="1"/>
  <c r="E355" i="2"/>
  <c r="F355" i="2" s="1"/>
  <c r="G355" i="2" s="1"/>
  <c r="K355" i="2"/>
  <c r="L355" i="2" s="1"/>
  <c r="M355" i="2" s="1"/>
  <c r="H355" i="2"/>
  <c r="I355" i="2" s="1"/>
  <c r="J355" i="2" s="1"/>
  <c r="D355" i="2"/>
  <c r="C356" i="2"/>
  <c r="A357" i="2" l="1"/>
  <c r="K356" i="2"/>
  <c r="L356" i="2" s="1"/>
  <c r="M356" i="2" s="1"/>
  <c r="N356" i="2"/>
  <c r="O356" i="2" s="1"/>
  <c r="P356" i="2" s="1"/>
  <c r="H356" i="2"/>
  <c r="I356" i="2" s="1"/>
  <c r="J356" i="2" s="1"/>
  <c r="E356" i="2"/>
  <c r="F356" i="2" s="1"/>
  <c r="G356" i="2" s="1"/>
  <c r="D356" i="2"/>
  <c r="C357" i="2"/>
  <c r="A358" i="2" l="1"/>
  <c r="N357" i="2"/>
  <c r="O357" i="2" s="1"/>
  <c r="P357" i="2" s="1"/>
  <c r="K357" i="2"/>
  <c r="L357" i="2" s="1"/>
  <c r="M357" i="2" s="1"/>
  <c r="E357" i="2"/>
  <c r="F357" i="2" s="1"/>
  <c r="G357" i="2" s="1"/>
  <c r="H357" i="2"/>
  <c r="I357" i="2" s="1"/>
  <c r="J357" i="2" s="1"/>
  <c r="C358" i="2"/>
  <c r="D357" i="2"/>
  <c r="A359" i="2" l="1"/>
  <c r="H358" i="2"/>
  <c r="I358" i="2" s="1"/>
  <c r="J358" i="2" s="1"/>
  <c r="E358" i="2"/>
  <c r="F358" i="2" s="1"/>
  <c r="G358" i="2" s="1"/>
  <c r="N358" i="2"/>
  <c r="O358" i="2" s="1"/>
  <c r="P358" i="2" s="1"/>
  <c r="K358" i="2"/>
  <c r="L358" i="2" s="1"/>
  <c r="M358" i="2" s="1"/>
  <c r="D358" i="2"/>
  <c r="C359" i="2"/>
  <c r="A360" i="2" l="1"/>
  <c r="K359" i="2"/>
  <c r="L359" i="2" s="1"/>
  <c r="M359" i="2" s="1"/>
  <c r="N359" i="2"/>
  <c r="O359" i="2" s="1"/>
  <c r="P359" i="2" s="1"/>
  <c r="H359" i="2"/>
  <c r="I359" i="2" s="1"/>
  <c r="J359" i="2" s="1"/>
  <c r="E359" i="2"/>
  <c r="F359" i="2" s="1"/>
  <c r="G359" i="2" s="1"/>
  <c r="D359" i="2"/>
  <c r="C360" i="2"/>
  <c r="A361" i="2" l="1"/>
  <c r="N360" i="2"/>
  <c r="O360" i="2" s="1"/>
  <c r="P360" i="2" s="1"/>
  <c r="K360" i="2"/>
  <c r="L360" i="2" s="1"/>
  <c r="M360" i="2" s="1"/>
  <c r="E360" i="2"/>
  <c r="F360" i="2" s="1"/>
  <c r="G360" i="2" s="1"/>
  <c r="H360" i="2"/>
  <c r="I360" i="2" s="1"/>
  <c r="J360" i="2" s="1"/>
  <c r="D360" i="2"/>
  <c r="C361" i="2"/>
  <c r="A362" i="2" l="1"/>
  <c r="N361" i="2"/>
  <c r="O361" i="2" s="1"/>
  <c r="P361" i="2" s="1"/>
  <c r="K361" i="2"/>
  <c r="L361" i="2" s="1"/>
  <c r="M361" i="2" s="1"/>
  <c r="H361" i="2"/>
  <c r="I361" i="2" s="1"/>
  <c r="J361" i="2" s="1"/>
  <c r="E361" i="2"/>
  <c r="F361" i="2" s="1"/>
  <c r="G361" i="2" s="1"/>
  <c r="D361" i="2"/>
  <c r="C362" i="2"/>
  <c r="A363" i="2" l="1"/>
  <c r="K362" i="2"/>
  <c r="L362" i="2" s="1"/>
  <c r="M362" i="2" s="1"/>
  <c r="H362" i="2"/>
  <c r="I362" i="2" s="1"/>
  <c r="J362" i="2" s="1"/>
  <c r="N362" i="2"/>
  <c r="O362" i="2" s="1"/>
  <c r="P362" i="2" s="1"/>
  <c r="E362" i="2"/>
  <c r="F362" i="2" s="1"/>
  <c r="G362" i="2" s="1"/>
  <c r="D362" i="2"/>
  <c r="C363" i="2"/>
  <c r="A364" i="2" l="1"/>
  <c r="N363" i="2"/>
  <c r="O363" i="2" s="1"/>
  <c r="P363" i="2" s="1"/>
  <c r="E363" i="2"/>
  <c r="F363" i="2" s="1"/>
  <c r="G363" i="2" s="1"/>
  <c r="K363" i="2"/>
  <c r="L363" i="2" s="1"/>
  <c r="M363" i="2" s="1"/>
  <c r="H363" i="2"/>
  <c r="I363" i="2" s="1"/>
  <c r="J363" i="2" s="1"/>
  <c r="D363" i="2"/>
  <c r="C364" i="2"/>
  <c r="A365" i="2" l="1"/>
  <c r="N364" i="2"/>
  <c r="O364" i="2" s="1"/>
  <c r="P364" i="2" s="1"/>
  <c r="K364" i="2"/>
  <c r="L364" i="2" s="1"/>
  <c r="M364" i="2" s="1"/>
  <c r="H364" i="2"/>
  <c r="I364" i="2" s="1"/>
  <c r="J364" i="2" s="1"/>
  <c r="E364" i="2"/>
  <c r="F364" i="2" s="1"/>
  <c r="G364" i="2" s="1"/>
  <c r="D364" i="2"/>
  <c r="C365" i="2"/>
  <c r="A366" i="2" l="1"/>
  <c r="K365" i="2"/>
  <c r="L365" i="2" s="1"/>
  <c r="M365" i="2" s="1"/>
  <c r="N365" i="2"/>
  <c r="O365" i="2" s="1"/>
  <c r="P365" i="2" s="1"/>
  <c r="H365" i="2"/>
  <c r="I365" i="2" s="1"/>
  <c r="J365" i="2" s="1"/>
  <c r="E365" i="2"/>
  <c r="F365" i="2" s="1"/>
  <c r="G365" i="2" s="1"/>
  <c r="D365" i="2"/>
  <c r="C366" i="2"/>
  <c r="A367" i="2" l="1"/>
  <c r="H366" i="2"/>
  <c r="I366" i="2" s="1"/>
  <c r="J366" i="2" s="1"/>
  <c r="N366" i="2"/>
  <c r="O366" i="2" s="1"/>
  <c r="P366" i="2" s="1"/>
  <c r="K366" i="2"/>
  <c r="L366" i="2" s="1"/>
  <c r="M366" i="2" s="1"/>
  <c r="E366" i="2"/>
  <c r="F366" i="2" s="1"/>
  <c r="G366" i="2" s="1"/>
  <c r="D366" i="2"/>
  <c r="C367" i="2"/>
  <c r="A368" i="2" l="1"/>
  <c r="E367" i="2"/>
  <c r="F367" i="2" s="1"/>
  <c r="G367" i="2" s="1"/>
  <c r="N367" i="2"/>
  <c r="O367" i="2" s="1"/>
  <c r="P367" i="2" s="1"/>
  <c r="K367" i="2"/>
  <c r="L367" i="2" s="1"/>
  <c r="M367" i="2" s="1"/>
  <c r="H367" i="2"/>
  <c r="I367" i="2" s="1"/>
  <c r="J367" i="2" s="1"/>
  <c r="D367" i="2"/>
  <c r="C368" i="2"/>
  <c r="A369" i="2" l="1"/>
  <c r="K368" i="2"/>
  <c r="L368" i="2" s="1"/>
  <c r="M368" i="2" s="1"/>
  <c r="H368" i="2"/>
  <c r="I368" i="2" s="1"/>
  <c r="J368" i="2" s="1"/>
  <c r="N368" i="2"/>
  <c r="O368" i="2" s="1"/>
  <c r="P368" i="2" s="1"/>
  <c r="E368" i="2"/>
  <c r="F368" i="2" s="1"/>
  <c r="G368" i="2" s="1"/>
  <c r="D368" i="2"/>
  <c r="C369" i="2"/>
  <c r="A370" i="2" l="1"/>
  <c r="N369" i="2"/>
  <c r="O369" i="2" s="1"/>
  <c r="P369" i="2" s="1"/>
  <c r="K369" i="2"/>
  <c r="L369" i="2" s="1"/>
  <c r="M369" i="2" s="1"/>
  <c r="H369" i="2"/>
  <c r="I369" i="2" s="1"/>
  <c r="J369" i="2" s="1"/>
  <c r="E369" i="2"/>
  <c r="F369" i="2" s="1"/>
  <c r="G369" i="2" s="1"/>
  <c r="C370" i="2"/>
  <c r="D369" i="2"/>
  <c r="A371" i="2" l="1"/>
  <c r="N370" i="2"/>
  <c r="O370" i="2" s="1"/>
  <c r="P370" i="2" s="1"/>
  <c r="K370" i="2"/>
  <c r="L370" i="2" s="1"/>
  <c r="M370" i="2" s="1"/>
  <c r="H370" i="2"/>
  <c r="I370" i="2" s="1"/>
  <c r="J370" i="2" s="1"/>
  <c r="E370" i="2"/>
  <c r="F370" i="2" s="1"/>
  <c r="G370" i="2" s="1"/>
  <c r="C371" i="2"/>
  <c r="D370" i="2"/>
  <c r="A372" i="2" l="1"/>
  <c r="N371" i="2"/>
  <c r="O371" i="2" s="1"/>
  <c r="P371" i="2" s="1"/>
  <c r="K371" i="2"/>
  <c r="L371" i="2" s="1"/>
  <c r="M371" i="2" s="1"/>
  <c r="H371" i="2"/>
  <c r="I371" i="2" s="1"/>
  <c r="J371" i="2" s="1"/>
  <c r="E371" i="2"/>
  <c r="F371" i="2" s="1"/>
  <c r="G371" i="2" s="1"/>
  <c r="C372" i="2"/>
  <c r="D371" i="2"/>
  <c r="A373" i="2" l="1"/>
  <c r="K372" i="2"/>
  <c r="L372" i="2" s="1"/>
  <c r="M372" i="2" s="1"/>
  <c r="H372" i="2"/>
  <c r="I372" i="2" s="1"/>
  <c r="J372" i="2" s="1"/>
  <c r="E372" i="2"/>
  <c r="F372" i="2" s="1"/>
  <c r="G372" i="2" s="1"/>
  <c r="N372" i="2"/>
  <c r="O372" i="2" s="1"/>
  <c r="P372" i="2" s="1"/>
  <c r="C373" i="2"/>
  <c r="D372" i="2"/>
  <c r="A374" i="2" l="1"/>
  <c r="N373" i="2"/>
  <c r="O373" i="2" s="1"/>
  <c r="P373" i="2" s="1"/>
  <c r="K373" i="2"/>
  <c r="L373" i="2" s="1"/>
  <c r="M373" i="2" s="1"/>
  <c r="E373" i="2"/>
  <c r="F373" i="2" s="1"/>
  <c r="G373" i="2" s="1"/>
  <c r="H373" i="2"/>
  <c r="I373" i="2" s="1"/>
  <c r="J373" i="2" s="1"/>
  <c r="D373" i="2"/>
  <c r="C374" i="2"/>
  <c r="A375" i="2" l="1"/>
  <c r="K374" i="2"/>
  <c r="L374" i="2" s="1"/>
  <c r="M374" i="2" s="1"/>
  <c r="N374" i="2"/>
  <c r="O374" i="2" s="1"/>
  <c r="P374" i="2" s="1"/>
  <c r="H374" i="2"/>
  <c r="I374" i="2" s="1"/>
  <c r="J374" i="2" s="1"/>
  <c r="E374" i="2"/>
  <c r="F374" i="2" s="1"/>
  <c r="G374" i="2" s="1"/>
  <c r="D374" i="2"/>
  <c r="C375" i="2"/>
  <c r="A376" i="2" l="1"/>
  <c r="N375" i="2"/>
  <c r="O375" i="2" s="1"/>
  <c r="P375" i="2" s="1"/>
  <c r="K375" i="2"/>
  <c r="L375" i="2" s="1"/>
  <c r="M375" i="2" s="1"/>
  <c r="H375" i="2"/>
  <c r="I375" i="2" s="1"/>
  <c r="J375" i="2" s="1"/>
  <c r="E375" i="2"/>
  <c r="F375" i="2" s="1"/>
  <c r="G375" i="2" s="1"/>
  <c r="D375" i="2"/>
  <c r="C376" i="2"/>
  <c r="A377" i="2" l="1"/>
  <c r="E376" i="2"/>
  <c r="F376" i="2" s="1"/>
  <c r="G376" i="2" s="1"/>
  <c r="N376" i="2"/>
  <c r="O376" i="2" s="1"/>
  <c r="P376" i="2" s="1"/>
  <c r="K376" i="2"/>
  <c r="L376" i="2" s="1"/>
  <c r="M376" i="2" s="1"/>
  <c r="H376" i="2"/>
  <c r="I376" i="2" s="1"/>
  <c r="J376" i="2" s="1"/>
  <c r="D376" i="2"/>
  <c r="C377" i="2"/>
  <c r="A378" i="2" l="1"/>
  <c r="N377" i="2"/>
  <c r="O377" i="2" s="1"/>
  <c r="P377" i="2" s="1"/>
  <c r="K377" i="2"/>
  <c r="L377" i="2" s="1"/>
  <c r="M377" i="2" s="1"/>
  <c r="H377" i="2"/>
  <c r="I377" i="2" s="1"/>
  <c r="J377" i="2" s="1"/>
  <c r="E377" i="2"/>
  <c r="F377" i="2" s="1"/>
  <c r="G377" i="2" s="1"/>
  <c r="D377" i="2"/>
  <c r="C378" i="2"/>
  <c r="A379" i="2" l="1"/>
  <c r="N378" i="2"/>
  <c r="O378" i="2" s="1"/>
  <c r="P378" i="2" s="1"/>
  <c r="K378" i="2"/>
  <c r="L378" i="2" s="1"/>
  <c r="M378" i="2" s="1"/>
  <c r="E378" i="2"/>
  <c r="F378" i="2" s="1"/>
  <c r="G378" i="2" s="1"/>
  <c r="H378" i="2"/>
  <c r="I378" i="2" s="1"/>
  <c r="J378" i="2" s="1"/>
  <c r="D378" i="2"/>
  <c r="C379" i="2"/>
  <c r="A380" i="2" l="1"/>
  <c r="K379" i="2"/>
  <c r="L379" i="2" s="1"/>
  <c r="M379" i="2" s="1"/>
  <c r="H379" i="2"/>
  <c r="I379" i="2" s="1"/>
  <c r="J379" i="2" s="1"/>
  <c r="E379" i="2"/>
  <c r="F379" i="2" s="1"/>
  <c r="G379" i="2" s="1"/>
  <c r="N379" i="2"/>
  <c r="O379" i="2" s="1"/>
  <c r="P379" i="2" s="1"/>
  <c r="D379" i="2"/>
  <c r="C380" i="2"/>
  <c r="A381" i="2" l="1"/>
  <c r="N380" i="2"/>
  <c r="O380" i="2" s="1"/>
  <c r="P380" i="2" s="1"/>
  <c r="K380" i="2"/>
  <c r="L380" i="2" s="1"/>
  <c r="M380" i="2" s="1"/>
  <c r="H380" i="2"/>
  <c r="I380" i="2" s="1"/>
  <c r="J380" i="2" s="1"/>
  <c r="E380" i="2"/>
  <c r="F380" i="2" s="1"/>
  <c r="G380" i="2" s="1"/>
  <c r="D380" i="2"/>
  <c r="C381" i="2"/>
  <c r="A382" i="2" l="1"/>
  <c r="N381" i="2"/>
  <c r="O381" i="2" s="1"/>
  <c r="P381" i="2" s="1"/>
  <c r="K381" i="2"/>
  <c r="L381" i="2" s="1"/>
  <c r="M381" i="2" s="1"/>
  <c r="E381" i="2"/>
  <c r="F381" i="2" s="1"/>
  <c r="G381" i="2" s="1"/>
  <c r="H381" i="2"/>
  <c r="I381" i="2" s="1"/>
  <c r="J381" i="2" s="1"/>
  <c r="D381" i="2"/>
  <c r="C382" i="2"/>
  <c r="A383" i="2" l="1"/>
  <c r="K382" i="2"/>
  <c r="L382" i="2" s="1"/>
  <c r="M382" i="2" s="1"/>
  <c r="N382" i="2"/>
  <c r="O382" i="2" s="1"/>
  <c r="P382" i="2" s="1"/>
  <c r="H382" i="2"/>
  <c r="I382" i="2" s="1"/>
  <c r="J382" i="2" s="1"/>
  <c r="E382" i="2"/>
  <c r="F382" i="2" s="1"/>
  <c r="G382" i="2" s="1"/>
  <c r="D382" i="2"/>
  <c r="C383" i="2"/>
  <c r="A384" i="2" l="1"/>
  <c r="E383" i="2"/>
  <c r="F383" i="2" s="1"/>
  <c r="G383" i="2" s="1"/>
  <c r="K383" i="2"/>
  <c r="L383" i="2" s="1"/>
  <c r="M383" i="2" s="1"/>
  <c r="N383" i="2"/>
  <c r="O383" i="2" s="1"/>
  <c r="P383" i="2" s="1"/>
  <c r="H383" i="2"/>
  <c r="I383" i="2" s="1"/>
  <c r="J383" i="2" s="1"/>
  <c r="D383" i="2"/>
  <c r="C384" i="2"/>
  <c r="A385" i="2" l="1"/>
  <c r="N384" i="2"/>
  <c r="O384" i="2" s="1"/>
  <c r="P384" i="2" s="1"/>
  <c r="K384" i="2"/>
  <c r="L384" i="2" s="1"/>
  <c r="M384" i="2" s="1"/>
  <c r="E384" i="2"/>
  <c r="F384" i="2" s="1"/>
  <c r="G384" i="2" s="1"/>
  <c r="H384" i="2"/>
  <c r="I384" i="2" s="1"/>
  <c r="J384" i="2" s="1"/>
  <c r="D384" i="2"/>
  <c r="C385" i="2"/>
  <c r="A386" i="2" l="1"/>
  <c r="K385" i="2"/>
  <c r="L385" i="2" s="1"/>
  <c r="M385" i="2" s="1"/>
  <c r="H385" i="2"/>
  <c r="I385" i="2" s="1"/>
  <c r="J385" i="2" s="1"/>
  <c r="N385" i="2"/>
  <c r="O385" i="2" s="1"/>
  <c r="P385" i="2" s="1"/>
  <c r="E385" i="2"/>
  <c r="F385" i="2" s="1"/>
  <c r="G385" i="2" s="1"/>
  <c r="D385" i="2"/>
  <c r="C386" i="2"/>
  <c r="A387" i="2" l="1"/>
  <c r="N386" i="2"/>
  <c r="O386" i="2" s="1"/>
  <c r="P386" i="2" s="1"/>
  <c r="K386" i="2"/>
  <c r="L386" i="2" s="1"/>
  <c r="M386" i="2" s="1"/>
  <c r="H386" i="2"/>
  <c r="I386" i="2" s="1"/>
  <c r="J386" i="2" s="1"/>
  <c r="E386" i="2"/>
  <c r="F386" i="2" s="1"/>
  <c r="G386" i="2" s="1"/>
  <c r="D386" i="2"/>
  <c r="C387" i="2"/>
  <c r="A388" i="2" l="1"/>
  <c r="E387" i="2"/>
  <c r="F387" i="2" s="1"/>
  <c r="G387" i="2" s="1"/>
  <c r="N387" i="2"/>
  <c r="O387" i="2" s="1"/>
  <c r="P387" i="2" s="1"/>
  <c r="K387" i="2"/>
  <c r="L387" i="2" s="1"/>
  <c r="M387" i="2" s="1"/>
  <c r="H387" i="2"/>
  <c r="I387" i="2" s="1"/>
  <c r="J387" i="2" s="1"/>
  <c r="D387" i="2"/>
  <c r="C388" i="2"/>
  <c r="A389" i="2" l="1"/>
  <c r="H388" i="2"/>
  <c r="I388" i="2" s="1"/>
  <c r="J388" i="2" s="1"/>
  <c r="N388" i="2"/>
  <c r="O388" i="2" s="1"/>
  <c r="P388" i="2" s="1"/>
  <c r="K388" i="2"/>
  <c r="L388" i="2" s="1"/>
  <c r="M388" i="2" s="1"/>
  <c r="E388" i="2"/>
  <c r="F388" i="2" s="1"/>
  <c r="G388" i="2" s="1"/>
  <c r="D388" i="2"/>
  <c r="C389" i="2"/>
  <c r="A390" i="2" l="1"/>
  <c r="K389" i="2"/>
  <c r="L389" i="2" s="1"/>
  <c r="M389" i="2" s="1"/>
  <c r="N389" i="2"/>
  <c r="O389" i="2" s="1"/>
  <c r="P389" i="2" s="1"/>
  <c r="H389" i="2"/>
  <c r="I389" i="2" s="1"/>
  <c r="J389" i="2" s="1"/>
  <c r="E389" i="2"/>
  <c r="F389" i="2" s="1"/>
  <c r="G389" i="2" s="1"/>
  <c r="D389" i="2"/>
  <c r="C390" i="2"/>
  <c r="A391" i="2" l="1"/>
  <c r="N390" i="2"/>
  <c r="O390" i="2" s="1"/>
  <c r="P390" i="2" s="1"/>
  <c r="K390" i="2"/>
  <c r="L390" i="2" s="1"/>
  <c r="M390" i="2" s="1"/>
  <c r="E390" i="2"/>
  <c r="F390" i="2" s="1"/>
  <c r="G390" i="2" s="1"/>
  <c r="H390" i="2"/>
  <c r="I390" i="2" s="1"/>
  <c r="J390" i="2" s="1"/>
  <c r="D390" i="2"/>
  <c r="C391" i="2"/>
  <c r="A392" i="2" l="1"/>
  <c r="K391" i="2"/>
  <c r="L391" i="2" s="1"/>
  <c r="M391" i="2" s="1"/>
  <c r="N391" i="2"/>
  <c r="O391" i="2" s="1"/>
  <c r="P391" i="2" s="1"/>
  <c r="H391" i="2"/>
  <c r="I391" i="2" s="1"/>
  <c r="J391" i="2" s="1"/>
  <c r="E391" i="2"/>
  <c r="F391" i="2" s="1"/>
  <c r="G391" i="2" s="1"/>
  <c r="D391" i="2"/>
  <c r="C392" i="2"/>
  <c r="A393" i="2" l="1"/>
  <c r="N392" i="2"/>
  <c r="O392" i="2" s="1"/>
  <c r="P392" i="2" s="1"/>
  <c r="K392" i="2"/>
  <c r="L392" i="2" s="1"/>
  <c r="M392" i="2" s="1"/>
  <c r="H392" i="2"/>
  <c r="I392" i="2" s="1"/>
  <c r="J392" i="2" s="1"/>
  <c r="E392" i="2"/>
  <c r="F392" i="2" s="1"/>
  <c r="G392" i="2" s="1"/>
  <c r="D392" i="2"/>
  <c r="C393" i="2"/>
  <c r="A394" i="2" l="1"/>
  <c r="K393" i="2"/>
  <c r="L393" i="2" s="1"/>
  <c r="M393" i="2" s="1"/>
  <c r="N393" i="2"/>
  <c r="O393" i="2" s="1"/>
  <c r="P393" i="2" s="1"/>
  <c r="E393" i="2"/>
  <c r="F393" i="2" s="1"/>
  <c r="G393" i="2" s="1"/>
  <c r="H393" i="2"/>
  <c r="I393" i="2" s="1"/>
  <c r="J393" i="2" s="1"/>
  <c r="D393" i="2"/>
  <c r="C394" i="2"/>
  <c r="A395" i="2" l="1"/>
  <c r="K394" i="2"/>
  <c r="L394" i="2" s="1"/>
  <c r="M394" i="2" s="1"/>
  <c r="N394" i="2"/>
  <c r="O394" i="2" s="1"/>
  <c r="P394" i="2" s="1"/>
  <c r="H394" i="2"/>
  <c r="I394" i="2" s="1"/>
  <c r="J394" i="2" s="1"/>
  <c r="E394" i="2"/>
  <c r="F394" i="2" s="1"/>
  <c r="G394" i="2" s="1"/>
  <c r="D394" i="2"/>
  <c r="C395" i="2"/>
  <c r="A396" i="2" l="1"/>
  <c r="E395" i="2"/>
  <c r="F395" i="2" s="1"/>
  <c r="G395" i="2" s="1"/>
  <c r="N395" i="2"/>
  <c r="O395" i="2" s="1"/>
  <c r="P395" i="2" s="1"/>
  <c r="K395" i="2"/>
  <c r="L395" i="2" s="1"/>
  <c r="M395" i="2" s="1"/>
  <c r="H395" i="2"/>
  <c r="I395" i="2" s="1"/>
  <c r="J395" i="2" s="1"/>
  <c r="D395" i="2"/>
  <c r="C396" i="2"/>
  <c r="A397" i="2" l="1"/>
  <c r="K396" i="2"/>
  <c r="L396" i="2" s="1"/>
  <c r="M396" i="2" s="1"/>
  <c r="N396" i="2"/>
  <c r="O396" i="2" s="1"/>
  <c r="P396" i="2" s="1"/>
  <c r="H396" i="2"/>
  <c r="I396" i="2" s="1"/>
  <c r="J396" i="2" s="1"/>
  <c r="E396" i="2"/>
  <c r="F396" i="2" s="1"/>
  <c r="G396" i="2" s="1"/>
  <c r="D396" i="2"/>
  <c r="C397" i="2"/>
  <c r="A398" i="2" l="1"/>
  <c r="H397" i="2"/>
  <c r="I397" i="2" s="1"/>
  <c r="J397" i="2" s="1"/>
  <c r="N397" i="2"/>
  <c r="O397" i="2" s="1"/>
  <c r="P397" i="2" s="1"/>
  <c r="K397" i="2"/>
  <c r="L397" i="2" s="1"/>
  <c r="M397" i="2" s="1"/>
  <c r="E397" i="2"/>
  <c r="F397" i="2" s="1"/>
  <c r="G397" i="2" s="1"/>
  <c r="D397" i="2"/>
  <c r="C398" i="2"/>
  <c r="A399" i="2" l="1"/>
  <c r="N398" i="2"/>
  <c r="O398" i="2" s="1"/>
  <c r="P398" i="2" s="1"/>
  <c r="K398" i="2"/>
  <c r="L398" i="2" s="1"/>
  <c r="M398" i="2" s="1"/>
  <c r="H398" i="2"/>
  <c r="I398" i="2" s="1"/>
  <c r="J398" i="2" s="1"/>
  <c r="E398" i="2"/>
  <c r="F398" i="2" s="1"/>
  <c r="G398" i="2" s="1"/>
  <c r="D398" i="2"/>
  <c r="C399" i="2"/>
  <c r="A400" i="2" l="1"/>
  <c r="N399" i="2"/>
  <c r="O399" i="2" s="1"/>
  <c r="P399" i="2" s="1"/>
  <c r="E399" i="2"/>
  <c r="F399" i="2" s="1"/>
  <c r="G399" i="2" s="1"/>
  <c r="K399" i="2"/>
  <c r="L399" i="2" s="1"/>
  <c r="M399" i="2" s="1"/>
  <c r="H399" i="2"/>
  <c r="I399" i="2" s="1"/>
  <c r="J399" i="2" s="1"/>
  <c r="D399" i="2"/>
  <c r="C400" i="2"/>
  <c r="A401" i="2" l="1"/>
  <c r="H400" i="2"/>
  <c r="I400" i="2" s="1"/>
  <c r="J400" i="2" s="1"/>
  <c r="N400" i="2"/>
  <c r="O400" i="2" s="1"/>
  <c r="P400" i="2" s="1"/>
  <c r="K400" i="2"/>
  <c r="L400" i="2" s="1"/>
  <c r="M400" i="2" s="1"/>
  <c r="E400" i="2"/>
  <c r="F400" i="2" s="1"/>
  <c r="G400" i="2" s="1"/>
  <c r="D400" i="2"/>
  <c r="C401" i="2"/>
  <c r="A402" i="2" l="1"/>
  <c r="N401" i="2"/>
  <c r="O401" i="2" s="1"/>
  <c r="P401" i="2" s="1"/>
  <c r="K401" i="2"/>
  <c r="L401" i="2" s="1"/>
  <c r="M401" i="2" s="1"/>
  <c r="E401" i="2"/>
  <c r="F401" i="2" s="1"/>
  <c r="G401" i="2" s="1"/>
  <c r="H401" i="2"/>
  <c r="I401" i="2" s="1"/>
  <c r="J401" i="2" s="1"/>
  <c r="D401" i="2"/>
  <c r="C402" i="2"/>
  <c r="A403" i="2" l="1"/>
  <c r="N402" i="2"/>
  <c r="O402" i="2" s="1"/>
  <c r="P402" i="2" s="1"/>
  <c r="K402" i="2"/>
  <c r="L402" i="2" s="1"/>
  <c r="M402" i="2" s="1"/>
  <c r="H402" i="2"/>
  <c r="I402" i="2" s="1"/>
  <c r="J402" i="2" s="1"/>
  <c r="E402" i="2"/>
  <c r="F402" i="2" s="1"/>
  <c r="G402" i="2" s="1"/>
  <c r="D402" i="2"/>
  <c r="C403" i="2"/>
  <c r="A404" i="2" l="1"/>
  <c r="K403" i="2"/>
  <c r="L403" i="2" s="1"/>
  <c r="M403" i="2" s="1"/>
  <c r="N403" i="2"/>
  <c r="O403" i="2" s="1"/>
  <c r="P403" i="2" s="1"/>
  <c r="H403" i="2"/>
  <c r="I403" i="2" s="1"/>
  <c r="J403" i="2" s="1"/>
  <c r="E403" i="2"/>
  <c r="F403" i="2" s="1"/>
  <c r="G403" i="2" s="1"/>
  <c r="D403" i="2"/>
  <c r="C404" i="2"/>
  <c r="A405" i="2" l="1"/>
  <c r="N404" i="2"/>
  <c r="O404" i="2" s="1"/>
  <c r="P404" i="2" s="1"/>
  <c r="H404" i="2"/>
  <c r="I404" i="2" s="1"/>
  <c r="J404" i="2" s="1"/>
  <c r="K404" i="2"/>
  <c r="L404" i="2" s="1"/>
  <c r="M404" i="2" s="1"/>
  <c r="E404" i="2"/>
  <c r="F404" i="2" s="1"/>
  <c r="G404" i="2" s="1"/>
  <c r="D404" i="2"/>
  <c r="C405" i="2"/>
  <c r="A406" i="2" l="1"/>
  <c r="E405" i="2"/>
  <c r="F405" i="2" s="1"/>
  <c r="G405" i="2" s="1"/>
  <c r="N405" i="2"/>
  <c r="O405" i="2" s="1"/>
  <c r="P405" i="2" s="1"/>
  <c r="K405" i="2"/>
  <c r="L405" i="2" s="1"/>
  <c r="M405" i="2" s="1"/>
  <c r="H405" i="2"/>
  <c r="I405" i="2" s="1"/>
  <c r="J405" i="2" s="1"/>
  <c r="D405" i="2"/>
  <c r="C406" i="2"/>
  <c r="A407" i="2" l="1"/>
  <c r="N406" i="2"/>
  <c r="O406" i="2" s="1"/>
  <c r="P406" i="2" s="1"/>
  <c r="K406" i="2"/>
  <c r="L406" i="2" s="1"/>
  <c r="M406" i="2" s="1"/>
  <c r="H406" i="2"/>
  <c r="I406" i="2" s="1"/>
  <c r="J406" i="2" s="1"/>
  <c r="E406" i="2"/>
  <c r="F406" i="2" s="1"/>
  <c r="G406" i="2" s="1"/>
  <c r="D406" i="2"/>
  <c r="C407" i="2"/>
  <c r="A408" i="2" l="1"/>
  <c r="H407" i="2"/>
  <c r="I407" i="2" s="1"/>
  <c r="J407" i="2" s="1"/>
  <c r="N407" i="2"/>
  <c r="O407" i="2" s="1"/>
  <c r="P407" i="2" s="1"/>
  <c r="K407" i="2"/>
  <c r="L407" i="2" s="1"/>
  <c r="M407" i="2" s="1"/>
  <c r="E407" i="2"/>
  <c r="F407" i="2" s="1"/>
  <c r="G407" i="2" s="1"/>
  <c r="D407" i="2"/>
  <c r="C408" i="2"/>
  <c r="A409" i="2" l="1"/>
  <c r="N408" i="2"/>
  <c r="O408" i="2" s="1"/>
  <c r="P408" i="2" s="1"/>
  <c r="K408" i="2"/>
  <c r="L408" i="2" s="1"/>
  <c r="M408" i="2" s="1"/>
  <c r="E408" i="2"/>
  <c r="F408" i="2" s="1"/>
  <c r="G408" i="2" s="1"/>
  <c r="H408" i="2"/>
  <c r="I408" i="2" s="1"/>
  <c r="J408" i="2" s="1"/>
  <c r="D408" i="2"/>
  <c r="C409" i="2"/>
  <c r="A410" i="2" l="1"/>
  <c r="K409" i="2"/>
  <c r="L409" i="2" s="1"/>
  <c r="M409" i="2" s="1"/>
  <c r="N409" i="2"/>
  <c r="O409" i="2" s="1"/>
  <c r="P409" i="2" s="1"/>
  <c r="H409" i="2"/>
  <c r="I409" i="2" s="1"/>
  <c r="J409" i="2" s="1"/>
  <c r="E409" i="2"/>
  <c r="F409" i="2" s="1"/>
  <c r="G409" i="2" s="1"/>
  <c r="D409" i="2"/>
  <c r="C410" i="2"/>
  <c r="A411" i="2" l="1"/>
  <c r="H410" i="2"/>
  <c r="I410" i="2" s="1"/>
  <c r="J410" i="2" s="1"/>
  <c r="N410" i="2"/>
  <c r="O410" i="2" s="1"/>
  <c r="P410" i="2" s="1"/>
  <c r="K410" i="2"/>
  <c r="L410" i="2" s="1"/>
  <c r="M410" i="2" s="1"/>
  <c r="E410" i="2"/>
  <c r="F410" i="2" s="1"/>
  <c r="G410" i="2" s="1"/>
  <c r="D410" i="2"/>
  <c r="C411" i="2"/>
  <c r="A412" i="2" l="1"/>
  <c r="N411" i="2"/>
  <c r="O411" i="2" s="1"/>
  <c r="P411" i="2" s="1"/>
  <c r="K411" i="2"/>
  <c r="L411" i="2" s="1"/>
  <c r="M411" i="2" s="1"/>
  <c r="H411" i="2"/>
  <c r="I411" i="2" s="1"/>
  <c r="J411" i="2" s="1"/>
  <c r="E411" i="2"/>
  <c r="F411" i="2" s="1"/>
  <c r="G411" i="2" s="1"/>
  <c r="D411" i="2"/>
  <c r="C412" i="2"/>
  <c r="A413" i="2" l="1"/>
  <c r="E412" i="2"/>
  <c r="F412" i="2" s="1"/>
  <c r="G412" i="2" s="1"/>
  <c r="N412" i="2"/>
  <c r="O412" i="2" s="1"/>
  <c r="P412" i="2" s="1"/>
  <c r="K412" i="2"/>
  <c r="L412" i="2" s="1"/>
  <c r="M412" i="2" s="1"/>
  <c r="H412" i="2"/>
  <c r="I412" i="2" s="1"/>
  <c r="J412" i="2" s="1"/>
  <c r="D412" i="2"/>
  <c r="C413" i="2"/>
  <c r="A414" i="2" l="1"/>
  <c r="N413" i="2"/>
  <c r="O413" i="2" s="1"/>
  <c r="P413" i="2" s="1"/>
  <c r="H413" i="2"/>
  <c r="I413" i="2" s="1"/>
  <c r="J413" i="2" s="1"/>
  <c r="K413" i="2"/>
  <c r="L413" i="2" s="1"/>
  <c r="M413" i="2" s="1"/>
  <c r="E413" i="2"/>
  <c r="F413" i="2" s="1"/>
  <c r="G413" i="2" s="1"/>
  <c r="D413" i="2"/>
  <c r="C414" i="2"/>
  <c r="A415" i="2" l="1"/>
  <c r="N414" i="2"/>
  <c r="O414" i="2" s="1"/>
  <c r="P414" i="2" s="1"/>
  <c r="K414" i="2"/>
  <c r="L414" i="2" s="1"/>
  <c r="M414" i="2" s="1"/>
  <c r="H414" i="2"/>
  <c r="I414" i="2" s="1"/>
  <c r="J414" i="2" s="1"/>
  <c r="E414" i="2"/>
  <c r="F414" i="2" s="1"/>
  <c r="G414" i="2" s="1"/>
  <c r="D414" i="2"/>
  <c r="C415" i="2"/>
  <c r="A416" i="2" l="1"/>
  <c r="E415" i="2"/>
  <c r="F415" i="2" s="1"/>
  <c r="G415" i="2" s="1"/>
  <c r="N415" i="2"/>
  <c r="O415" i="2" s="1"/>
  <c r="P415" i="2" s="1"/>
  <c r="K415" i="2"/>
  <c r="L415" i="2" s="1"/>
  <c r="M415" i="2" s="1"/>
  <c r="H415" i="2"/>
  <c r="I415" i="2" s="1"/>
  <c r="J415" i="2" s="1"/>
  <c r="D415" i="2"/>
  <c r="C416" i="2"/>
  <c r="A417" i="2" l="1"/>
  <c r="H416" i="2"/>
  <c r="I416" i="2" s="1"/>
  <c r="J416" i="2" s="1"/>
  <c r="N416" i="2"/>
  <c r="O416" i="2" s="1"/>
  <c r="P416" i="2" s="1"/>
  <c r="K416" i="2"/>
  <c r="L416" i="2" s="1"/>
  <c r="M416" i="2" s="1"/>
  <c r="E416" i="2"/>
  <c r="F416" i="2" s="1"/>
  <c r="G416" i="2" s="1"/>
  <c r="D416" i="2"/>
  <c r="C417" i="2"/>
  <c r="A418" i="2" l="1"/>
  <c r="N417" i="2"/>
  <c r="O417" i="2" s="1"/>
  <c r="P417" i="2" s="1"/>
  <c r="K417" i="2"/>
  <c r="L417" i="2" s="1"/>
  <c r="M417" i="2" s="1"/>
  <c r="H417" i="2"/>
  <c r="I417" i="2" s="1"/>
  <c r="J417" i="2" s="1"/>
  <c r="E417" i="2"/>
  <c r="F417" i="2" s="1"/>
  <c r="G417" i="2" s="1"/>
  <c r="D417" i="2"/>
  <c r="C418" i="2"/>
  <c r="A419" i="2" l="1"/>
  <c r="N418" i="2"/>
  <c r="O418" i="2" s="1"/>
  <c r="P418" i="2" s="1"/>
  <c r="K418" i="2"/>
  <c r="L418" i="2" s="1"/>
  <c r="M418" i="2" s="1"/>
  <c r="H418" i="2"/>
  <c r="I418" i="2" s="1"/>
  <c r="J418" i="2" s="1"/>
  <c r="E418" i="2"/>
  <c r="F418" i="2" s="1"/>
  <c r="G418" i="2" s="1"/>
  <c r="D418" i="2"/>
  <c r="C419" i="2"/>
  <c r="A420" i="2" l="1"/>
  <c r="H419" i="2"/>
  <c r="I419" i="2" s="1"/>
  <c r="J419" i="2" s="1"/>
  <c r="E419" i="2"/>
  <c r="F419" i="2" s="1"/>
  <c r="G419" i="2" s="1"/>
  <c r="K419" i="2"/>
  <c r="L419" i="2" s="1"/>
  <c r="M419" i="2" s="1"/>
  <c r="N419" i="2"/>
  <c r="O419" i="2" s="1"/>
  <c r="P419" i="2" s="1"/>
  <c r="D419" i="2"/>
  <c r="C420" i="2"/>
  <c r="A421" i="2" l="1"/>
  <c r="K420" i="2"/>
  <c r="L420" i="2" s="1"/>
  <c r="M420" i="2" s="1"/>
  <c r="N420" i="2"/>
  <c r="O420" i="2" s="1"/>
  <c r="P420" i="2" s="1"/>
  <c r="H420" i="2"/>
  <c r="I420" i="2" s="1"/>
  <c r="J420" i="2" s="1"/>
  <c r="E420" i="2"/>
  <c r="F420" i="2" s="1"/>
  <c r="G420" i="2" s="1"/>
  <c r="D420" i="2"/>
  <c r="C421" i="2"/>
  <c r="A422" i="2" l="1"/>
  <c r="N421" i="2"/>
  <c r="O421" i="2" s="1"/>
  <c r="P421" i="2" s="1"/>
  <c r="K421" i="2"/>
  <c r="L421" i="2" s="1"/>
  <c r="M421" i="2" s="1"/>
  <c r="H421" i="2"/>
  <c r="I421" i="2" s="1"/>
  <c r="J421" i="2" s="1"/>
  <c r="E421" i="2"/>
  <c r="F421" i="2" s="1"/>
  <c r="G421" i="2" s="1"/>
  <c r="D421" i="2"/>
  <c r="C422" i="2"/>
  <c r="A423" i="2" l="1"/>
  <c r="N422" i="2"/>
  <c r="O422" i="2" s="1"/>
  <c r="P422" i="2" s="1"/>
  <c r="H422" i="2"/>
  <c r="I422" i="2" s="1"/>
  <c r="J422" i="2" s="1"/>
  <c r="E422" i="2"/>
  <c r="F422" i="2" s="1"/>
  <c r="G422" i="2" s="1"/>
  <c r="K422" i="2"/>
  <c r="L422" i="2" s="1"/>
  <c r="M422" i="2" s="1"/>
  <c r="D422" i="2"/>
  <c r="C423" i="2"/>
  <c r="A424" i="2" l="1"/>
  <c r="K423" i="2"/>
  <c r="L423" i="2" s="1"/>
  <c r="M423" i="2" s="1"/>
  <c r="N423" i="2"/>
  <c r="O423" i="2" s="1"/>
  <c r="P423" i="2" s="1"/>
  <c r="H423" i="2"/>
  <c r="I423" i="2" s="1"/>
  <c r="J423" i="2" s="1"/>
  <c r="E423" i="2"/>
  <c r="F423" i="2" s="1"/>
  <c r="G423" i="2" s="1"/>
  <c r="D423" i="2"/>
  <c r="C424" i="2"/>
  <c r="A425" i="2" l="1"/>
  <c r="H424" i="2"/>
  <c r="I424" i="2" s="1"/>
  <c r="J424" i="2" s="1"/>
  <c r="N424" i="2"/>
  <c r="O424" i="2" s="1"/>
  <c r="P424" i="2" s="1"/>
  <c r="K424" i="2"/>
  <c r="L424" i="2" s="1"/>
  <c r="M424" i="2" s="1"/>
  <c r="E424" i="2"/>
  <c r="F424" i="2" s="1"/>
  <c r="G424" i="2" s="1"/>
  <c r="D424" i="2"/>
  <c r="C425" i="2"/>
  <c r="A426" i="2" l="1"/>
  <c r="E425" i="2"/>
  <c r="F425" i="2" s="1"/>
  <c r="G425" i="2" s="1"/>
  <c r="K425" i="2"/>
  <c r="L425" i="2" s="1"/>
  <c r="M425" i="2" s="1"/>
  <c r="N425" i="2"/>
  <c r="O425" i="2" s="1"/>
  <c r="P425" i="2" s="1"/>
  <c r="H425" i="2"/>
  <c r="I425" i="2" s="1"/>
  <c r="J425" i="2" s="1"/>
  <c r="D425" i="2"/>
  <c r="C426" i="2"/>
  <c r="A427" i="2" l="1"/>
  <c r="N426" i="2"/>
  <c r="O426" i="2" s="1"/>
  <c r="P426" i="2" s="1"/>
  <c r="K426" i="2"/>
  <c r="L426" i="2" s="1"/>
  <c r="M426" i="2" s="1"/>
  <c r="H426" i="2"/>
  <c r="I426" i="2" s="1"/>
  <c r="J426" i="2" s="1"/>
  <c r="E426" i="2"/>
  <c r="F426" i="2" s="1"/>
  <c r="G426" i="2" s="1"/>
  <c r="D426" i="2"/>
  <c r="C427" i="2"/>
  <c r="A428" i="2" l="1"/>
  <c r="K427" i="2"/>
  <c r="L427" i="2" s="1"/>
  <c r="M427" i="2" s="1"/>
  <c r="N427" i="2"/>
  <c r="O427" i="2" s="1"/>
  <c r="P427" i="2" s="1"/>
  <c r="E427" i="2"/>
  <c r="F427" i="2" s="1"/>
  <c r="G427" i="2" s="1"/>
  <c r="H427" i="2"/>
  <c r="I427" i="2" s="1"/>
  <c r="J427" i="2" s="1"/>
  <c r="D427" i="2"/>
  <c r="C428" i="2"/>
  <c r="A429" i="2" l="1"/>
  <c r="H428" i="2"/>
  <c r="I428" i="2" s="1"/>
  <c r="J428" i="2" s="1"/>
  <c r="N428" i="2"/>
  <c r="O428" i="2" s="1"/>
  <c r="P428" i="2" s="1"/>
  <c r="K428" i="2"/>
  <c r="L428" i="2" s="1"/>
  <c r="M428" i="2" s="1"/>
  <c r="E428" i="2"/>
  <c r="F428" i="2" s="1"/>
  <c r="G428" i="2" s="1"/>
  <c r="D428" i="2"/>
  <c r="C429" i="2"/>
  <c r="A430" i="2" l="1"/>
  <c r="N429" i="2"/>
  <c r="O429" i="2" s="1"/>
  <c r="P429" i="2" s="1"/>
  <c r="E429" i="2"/>
  <c r="F429" i="2" s="1"/>
  <c r="G429" i="2" s="1"/>
  <c r="K429" i="2"/>
  <c r="L429" i="2" s="1"/>
  <c r="M429" i="2" s="1"/>
  <c r="H429" i="2"/>
  <c r="I429" i="2" s="1"/>
  <c r="J429" i="2" s="1"/>
  <c r="D429" i="2"/>
  <c r="C430" i="2"/>
  <c r="A431" i="2" l="1"/>
  <c r="N430" i="2"/>
  <c r="O430" i="2" s="1"/>
  <c r="P430" i="2" s="1"/>
  <c r="K430" i="2"/>
  <c r="L430" i="2" s="1"/>
  <c r="M430" i="2" s="1"/>
  <c r="E430" i="2"/>
  <c r="F430" i="2" s="1"/>
  <c r="G430" i="2" s="1"/>
  <c r="H430" i="2"/>
  <c r="I430" i="2" s="1"/>
  <c r="J430" i="2" s="1"/>
  <c r="D430" i="2"/>
  <c r="C431" i="2"/>
  <c r="A432" i="2" l="1"/>
  <c r="K431" i="2"/>
  <c r="L431" i="2" s="1"/>
  <c r="M431" i="2" s="1"/>
  <c r="H431" i="2"/>
  <c r="I431" i="2" s="1"/>
  <c r="J431" i="2" s="1"/>
  <c r="N431" i="2"/>
  <c r="O431" i="2" s="1"/>
  <c r="P431" i="2" s="1"/>
  <c r="E431" i="2"/>
  <c r="F431" i="2" s="1"/>
  <c r="G431" i="2" s="1"/>
  <c r="D431" i="2"/>
  <c r="C432" i="2"/>
  <c r="A433" i="2" l="1"/>
  <c r="N432" i="2"/>
  <c r="O432" i="2" s="1"/>
  <c r="P432" i="2" s="1"/>
  <c r="K432" i="2"/>
  <c r="L432" i="2" s="1"/>
  <c r="M432" i="2" s="1"/>
  <c r="H432" i="2"/>
  <c r="I432" i="2" s="1"/>
  <c r="J432" i="2" s="1"/>
  <c r="E432" i="2"/>
  <c r="F432" i="2" s="1"/>
  <c r="G432" i="2" s="1"/>
  <c r="D432" i="2"/>
  <c r="C433" i="2"/>
  <c r="A434" i="2" l="1"/>
  <c r="N433" i="2"/>
  <c r="O433" i="2" s="1"/>
  <c r="P433" i="2" s="1"/>
  <c r="K433" i="2"/>
  <c r="L433" i="2" s="1"/>
  <c r="M433" i="2" s="1"/>
  <c r="E433" i="2"/>
  <c r="F433" i="2" s="1"/>
  <c r="G433" i="2" s="1"/>
  <c r="H433" i="2"/>
  <c r="I433" i="2" s="1"/>
  <c r="J433" i="2" s="1"/>
  <c r="D433" i="2"/>
  <c r="C434" i="2"/>
  <c r="A435" i="2" l="1"/>
  <c r="N434" i="2"/>
  <c r="O434" i="2" s="1"/>
  <c r="P434" i="2" s="1"/>
  <c r="K434" i="2"/>
  <c r="L434" i="2" s="1"/>
  <c r="M434" i="2" s="1"/>
  <c r="H434" i="2"/>
  <c r="I434" i="2" s="1"/>
  <c r="J434" i="2" s="1"/>
  <c r="E434" i="2"/>
  <c r="F434" i="2" s="1"/>
  <c r="G434" i="2" s="1"/>
  <c r="D434" i="2"/>
  <c r="C435" i="2"/>
  <c r="A436" i="2" l="1"/>
  <c r="H435" i="2"/>
  <c r="I435" i="2" s="1"/>
  <c r="J435" i="2" s="1"/>
  <c r="E435" i="2"/>
  <c r="F435" i="2" s="1"/>
  <c r="G435" i="2" s="1"/>
  <c r="N435" i="2"/>
  <c r="O435" i="2" s="1"/>
  <c r="P435" i="2" s="1"/>
  <c r="K435" i="2"/>
  <c r="L435" i="2" s="1"/>
  <c r="M435" i="2" s="1"/>
  <c r="D435" i="2"/>
  <c r="C436" i="2"/>
  <c r="A437" i="2" l="1"/>
  <c r="K436" i="2"/>
  <c r="L436" i="2" s="1"/>
  <c r="M436" i="2" s="1"/>
  <c r="N436" i="2"/>
  <c r="O436" i="2" s="1"/>
  <c r="P436" i="2" s="1"/>
  <c r="E436" i="2"/>
  <c r="F436" i="2" s="1"/>
  <c r="G436" i="2" s="1"/>
  <c r="H436" i="2"/>
  <c r="I436" i="2" s="1"/>
  <c r="J436" i="2" s="1"/>
  <c r="D436" i="2"/>
  <c r="C437" i="2"/>
  <c r="A438" i="2" l="1"/>
  <c r="K437" i="2"/>
  <c r="L437" i="2" s="1"/>
  <c r="M437" i="2" s="1"/>
  <c r="N437" i="2"/>
  <c r="O437" i="2" s="1"/>
  <c r="P437" i="2" s="1"/>
  <c r="H437" i="2"/>
  <c r="I437" i="2" s="1"/>
  <c r="J437" i="2" s="1"/>
  <c r="E437" i="2"/>
  <c r="F437" i="2" s="1"/>
  <c r="G437" i="2" s="1"/>
  <c r="D437" i="2"/>
  <c r="C438" i="2"/>
  <c r="A439" i="2" l="1"/>
  <c r="H438" i="2"/>
  <c r="I438" i="2" s="1"/>
  <c r="J438" i="2" s="1"/>
  <c r="E438" i="2"/>
  <c r="F438" i="2" s="1"/>
  <c r="G438" i="2" s="1"/>
  <c r="N438" i="2"/>
  <c r="O438" i="2" s="1"/>
  <c r="P438" i="2" s="1"/>
  <c r="K438" i="2"/>
  <c r="L438" i="2" s="1"/>
  <c r="M438" i="2" s="1"/>
  <c r="D438" i="2"/>
  <c r="C439" i="2"/>
  <c r="A440" i="2" l="1"/>
  <c r="N439" i="2"/>
  <c r="O439" i="2" s="1"/>
  <c r="P439" i="2" s="1"/>
  <c r="K439" i="2"/>
  <c r="L439" i="2" s="1"/>
  <c r="M439" i="2" s="1"/>
  <c r="H439" i="2"/>
  <c r="I439" i="2" s="1"/>
  <c r="J439" i="2" s="1"/>
  <c r="E439" i="2"/>
  <c r="F439" i="2" s="1"/>
  <c r="G439" i="2" s="1"/>
  <c r="D439" i="2"/>
  <c r="C440" i="2"/>
  <c r="A441" i="2" l="1"/>
  <c r="N440" i="2"/>
  <c r="O440" i="2" s="1"/>
  <c r="P440" i="2" s="1"/>
  <c r="K440" i="2"/>
  <c r="L440" i="2" s="1"/>
  <c r="M440" i="2" s="1"/>
  <c r="H440" i="2"/>
  <c r="I440" i="2" s="1"/>
  <c r="J440" i="2" s="1"/>
  <c r="E440" i="2"/>
  <c r="F440" i="2" s="1"/>
  <c r="G440" i="2" s="1"/>
  <c r="D440" i="2"/>
  <c r="C441" i="2"/>
  <c r="A442" i="2" l="1"/>
  <c r="H441" i="2"/>
  <c r="I441" i="2" s="1"/>
  <c r="J441" i="2" s="1"/>
  <c r="E441" i="2"/>
  <c r="F441" i="2" s="1"/>
  <c r="G441" i="2" s="1"/>
  <c r="N441" i="2"/>
  <c r="O441" i="2" s="1"/>
  <c r="P441" i="2" s="1"/>
  <c r="K441" i="2"/>
  <c r="L441" i="2" s="1"/>
  <c r="M441" i="2" s="1"/>
  <c r="D441" i="2"/>
  <c r="C442" i="2"/>
  <c r="A443" i="2" l="1"/>
  <c r="K442" i="2"/>
  <c r="L442" i="2" s="1"/>
  <c r="M442" i="2" s="1"/>
  <c r="N442" i="2"/>
  <c r="O442" i="2" s="1"/>
  <c r="P442" i="2" s="1"/>
  <c r="H442" i="2"/>
  <c r="I442" i="2" s="1"/>
  <c r="J442" i="2" s="1"/>
  <c r="E442" i="2"/>
  <c r="F442" i="2" s="1"/>
  <c r="G442" i="2" s="1"/>
  <c r="D442" i="2"/>
  <c r="C443" i="2"/>
  <c r="A444" i="2" l="1"/>
  <c r="N443" i="2"/>
  <c r="O443" i="2" s="1"/>
  <c r="P443" i="2" s="1"/>
  <c r="K443" i="2"/>
  <c r="L443" i="2" s="1"/>
  <c r="M443" i="2" s="1"/>
  <c r="H443" i="2"/>
  <c r="I443" i="2" s="1"/>
  <c r="J443" i="2" s="1"/>
  <c r="E443" i="2"/>
  <c r="F443" i="2" s="1"/>
  <c r="G443" i="2" s="1"/>
  <c r="D443" i="2"/>
  <c r="C444" i="2"/>
  <c r="A445" i="2" l="1"/>
  <c r="N444" i="2"/>
  <c r="O444" i="2" s="1"/>
  <c r="P444" i="2" s="1"/>
  <c r="K444" i="2"/>
  <c r="L444" i="2" s="1"/>
  <c r="M444" i="2" s="1"/>
  <c r="H444" i="2"/>
  <c r="I444" i="2" s="1"/>
  <c r="J444" i="2" s="1"/>
  <c r="E444" i="2"/>
  <c r="F444" i="2" s="1"/>
  <c r="G444" i="2" s="1"/>
  <c r="D444" i="2"/>
  <c r="C445" i="2"/>
  <c r="A446" i="2" l="1"/>
  <c r="K445" i="2"/>
  <c r="L445" i="2" s="1"/>
  <c r="M445" i="2" s="1"/>
  <c r="H445" i="2"/>
  <c r="I445" i="2" s="1"/>
  <c r="J445" i="2" s="1"/>
  <c r="N445" i="2"/>
  <c r="O445" i="2" s="1"/>
  <c r="P445" i="2" s="1"/>
  <c r="E445" i="2"/>
  <c r="F445" i="2" s="1"/>
  <c r="G445" i="2" s="1"/>
  <c r="D445" i="2"/>
  <c r="C446" i="2"/>
  <c r="A447" i="2" l="1"/>
  <c r="N446" i="2"/>
  <c r="O446" i="2" s="1"/>
  <c r="P446" i="2" s="1"/>
  <c r="E446" i="2"/>
  <c r="F446" i="2" s="1"/>
  <c r="G446" i="2" s="1"/>
  <c r="K446" i="2"/>
  <c r="L446" i="2" s="1"/>
  <c r="M446" i="2" s="1"/>
  <c r="H446" i="2"/>
  <c r="I446" i="2" s="1"/>
  <c r="J446" i="2" s="1"/>
  <c r="D446" i="2"/>
  <c r="C447" i="2"/>
  <c r="A448" i="2" l="1"/>
  <c r="N447" i="2"/>
  <c r="O447" i="2" s="1"/>
  <c r="P447" i="2" s="1"/>
  <c r="K447" i="2"/>
  <c r="L447" i="2" s="1"/>
  <c r="M447" i="2" s="1"/>
  <c r="H447" i="2"/>
  <c r="I447" i="2" s="1"/>
  <c r="J447" i="2" s="1"/>
  <c r="E447" i="2"/>
  <c r="F447" i="2" s="1"/>
  <c r="G447" i="2" s="1"/>
  <c r="D447" i="2"/>
  <c r="C448" i="2"/>
  <c r="A449" i="2" l="1"/>
  <c r="K448" i="2"/>
  <c r="L448" i="2" s="1"/>
  <c r="M448" i="2" s="1"/>
  <c r="H448" i="2"/>
  <c r="I448" i="2" s="1"/>
  <c r="J448" i="2" s="1"/>
  <c r="E448" i="2"/>
  <c r="F448" i="2" s="1"/>
  <c r="G448" i="2" s="1"/>
  <c r="N448" i="2"/>
  <c r="O448" i="2" s="1"/>
  <c r="P448" i="2" s="1"/>
  <c r="D448" i="2"/>
  <c r="C449" i="2"/>
  <c r="A450" i="2" l="1"/>
  <c r="N449" i="2"/>
  <c r="O449" i="2" s="1"/>
  <c r="P449" i="2" s="1"/>
  <c r="K449" i="2"/>
  <c r="L449" i="2" s="1"/>
  <c r="M449" i="2" s="1"/>
  <c r="H449" i="2"/>
  <c r="I449" i="2" s="1"/>
  <c r="J449" i="2" s="1"/>
  <c r="E449" i="2"/>
  <c r="F449" i="2" s="1"/>
  <c r="G449" i="2" s="1"/>
  <c r="D449" i="2"/>
  <c r="C450" i="2"/>
  <c r="A451" i="2" l="1"/>
  <c r="H450" i="2"/>
  <c r="I450" i="2" s="1"/>
  <c r="J450" i="2" s="1"/>
  <c r="N450" i="2"/>
  <c r="O450" i="2" s="1"/>
  <c r="P450" i="2" s="1"/>
  <c r="K450" i="2"/>
  <c r="L450" i="2" s="1"/>
  <c r="M450" i="2" s="1"/>
  <c r="E450" i="2"/>
  <c r="F450" i="2" s="1"/>
  <c r="G450" i="2" s="1"/>
  <c r="D450" i="2"/>
  <c r="C451" i="2"/>
  <c r="A452" i="2" l="1"/>
  <c r="N451" i="2"/>
  <c r="O451" i="2" s="1"/>
  <c r="P451" i="2" s="1"/>
  <c r="K451" i="2"/>
  <c r="L451" i="2" s="1"/>
  <c r="M451" i="2" s="1"/>
  <c r="H451" i="2"/>
  <c r="I451" i="2" s="1"/>
  <c r="J451" i="2" s="1"/>
  <c r="E451" i="2"/>
  <c r="F451" i="2" s="1"/>
  <c r="G451" i="2" s="1"/>
  <c r="D451" i="2"/>
  <c r="C452" i="2"/>
  <c r="A453" i="2" l="1"/>
  <c r="E452" i="2"/>
  <c r="F452" i="2" s="1"/>
  <c r="G452" i="2" s="1"/>
  <c r="N452" i="2"/>
  <c r="O452" i="2" s="1"/>
  <c r="P452" i="2" s="1"/>
  <c r="K452" i="2"/>
  <c r="L452" i="2" s="1"/>
  <c r="M452" i="2" s="1"/>
  <c r="H452" i="2"/>
  <c r="I452" i="2" s="1"/>
  <c r="J452" i="2" s="1"/>
  <c r="D452" i="2"/>
  <c r="C453" i="2"/>
  <c r="A454" i="2" l="1"/>
  <c r="H453" i="2"/>
  <c r="I453" i="2" s="1"/>
  <c r="J453" i="2" s="1"/>
  <c r="N453" i="2"/>
  <c r="O453" i="2" s="1"/>
  <c r="P453" i="2" s="1"/>
  <c r="K453" i="2"/>
  <c r="L453" i="2" s="1"/>
  <c r="M453" i="2" s="1"/>
  <c r="E453" i="2"/>
  <c r="F453" i="2" s="1"/>
  <c r="G453" i="2" s="1"/>
  <c r="D453" i="2"/>
  <c r="C454" i="2"/>
  <c r="A455" i="2" l="1"/>
  <c r="K454" i="2"/>
  <c r="L454" i="2" s="1"/>
  <c r="M454" i="2" s="1"/>
  <c r="N454" i="2"/>
  <c r="O454" i="2" s="1"/>
  <c r="P454" i="2" s="1"/>
  <c r="H454" i="2"/>
  <c r="I454" i="2" s="1"/>
  <c r="J454" i="2" s="1"/>
  <c r="E454" i="2"/>
  <c r="F454" i="2" s="1"/>
  <c r="G454" i="2" s="1"/>
  <c r="D454" i="2"/>
  <c r="C455" i="2"/>
  <c r="A456" i="2" l="1"/>
  <c r="N455" i="2"/>
  <c r="O455" i="2" s="1"/>
  <c r="P455" i="2" s="1"/>
  <c r="K455" i="2"/>
  <c r="L455" i="2" s="1"/>
  <c r="M455" i="2" s="1"/>
  <c r="H455" i="2"/>
  <c r="I455" i="2" s="1"/>
  <c r="J455" i="2" s="1"/>
  <c r="E455" i="2"/>
  <c r="F455" i="2" s="1"/>
  <c r="G455" i="2" s="1"/>
  <c r="D455" i="2"/>
  <c r="C456" i="2"/>
  <c r="A457" i="2" l="1"/>
  <c r="N456" i="2"/>
  <c r="O456" i="2" s="1"/>
  <c r="P456" i="2" s="1"/>
  <c r="K456" i="2"/>
  <c r="L456" i="2" s="1"/>
  <c r="M456" i="2" s="1"/>
  <c r="H456" i="2"/>
  <c r="I456" i="2" s="1"/>
  <c r="J456" i="2" s="1"/>
  <c r="E456" i="2"/>
  <c r="F456" i="2" s="1"/>
  <c r="G456" i="2" s="1"/>
  <c r="D456" i="2"/>
  <c r="C457" i="2"/>
  <c r="A458" i="2" l="1"/>
  <c r="N457" i="2"/>
  <c r="O457" i="2" s="1"/>
  <c r="P457" i="2" s="1"/>
  <c r="K457" i="2"/>
  <c r="L457" i="2" s="1"/>
  <c r="M457" i="2" s="1"/>
  <c r="H457" i="2"/>
  <c r="I457" i="2" s="1"/>
  <c r="J457" i="2" s="1"/>
  <c r="E457" i="2"/>
  <c r="F457" i="2" s="1"/>
  <c r="G457" i="2" s="1"/>
  <c r="D457" i="2"/>
  <c r="C458" i="2"/>
  <c r="A459" i="2" l="1"/>
  <c r="N458" i="2"/>
  <c r="O458" i="2" s="1"/>
  <c r="P458" i="2" s="1"/>
  <c r="K458" i="2"/>
  <c r="L458" i="2" s="1"/>
  <c r="M458" i="2" s="1"/>
  <c r="E458" i="2"/>
  <c r="F458" i="2" s="1"/>
  <c r="G458" i="2" s="1"/>
  <c r="H458" i="2"/>
  <c r="I458" i="2" s="1"/>
  <c r="J458" i="2" s="1"/>
  <c r="D458" i="2"/>
  <c r="C459" i="2"/>
  <c r="A460" i="2" l="1"/>
  <c r="N459" i="2"/>
  <c r="O459" i="2" s="1"/>
  <c r="P459" i="2" s="1"/>
  <c r="K459" i="2"/>
  <c r="L459" i="2" s="1"/>
  <c r="M459" i="2" s="1"/>
  <c r="H459" i="2"/>
  <c r="I459" i="2" s="1"/>
  <c r="J459" i="2" s="1"/>
  <c r="E459" i="2"/>
  <c r="F459" i="2" s="1"/>
  <c r="G459" i="2" s="1"/>
  <c r="D459" i="2"/>
  <c r="C460" i="2"/>
  <c r="A461" i="2" l="1"/>
  <c r="K460" i="2"/>
  <c r="L460" i="2" s="1"/>
  <c r="M460" i="2" s="1"/>
  <c r="H460" i="2"/>
  <c r="I460" i="2" s="1"/>
  <c r="J460" i="2" s="1"/>
  <c r="N460" i="2"/>
  <c r="O460" i="2" s="1"/>
  <c r="P460" i="2" s="1"/>
  <c r="E460" i="2"/>
  <c r="F460" i="2" s="1"/>
  <c r="G460" i="2" s="1"/>
  <c r="D460" i="2"/>
  <c r="C461" i="2"/>
  <c r="A462" i="2" l="1"/>
  <c r="N461" i="2"/>
  <c r="O461" i="2" s="1"/>
  <c r="P461" i="2" s="1"/>
  <c r="K461" i="2"/>
  <c r="L461" i="2" s="1"/>
  <c r="M461" i="2" s="1"/>
  <c r="H461" i="2"/>
  <c r="I461" i="2" s="1"/>
  <c r="J461" i="2" s="1"/>
  <c r="E461" i="2"/>
  <c r="F461" i="2" s="1"/>
  <c r="G461" i="2" s="1"/>
  <c r="D461" i="2"/>
  <c r="C462" i="2"/>
  <c r="A463" i="2" l="1"/>
  <c r="E462" i="2"/>
  <c r="F462" i="2" s="1"/>
  <c r="G462" i="2" s="1"/>
  <c r="N462" i="2"/>
  <c r="O462" i="2" s="1"/>
  <c r="P462" i="2" s="1"/>
  <c r="K462" i="2"/>
  <c r="L462" i="2" s="1"/>
  <c r="M462" i="2" s="1"/>
  <c r="H462" i="2"/>
  <c r="I462" i="2" s="1"/>
  <c r="J462" i="2" s="1"/>
  <c r="D462" i="2"/>
  <c r="C463" i="2"/>
  <c r="A464" i="2" l="1"/>
  <c r="K463" i="2"/>
  <c r="L463" i="2" s="1"/>
  <c r="M463" i="2" s="1"/>
  <c r="H463" i="2"/>
  <c r="I463" i="2" s="1"/>
  <c r="J463" i="2" s="1"/>
  <c r="N463" i="2"/>
  <c r="O463" i="2" s="1"/>
  <c r="P463" i="2" s="1"/>
  <c r="E463" i="2"/>
  <c r="F463" i="2" s="1"/>
  <c r="G463" i="2" s="1"/>
  <c r="D463" i="2"/>
  <c r="C464" i="2"/>
  <c r="A465" i="2" l="1"/>
  <c r="N464" i="2"/>
  <c r="O464" i="2" s="1"/>
  <c r="P464" i="2" s="1"/>
  <c r="K464" i="2"/>
  <c r="L464" i="2" s="1"/>
  <c r="M464" i="2" s="1"/>
  <c r="H464" i="2"/>
  <c r="I464" i="2" s="1"/>
  <c r="J464" i="2" s="1"/>
  <c r="E464" i="2"/>
  <c r="F464" i="2" s="1"/>
  <c r="G464" i="2" s="1"/>
  <c r="D464" i="2"/>
  <c r="C465" i="2"/>
  <c r="A466" i="2" l="1"/>
  <c r="N465" i="2"/>
  <c r="O465" i="2" s="1"/>
  <c r="P465" i="2" s="1"/>
  <c r="H465" i="2"/>
  <c r="I465" i="2" s="1"/>
  <c r="J465" i="2" s="1"/>
  <c r="K465" i="2"/>
  <c r="L465" i="2" s="1"/>
  <c r="M465" i="2" s="1"/>
  <c r="E465" i="2"/>
  <c r="F465" i="2" s="1"/>
  <c r="G465" i="2" s="1"/>
  <c r="D465" i="2"/>
  <c r="C466" i="2"/>
  <c r="A467" i="2" l="1"/>
  <c r="K466" i="2"/>
  <c r="L466" i="2" s="1"/>
  <c r="M466" i="2" s="1"/>
  <c r="E466" i="2"/>
  <c r="F466" i="2" s="1"/>
  <c r="G466" i="2" s="1"/>
  <c r="N466" i="2"/>
  <c r="O466" i="2" s="1"/>
  <c r="P466" i="2" s="1"/>
  <c r="H466" i="2"/>
  <c r="I466" i="2" s="1"/>
  <c r="J466" i="2" s="1"/>
  <c r="D466" i="2"/>
  <c r="C467" i="2"/>
  <c r="A468" i="2" l="1"/>
  <c r="N467" i="2"/>
  <c r="O467" i="2" s="1"/>
  <c r="P467" i="2" s="1"/>
  <c r="K467" i="2"/>
  <c r="L467" i="2" s="1"/>
  <c r="M467" i="2" s="1"/>
  <c r="H467" i="2"/>
  <c r="I467" i="2" s="1"/>
  <c r="J467" i="2" s="1"/>
  <c r="E467" i="2"/>
  <c r="F467" i="2" s="1"/>
  <c r="G467" i="2" s="1"/>
  <c r="D467" i="2"/>
  <c r="C468" i="2"/>
  <c r="A469" i="2" l="1"/>
  <c r="H468" i="2"/>
  <c r="I468" i="2" s="1"/>
  <c r="J468" i="2" s="1"/>
  <c r="N468" i="2"/>
  <c r="O468" i="2" s="1"/>
  <c r="P468" i="2" s="1"/>
  <c r="K468" i="2"/>
  <c r="L468" i="2" s="1"/>
  <c r="M468" i="2" s="1"/>
  <c r="E468" i="2"/>
  <c r="F468" i="2" s="1"/>
  <c r="G468" i="2" s="1"/>
  <c r="D468" i="2"/>
  <c r="C469" i="2"/>
  <c r="A470" i="2" l="1"/>
  <c r="K469" i="2"/>
  <c r="L469" i="2" s="1"/>
  <c r="M469" i="2" s="1"/>
  <c r="N469" i="2"/>
  <c r="O469" i="2" s="1"/>
  <c r="P469" i="2" s="1"/>
  <c r="H469" i="2"/>
  <c r="I469" i="2" s="1"/>
  <c r="J469" i="2" s="1"/>
  <c r="E469" i="2"/>
  <c r="F469" i="2" s="1"/>
  <c r="G469" i="2" s="1"/>
  <c r="D469" i="2"/>
  <c r="C470" i="2"/>
  <c r="A471" i="2" l="1"/>
  <c r="N470" i="2"/>
  <c r="O470" i="2" s="1"/>
  <c r="P470" i="2" s="1"/>
  <c r="K470" i="2"/>
  <c r="L470" i="2" s="1"/>
  <c r="M470" i="2" s="1"/>
  <c r="H470" i="2"/>
  <c r="I470" i="2" s="1"/>
  <c r="J470" i="2" s="1"/>
  <c r="E470" i="2"/>
  <c r="F470" i="2" s="1"/>
  <c r="G470" i="2" s="1"/>
  <c r="D470" i="2"/>
  <c r="C471" i="2"/>
  <c r="A472" i="2" l="1"/>
  <c r="H471" i="2"/>
  <c r="I471" i="2" s="1"/>
  <c r="J471" i="2" s="1"/>
  <c r="N471" i="2"/>
  <c r="O471" i="2" s="1"/>
  <c r="P471" i="2" s="1"/>
  <c r="K471" i="2"/>
  <c r="L471" i="2" s="1"/>
  <c r="M471" i="2" s="1"/>
  <c r="E471" i="2"/>
  <c r="F471" i="2" s="1"/>
  <c r="G471" i="2" s="1"/>
  <c r="D471" i="2"/>
  <c r="C472" i="2"/>
  <c r="A473" i="2" l="1"/>
  <c r="K472" i="2"/>
  <c r="L472" i="2" s="1"/>
  <c r="M472" i="2" s="1"/>
  <c r="E472" i="2"/>
  <c r="F472" i="2" s="1"/>
  <c r="G472" i="2" s="1"/>
  <c r="N472" i="2"/>
  <c r="O472" i="2" s="1"/>
  <c r="P472" i="2" s="1"/>
  <c r="H472" i="2"/>
  <c r="I472" i="2" s="1"/>
  <c r="J472" i="2" s="1"/>
  <c r="D472" i="2"/>
  <c r="C473" i="2"/>
  <c r="A474" i="2" l="1"/>
  <c r="N473" i="2"/>
  <c r="O473" i="2" s="1"/>
  <c r="P473" i="2" s="1"/>
  <c r="K473" i="2"/>
  <c r="L473" i="2" s="1"/>
  <c r="M473" i="2" s="1"/>
  <c r="H473" i="2"/>
  <c r="I473" i="2" s="1"/>
  <c r="J473" i="2" s="1"/>
  <c r="E473" i="2"/>
  <c r="F473" i="2" s="1"/>
  <c r="G473" i="2" s="1"/>
  <c r="D473" i="2"/>
  <c r="C474" i="2"/>
  <c r="A475" i="2" l="1"/>
  <c r="H474" i="2"/>
  <c r="I474" i="2" s="1"/>
  <c r="J474" i="2" s="1"/>
  <c r="N474" i="2"/>
  <c r="O474" i="2" s="1"/>
  <c r="P474" i="2" s="1"/>
  <c r="K474" i="2"/>
  <c r="L474" i="2" s="1"/>
  <c r="M474" i="2" s="1"/>
  <c r="E474" i="2"/>
  <c r="F474" i="2" s="1"/>
  <c r="G474" i="2" s="1"/>
  <c r="D474" i="2"/>
  <c r="C475" i="2"/>
  <c r="A476" i="2" l="1"/>
  <c r="K475" i="2"/>
  <c r="L475" i="2" s="1"/>
  <c r="M475" i="2" s="1"/>
  <c r="N475" i="2"/>
  <c r="O475" i="2" s="1"/>
  <c r="P475" i="2" s="1"/>
  <c r="H475" i="2"/>
  <c r="I475" i="2" s="1"/>
  <c r="J475" i="2" s="1"/>
  <c r="E475" i="2"/>
  <c r="F475" i="2" s="1"/>
  <c r="G475" i="2" s="1"/>
  <c r="D475" i="2"/>
  <c r="C476" i="2"/>
  <c r="A477" i="2" l="1"/>
  <c r="E476" i="2"/>
  <c r="F476" i="2" s="1"/>
  <c r="G476" i="2" s="1"/>
  <c r="K476" i="2"/>
  <c r="L476" i="2" s="1"/>
  <c r="M476" i="2" s="1"/>
  <c r="N476" i="2"/>
  <c r="O476" i="2" s="1"/>
  <c r="P476" i="2" s="1"/>
  <c r="H476" i="2"/>
  <c r="I476" i="2" s="1"/>
  <c r="J476" i="2" s="1"/>
  <c r="D476" i="2"/>
  <c r="C477" i="2"/>
  <c r="A478" i="2" l="1"/>
  <c r="H477" i="2"/>
  <c r="I477" i="2" s="1"/>
  <c r="J477" i="2" s="1"/>
  <c r="N477" i="2"/>
  <c r="O477" i="2" s="1"/>
  <c r="P477" i="2" s="1"/>
  <c r="K477" i="2"/>
  <c r="L477" i="2" s="1"/>
  <c r="M477" i="2" s="1"/>
  <c r="E477" i="2"/>
  <c r="F477" i="2" s="1"/>
  <c r="G477" i="2" s="1"/>
  <c r="D477" i="2"/>
  <c r="C478" i="2"/>
  <c r="A479" i="2" l="1"/>
  <c r="K478" i="2"/>
  <c r="L478" i="2" s="1"/>
  <c r="M478" i="2" s="1"/>
  <c r="N478" i="2"/>
  <c r="O478" i="2" s="1"/>
  <c r="P478" i="2" s="1"/>
  <c r="H478" i="2"/>
  <c r="I478" i="2" s="1"/>
  <c r="J478" i="2" s="1"/>
  <c r="E478" i="2"/>
  <c r="F478" i="2" s="1"/>
  <c r="G478" i="2" s="1"/>
  <c r="D478" i="2"/>
  <c r="C479" i="2"/>
  <c r="A480" i="2" l="1"/>
  <c r="K479" i="2"/>
  <c r="L479" i="2" s="1"/>
  <c r="M479" i="2" s="1"/>
  <c r="N479" i="2"/>
  <c r="O479" i="2" s="1"/>
  <c r="P479" i="2" s="1"/>
  <c r="H479" i="2"/>
  <c r="I479" i="2" s="1"/>
  <c r="J479" i="2" s="1"/>
  <c r="E479" i="2"/>
  <c r="F479" i="2" s="1"/>
  <c r="G479" i="2" s="1"/>
  <c r="D479" i="2"/>
  <c r="C480" i="2"/>
  <c r="A481" i="2" l="1"/>
  <c r="N480" i="2"/>
  <c r="O480" i="2" s="1"/>
  <c r="P480" i="2" s="1"/>
  <c r="K480" i="2"/>
  <c r="L480" i="2" s="1"/>
  <c r="M480" i="2" s="1"/>
  <c r="H480" i="2"/>
  <c r="I480" i="2" s="1"/>
  <c r="J480" i="2" s="1"/>
  <c r="E480" i="2"/>
  <c r="F480" i="2" s="1"/>
  <c r="G480" i="2" s="1"/>
  <c r="D480" i="2"/>
  <c r="C481" i="2"/>
  <c r="A482" i="2" l="1"/>
  <c r="K481" i="2"/>
  <c r="L481" i="2" s="1"/>
  <c r="M481" i="2" s="1"/>
  <c r="H481" i="2"/>
  <c r="I481" i="2" s="1"/>
  <c r="J481" i="2" s="1"/>
  <c r="N481" i="2"/>
  <c r="O481" i="2" s="1"/>
  <c r="P481" i="2" s="1"/>
  <c r="E481" i="2"/>
  <c r="F481" i="2" s="1"/>
  <c r="G481" i="2" s="1"/>
  <c r="D481" i="2"/>
  <c r="C482" i="2"/>
  <c r="A483" i="2" l="1"/>
  <c r="E482" i="2"/>
  <c r="F482" i="2" s="1"/>
  <c r="G482" i="2" s="1"/>
  <c r="K482" i="2"/>
  <c r="L482" i="2" s="1"/>
  <c r="M482" i="2" s="1"/>
  <c r="N482" i="2"/>
  <c r="O482" i="2" s="1"/>
  <c r="P482" i="2" s="1"/>
  <c r="H482" i="2"/>
  <c r="I482" i="2" s="1"/>
  <c r="J482" i="2" s="1"/>
  <c r="D482" i="2"/>
  <c r="C483" i="2"/>
  <c r="A484" i="2" l="1"/>
  <c r="N483" i="2"/>
  <c r="O483" i="2" s="1"/>
  <c r="P483" i="2" s="1"/>
  <c r="K483" i="2"/>
  <c r="L483" i="2" s="1"/>
  <c r="M483" i="2" s="1"/>
  <c r="H483" i="2"/>
  <c r="I483" i="2" s="1"/>
  <c r="J483" i="2" s="1"/>
  <c r="E483" i="2"/>
  <c r="F483" i="2" s="1"/>
  <c r="G483" i="2" s="1"/>
  <c r="D483" i="2"/>
  <c r="C484" i="2"/>
  <c r="A485" i="2" l="1"/>
  <c r="K484" i="2"/>
  <c r="L484" i="2" s="1"/>
  <c r="M484" i="2" s="1"/>
  <c r="H484" i="2"/>
  <c r="I484" i="2" s="1"/>
  <c r="J484" i="2" s="1"/>
  <c r="N484" i="2"/>
  <c r="O484" i="2" s="1"/>
  <c r="P484" i="2" s="1"/>
  <c r="E484" i="2"/>
  <c r="F484" i="2" s="1"/>
  <c r="G484" i="2" s="1"/>
  <c r="D484" i="2"/>
  <c r="C485" i="2"/>
  <c r="A486" i="2" l="1"/>
  <c r="K485" i="2"/>
  <c r="L485" i="2" s="1"/>
  <c r="M485" i="2" s="1"/>
  <c r="N485" i="2"/>
  <c r="O485" i="2" s="1"/>
  <c r="P485" i="2" s="1"/>
  <c r="E485" i="2"/>
  <c r="F485" i="2" s="1"/>
  <c r="G485" i="2" s="1"/>
  <c r="H485" i="2"/>
  <c r="I485" i="2" s="1"/>
  <c r="J485" i="2" s="1"/>
  <c r="D485" i="2"/>
  <c r="C486" i="2"/>
  <c r="A487" i="2" l="1"/>
  <c r="E486" i="2"/>
  <c r="F486" i="2" s="1"/>
  <c r="G486" i="2" s="1"/>
  <c r="N486" i="2"/>
  <c r="O486" i="2" s="1"/>
  <c r="P486" i="2" s="1"/>
  <c r="K486" i="2"/>
  <c r="L486" i="2" s="1"/>
  <c r="M486" i="2" s="1"/>
  <c r="H486" i="2"/>
  <c r="I486" i="2" s="1"/>
  <c r="J486" i="2" s="1"/>
  <c r="D486" i="2"/>
  <c r="C487" i="2"/>
  <c r="A488" i="2" l="1"/>
  <c r="K487" i="2"/>
  <c r="L487" i="2" s="1"/>
  <c r="M487" i="2" s="1"/>
  <c r="H487" i="2"/>
  <c r="I487" i="2" s="1"/>
  <c r="J487" i="2" s="1"/>
  <c r="N487" i="2"/>
  <c r="O487" i="2" s="1"/>
  <c r="P487" i="2" s="1"/>
  <c r="E487" i="2"/>
  <c r="F487" i="2" s="1"/>
  <c r="G487" i="2" s="1"/>
  <c r="D487" i="2"/>
  <c r="C488" i="2"/>
  <c r="A489" i="2" l="1"/>
  <c r="N488" i="2"/>
  <c r="O488" i="2" s="1"/>
  <c r="P488" i="2" s="1"/>
  <c r="K488" i="2"/>
  <c r="L488" i="2" s="1"/>
  <c r="M488" i="2" s="1"/>
  <c r="H488" i="2"/>
  <c r="I488" i="2" s="1"/>
  <c r="J488" i="2" s="1"/>
  <c r="E488" i="2"/>
  <c r="F488" i="2" s="1"/>
  <c r="G488" i="2" s="1"/>
  <c r="D488" i="2"/>
  <c r="C489" i="2"/>
  <c r="A490" i="2" l="1"/>
  <c r="H489" i="2"/>
  <c r="I489" i="2" s="1"/>
  <c r="J489" i="2" s="1"/>
  <c r="K489" i="2"/>
  <c r="L489" i="2" s="1"/>
  <c r="M489" i="2" s="1"/>
  <c r="N489" i="2"/>
  <c r="O489" i="2" s="1"/>
  <c r="P489" i="2" s="1"/>
  <c r="E489" i="2"/>
  <c r="F489" i="2" s="1"/>
  <c r="G489" i="2" s="1"/>
  <c r="D489" i="2"/>
  <c r="C490" i="2"/>
  <c r="A491" i="2" l="1"/>
  <c r="K490" i="2"/>
  <c r="L490" i="2" s="1"/>
  <c r="M490" i="2" s="1"/>
  <c r="E490" i="2"/>
  <c r="F490" i="2" s="1"/>
  <c r="G490" i="2" s="1"/>
  <c r="N490" i="2"/>
  <c r="O490" i="2" s="1"/>
  <c r="P490" i="2" s="1"/>
  <c r="H490" i="2"/>
  <c r="I490" i="2" s="1"/>
  <c r="J490" i="2" s="1"/>
  <c r="D490" i="2"/>
  <c r="C491" i="2"/>
  <c r="A492" i="2" l="1"/>
  <c r="H491" i="2"/>
  <c r="I491" i="2" s="1"/>
  <c r="J491" i="2" s="1"/>
  <c r="K491" i="2"/>
  <c r="L491" i="2" s="1"/>
  <c r="M491" i="2" s="1"/>
  <c r="N491" i="2"/>
  <c r="O491" i="2" s="1"/>
  <c r="P491" i="2" s="1"/>
  <c r="E491" i="2"/>
  <c r="F491" i="2" s="1"/>
  <c r="G491" i="2" s="1"/>
  <c r="D491" i="2"/>
  <c r="C492" i="2"/>
  <c r="A493" i="2" l="1"/>
  <c r="N492" i="2"/>
  <c r="O492" i="2" s="1"/>
  <c r="P492" i="2" s="1"/>
  <c r="K492" i="2"/>
  <c r="L492" i="2" s="1"/>
  <c r="M492" i="2" s="1"/>
  <c r="H492" i="2"/>
  <c r="I492" i="2" s="1"/>
  <c r="J492" i="2" s="1"/>
  <c r="E492" i="2"/>
  <c r="F492" i="2" s="1"/>
  <c r="G492" i="2" s="1"/>
  <c r="D492" i="2"/>
  <c r="C493" i="2"/>
  <c r="A494" i="2" l="1"/>
  <c r="K493" i="2"/>
  <c r="L493" i="2" s="1"/>
  <c r="M493" i="2" s="1"/>
  <c r="N493" i="2"/>
  <c r="O493" i="2" s="1"/>
  <c r="P493" i="2" s="1"/>
  <c r="H493" i="2"/>
  <c r="I493" i="2" s="1"/>
  <c r="J493" i="2" s="1"/>
  <c r="E493" i="2"/>
  <c r="F493" i="2" s="1"/>
  <c r="G493" i="2" s="1"/>
  <c r="D493" i="2"/>
  <c r="C494" i="2"/>
  <c r="A495" i="2" l="1"/>
  <c r="H494" i="2"/>
  <c r="I494" i="2" s="1"/>
  <c r="J494" i="2" s="1"/>
  <c r="E494" i="2"/>
  <c r="F494" i="2" s="1"/>
  <c r="G494" i="2" s="1"/>
  <c r="N494" i="2"/>
  <c r="O494" i="2" s="1"/>
  <c r="P494" i="2" s="1"/>
  <c r="K494" i="2"/>
  <c r="L494" i="2" s="1"/>
  <c r="M494" i="2" s="1"/>
  <c r="D494" i="2"/>
  <c r="C495" i="2"/>
  <c r="A496" i="2" l="1"/>
  <c r="K495" i="2"/>
  <c r="L495" i="2" s="1"/>
  <c r="M495" i="2" s="1"/>
  <c r="N495" i="2"/>
  <c r="O495" i="2" s="1"/>
  <c r="P495" i="2" s="1"/>
  <c r="H495" i="2"/>
  <c r="I495" i="2" s="1"/>
  <c r="J495" i="2" s="1"/>
  <c r="E495" i="2"/>
  <c r="F495" i="2" s="1"/>
  <c r="G495" i="2" s="1"/>
  <c r="D495" i="2"/>
  <c r="C496" i="2"/>
  <c r="A497" i="2" l="1"/>
  <c r="H496" i="2"/>
  <c r="I496" i="2" s="1"/>
  <c r="J496" i="2" s="1"/>
  <c r="N496" i="2"/>
  <c r="O496" i="2" s="1"/>
  <c r="P496" i="2" s="1"/>
  <c r="K496" i="2"/>
  <c r="L496" i="2" s="1"/>
  <c r="M496" i="2" s="1"/>
  <c r="E496" i="2"/>
  <c r="F496" i="2" s="1"/>
  <c r="G496" i="2" s="1"/>
  <c r="D496" i="2"/>
  <c r="C497" i="2"/>
  <c r="A498" i="2" l="1"/>
  <c r="K497" i="2"/>
  <c r="L497" i="2" s="1"/>
  <c r="M497" i="2" s="1"/>
  <c r="E497" i="2"/>
  <c r="F497" i="2" s="1"/>
  <c r="G497" i="2" s="1"/>
  <c r="N497" i="2"/>
  <c r="O497" i="2" s="1"/>
  <c r="P497" i="2" s="1"/>
  <c r="H497" i="2"/>
  <c r="I497" i="2" s="1"/>
  <c r="J497" i="2" s="1"/>
  <c r="D497" i="2"/>
  <c r="C498" i="2"/>
  <c r="A499" i="2" l="1"/>
  <c r="H498" i="2"/>
  <c r="I498" i="2" s="1"/>
  <c r="J498" i="2" s="1"/>
  <c r="N498" i="2"/>
  <c r="O498" i="2" s="1"/>
  <c r="P498" i="2" s="1"/>
  <c r="K498" i="2"/>
  <c r="L498" i="2" s="1"/>
  <c r="M498" i="2" s="1"/>
  <c r="E498" i="2"/>
  <c r="F498" i="2" s="1"/>
  <c r="G498" i="2" s="1"/>
  <c r="D498" i="2"/>
  <c r="C499" i="2"/>
  <c r="A500" i="2" l="1"/>
  <c r="K499" i="2"/>
  <c r="L499" i="2" s="1"/>
  <c r="M499" i="2" s="1"/>
  <c r="N499" i="2"/>
  <c r="O499" i="2" s="1"/>
  <c r="P499" i="2" s="1"/>
  <c r="H499" i="2"/>
  <c r="I499" i="2" s="1"/>
  <c r="J499" i="2" s="1"/>
  <c r="E499" i="2"/>
  <c r="F499" i="2" s="1"/>
  <c r="G499" i="2" s="1"/>
  <c r="D499" i="2"/>
  <c r="C500" i="2"/>
  <c r="A501" i="2" l="1"/>
  <c r="K500" i="2"/>
  <c r="L500" i="2" s="1"/>
  <c r="M500" i="2" s="1"/>
  <c r="N500" i="2"/>
  <c r="O500" i="2" s="1"/>
  <c r="P500" i="2" s="1"/>
  <c r="H500" i="2"/>
  <c r="I500" i="2" s="1"/>
  <c r="J500" i="2" s="1"/>
  <c r="E500" i="2"/>
  <c r="F500" i="2" s="1"/>
  <c r="G500" i="2" s="1"/>
  <c r="D500" i="2"/>
  <c r="C501" i="2"/>
  <c r="A502" i="2" l="1"/>
  <c r="H501" i="2"/>
  <c r="I501" i="2" s="1"/>
  <c r="J501" i="2" s="1"/>
  <c r="E501" i="2"/>
  <c r="F501" i="2" s="1"/>
  <c r="G501" i="2" s="1"/>
  <c r="K501" i="2"/>
  <c r="L501" i="2" s="1"/>
  <c r="M501" i="2" s="1"/>
  <c r="N501" i="2"/>
  <c r="O501" i="2" s="1"/>
  <c r="P501" i="2" s="1"/>
  <c r="D501" i="2"/>
  <c r="C502" i="2"/>
  <c r="A503" i="2" l="1"/>
  <c r="K502" i="2"/>
  <c r="L502" i="2" s="1"/>
  <c r="M502" i="2" s="1"/>
  <c r="N502" i="2"/>
  <c r="O502" i="2" s="1"/>
  <c r="P502" i="2" s="1"/>
  <c r="H502" i="2"/>
  <c r="I502" i="2" s="1"/>
  <c r="J502" i="2" s="1"/>
  <c r="E502" i="2"/>
  <c r="F502" i="2" s="1"/>
  <c r="G502" i="2" s="1"/>
  <c r="D502" i="2"/>
  <c r="C503" i="2"/>
  <c r="A504" i="2" l="1"/>
  <c r="N503" i="2"/>
  <c r="O503" i="2" s="1"/>
  <c r="P503" i="2" s="1"/>
  <c r="K503" i="2"/>
  <c r="L503" i="2" s="1"/>
  <c r="M503" i="2" s="1"/>
  <c r="H503" i="2"/>
  <c r="I503" i="2" s="1"/>
  <c r="J503" i="2" s="1"/>
  <c r="E503" i="2"/>
  <c r="F503" i="2" s="1"/>
  <c r="G503" i="2" s="1"/>
  <c r="D503" i="2"/>
  <c r="C504" i="2"/>
  <c r="A505" i="2" l="1"/>
  <c r="K504" i="2"/>
  <c r="L504" i="2" s="1"/>
  <c r="M504" i="2" s="1"/>
  <c r="H504" i="2"/>
  <c r="I504" i="2" s="1"/>
  <c r="J504" i="2" s="1"/>
  <c r="E504" i="2"/>
  <c r="F504" i="2" s="1"/>
  <c r="G504" i="2" s="1"/>
  <c r="N504" i="2"/>
  <c r="O504" i="2" s="1"/>
  <c r="P504" i="2" s="1"/>
  <c r="D504" i="2"/>
  <c r="C505" i="2"/>
  <c r="A506" i="2" l="1"/>
  <c r="N505" i="2"/>
  <c r="O505" i="2" s="1"/>
  <c r="P505" i="2" s="1"/>
  <c r="K505" i="2"/>
  <c r="L505" i="2" s="1"/>
  <c r="M505" i="2" s="1"/>
  <c r="H505" i="2"/>
  <c r="I505" i="2" s="1"/>
  <c r="J505" i="2" s="1"/>
  <c r="E505" i="2"/>
  <c r="F505" i="2" s="1"/>
  <c r="G505" i="2" s="1"/>
  <c r="D505" i="2"/>
  <c r="C506" i="2"/>
  <c r="A507" i="2" l="1"/>
  <c r="K506" i="2"/>
  <c r="L506" i="2" s="1"/>
  <c r="M506" i="2" s="1"/>
  <c r="N506" i="2"/>
  <c r="O506" i="2" s="1"/>
  <c r="P506" i="2" s="1"/>
  <c r="H506" i="2"/>
  <c r="I506" i="2" s="1"/>
  <c r="J506" i="2" s="1"/>
  <c r="E506" i="2"/>
  <c r="F506" i="2" s="1"/>
  <c r="G506" i="2" s="1"/>
  <c r="D506" i="2"/>
  <c r="C507" i="2"/>
  <c r="A508" i="2" l="1"/>
  <c r="H507" i="2"/>
  <c r="I507" i="2" s="1"/>
  <c r="J507" i="2" s="1"/>
  <c r="E507" i="2"/>
  <c r="F507" i="2" s="1"/>
  <c r="G507" i="2" s="1"/>
  <c r="N507" i="2"/>
  <c r="O507" i="2" s="1"/>
  <c r="P507" i="2" s="1"/>
  <c r="K507" i="2"/>
  <c r="L507" i="2" s="1"/>
  <c r="M507" i="2" s="1"/>
  <c r="D507" i="2"/>
  <c r="C508" i="2"/>
  <c r="A509" i="2" l="1"/>
  <c r="N508" i="2"/>
  <c r="O508" i="2" s="1"/>
  <c r="P508" i="2" s="1"/>
  <c r="K508" i="2"/>
  <c r="L508" i="2" s="1"/>
  <c r="M508" i="2" s="1"/>
  <c r="H508" i="2"/>
  <c r="I508" i="2" s="1"/>
  <c r="J508" i="2" s="1"/>
  <c r="E508" i="2"/>
  <c r="F508" i="2" s="1"/>
  <c r="G508" i="2" s="1"/>
  <c r="D508" i="2"/>
  <c r="C509" i="2"/>
  <c r="A510" i="2" l="1"/>
  <c r="H509" i="2"/>
  <c r="I509" i="2" s="1"/>
  <c r="J509" i="2" s="1"/>
  <c r="N509" i="2"/>
  <c r="O509" i="2" s="1"/>
  <c r="P509" i="2" s="1"/>
  <c r="K509" i="2"/>
  <c r="L509" i="2" s="1"/>
  <c r="M509" i="2" s="1"/>
  <c r="E509" i="2"/>
  <c r="F509" i="2" s="1"/>
  <c r="G509" i="2" s="1"/>
  <c r="D509" i="2"/>
  <c r="C510" i="2"/>
  <c r="A511" i="2" l="1"/>
  <c r="N510" i="2"/>
  <c r="O510" i="2" s="1"/>
  <c r="P510" i="2" s="1"/>
  <c r="K510" i="2"/>
  <c r="L510" i="2" s="1"/>
  <c r="M510" i="2" s="1"/>
  <c r="E510" i="2"/>
  <c r="F510" i="2" s="1"/>
  <c r="G510" i="2" s="1"/>
  <c r="H510" i="2"/>
  <c r="I510" i="2" s="1"/>
  <c r="J510" i="2" s="1"/>
  <c r="D510" i="2"/>
  <c r="C511" i="2"/>
  <c r="A512" i="2" l="1"/>
  <c r="N511" i="2"/>
  <c r="O511" i="2" s="1"/>
  <c r="P511" i="2" s="1"/>
  <c r="E511" i="2"/>
  <c r="F511" i="2" s="1"/>
  <c r="G511" i="2" s="1"/>
  <c r="K511" i="2"/>
  <c r="L511" i="2" s="1"/>
  <c r="M511" i="2" s="1"/>
  <c r="H511" i="2"/>
  <c r="I511" i="2" s="1"/>
  <c r="J511" i="2" s="1"/>
  <c r="D511" i="2"/>
  <c r="C512" i="2"/>
  <c r="A513" i="2" l="1"/>
  <c r="K512" i="2"/>
  <c r="L512" i="2" s="1"/>
  <c r="M512" i="2" s="1"/>
  <c r="H512" i="2"/>
  <c r="I512" i="2" s="1"/>
  <c r="J512" i="2" s="1"/>
  <c r="N512" i="2"/>
  <c r="O512" i="2" s="1"/>
  <c r="P512" i="2" s="1"/>
  <c r="E512" i="2"/>
  <c r="F512" i="2" s="1"/>
  <c r="G512" i="2" s="1"/>
  <c r="D512" i="2"/>
  <c r="C513" i="2"/>
  <c r="A514" i="2" l="1"/>
  <c r="N513" i="2"/>
  <c r="O513" i="2" s="1"/>
  <c r="P513" i="2" s="1"/>
  <c r="K513" i="2"/>
  <c r="L513" i="2" s="1"/>
  <c r="M513" i="2" s="1"/>
  <c r="H513" i="2"/>
  <c r="I513" i="2" s="1"/>
  <c r="J513" i="2" s="1"/>
  <c r="E513" i="2"/>
  <c r="F513" i="2" s="1"/>
  <c r="G513" i="2" s="1"/>
  <c r="D513" i="2"/>
  <c r="C514" i="2"/>
  <c r="A515" i="2" l="1"/>
  <c r="N514" i="2"/>
  <c r="O514" i="2" s="1"/>
  <c r="P514" i="2" s="1"/>
  <c r="H514" i="2"/>
  <c r="I514" i="2" s="1"/>
  <c r="J514" i="2" s="1"/>
  <c r="K514" i="2"/>
  <c r="L514" i="2" s="1"/>
  <c r="M514" i="2" s="1"/>
  <c r="E514" i="2"/>
  <c r="F514" i="2" s="1"/>
  <c r="G514" i="2" s="1"/>
  <c r="D514" i="2"/>
  <c r="C515" i="2"/>
  <c r="A516" i="2" l="1"/>
  <c r="K515" i="2"/>
  <c r="L515" i="2" s="1"/>
  <c r="M515" i="2" s="1"/>
  <c r="E515" i="2"/>
  <c r="F515" i="2" s="1"/>
  <c r="G515" i="2" s="1"/>
  <c r="N515" i="2"/>
  <c r="O515" i="2" s="1"/>
  <c r="P515" i="2" s="1"/>
  <c r="H515" i="2"/>
  <c r="I515" i="2" s="1"/>
  <c r="J515" i="2" s="1"/>
  <c r="D515" i="2"/>
  <c r="C516" i="2"/>
  <c r="A517" i="2" l="1"/>
  <c r="N516" i="2"/>
  <c r="O516" i="2" s="1"/>
  <c r="P516" i="2" s="1"/>
  <c r="K516" i="2"/>
  <c r="L516" i="2" s="1"/>
  <c r="M516" i="2" s="1"/>
  <c r="H516" i="2"/>
  <c r="I516" i="2" s="1"/>
  <c r="J516" i="2" s="1"/>
  <c r="E516" i="2"/>
  <c r="F516" i="2" s="1"/>
  <c r="G516" i="2" s="1"/>
  <c r="D516" i="2"/>
  <c r="C517" i="2"/>
  <c r="A518" i="2" l="1"/>
  <c r="N517" i="2"/>
  <c r="O517" i="2" s="1"/>
  <c r="P517" i="2" s="1"/>
  <c r="K517" i="2"/>
  <c r="L517" i="2" s="1"/>
  <c r="M517" i="2" s="1"/>
  <c r="E517" i="2"/>
  <c r="F517" i="2" s="1"/>
  <c r="G517" i="2" s="1"/>
  <c r="H517" i="2"/>
  <c r="I517" i="2" s="1"/>
  <c r="J517" i="2" s="1"/>
  <c r="D517" i="2"/>
  <c r="C518" i="2"/>
  <c r="A519" i="2" l="1"/>
  <c r="K518" i="2"/>
  <c r="L518" i="2" s="1"/>
  <c r="M518" i="2" s="1"/>
  <c r="H518" i="2"/>
  <c r="I518" i="2" s="1"/>
  <c r="J518" i="2" s="1"/>
  <c r="N518" i="2"/>
  <c r="O518" i="2" s="1"/>
  <c r="P518" i="2" s="1"/>
  <c r="E518" i="2"/>
  <c r="F518" i="2" s="1"/>
  <c r="G518" i="2" s="1"/>
  <c r="D518" i="2"/>
  <c r="C519" i="2"/>
  <c r="A520" i="2" l="1"/>
  <c r="N519" i="2"/>
  <c r="O519" i="2" s="1"/>
  <c r="P519" i="2" s="1"/>
  <c r="K519" i="2"/>
  <c r="L519" i="2" s="1"/>
  <c r="M519" i="2" s="1"/>
  <c r="H519" i="2"/>
  <c r="I519" i="2" s="1"/>
  <c r="J519" i="2" s="1"/>
  <c r="E519" i="2"/>
  <c r="F519" i="2" s="1"/>
  <c r="G519" i="2" s="1"/>
  <c r="D519" i="2"/>
  <c r="C520" i="2"/>
  <c r="A521" i="2" l="1"/>
  <c r="N520" i="2"/>
  <c r="O520" i="2" s="1"/>
  <c r="P520" i="2" s="1"/>
  <c r="H520" i="2"/>
  <c r="I520" i="2" s="1"/>
  <c r="J520" i="2" s="1"/>
  <c r="K520" i="2"/>
  <c r="L520" i="2" s="1"/>
  <c r="M520" i="2" s="1"/>
  <c r="E520" i="2"/>
  <c r="F520" i="2" s="1"/>
  <c r="G520" i="2" s="1"/>
  <c r="D520" i="2"/>
  <c r="C521" i="2"/>
  <c r="A522" i="2" l="1"/>
  <c r="K521" i="2"/>
  <c r="L521" i="2" s="1"/>
  <c r="M521" i="2" s="1"/>
  <c r="N521" i="2"/>
  <c r="O521" i="2" s="1"/>
  <c r="P521" i="2" s="1"/>
  <c r="H521" i="2"/>
  <c r="I521" i="2" s="1"/>
  <c r="J521" i="2" s="1"/>
  <c r="E521" i="2"/>
  <c r="F521" i="2" s="1"/>
  <c r="G521" i="2" s="1"/>
  <c r="D521" i="2"/>
  <c r="C522" i="2"/>
  <c r="A523" i="2" l="1"/>
  <c r="N522" i="2"/>
  <c r="O522" i="2" s="1"/>
  <c r="P522" i="2" s="1"/>
  <c r="K522" i="2"/>
  <c r="L522" i="2" s="1"/>
  <c r="M522" i="2" s="1"/>
  <c r="H522" i="2"/>
  <c r="I522" i="2" s="1"/>
  <c r="J522" i="2" s="1"/>
  <c r="E522" i="2"/>
  <c r="F522" i="2" s="1"/>
  <c r="G522" i="2" s="1"/>
  <c r="D522" i="2"/>
  <c r="C523" i="2"/>
  <c r="A524" i="2" l="1"/>
  <c r="K523" i="2"/>
  <c r="L523" i="2" s="1"/>
  <c r="M523" i="2" s="1"/>
  <c r="H523" i="2"/>
  <c r="I523" i="2" s="1"/>
  <c r="J523" i="2" s="1"/>
  <c r="N523" i="2"/>
  <c r="O523" i="2" s="1"/>
  <c r="P523" i="2" s="1"/>
  <c r="E523" i="2"/>
  <c r="F523" i="2" s="1"/>
  <c r="G523" i="2" s="1"/>
  <c r="D523" i="2"/>
  <c r="C524" i="2"/>
  <c r="A525" i="2" l="1"/>
  <c r="N524" i="2"/>
  <c r="O524" i="2" s="1"/>
  <c r="P524" i="2" s="1"/>
  <c r="K524" i="2"/>
  <c r="L524" i="2" s="1"/>
  <c r="M524" i="2" s="1"/>
  <c r="H524" i="2"/>
  <c r="I524" i="2" s="1"/>
  <c r="J524" i="2" s="1"/>
  <c r="E524" i="2"/>
  <c r="F524" i="2" s="1"/>
  <c r="G524" i="2" s="1"/>
  <c r="D524" i="2"/>
  <c r="C525" i="2"/>
  <c r="A526" i="2" l="1"/>
  <c r="N525" i="2"/>
  <c r="O525" i="2" s="1"/>
  <c r="P525" i="2" s="1"/>
  <c r="K525" i="2"/>
  <c r="L525" i="2" s="1"/>
  <c r="M525" i="2" s="1"/>
  <c r="H525" i="2"/>
  <c r="I525" i="2" s="1"/>
  <c r="J525" i="2" s="1"/>
  <c r="E525" i="2"/>
  <c r="F525" i="2" s="1"/>
  <c r="G525" i="2" s="1"/>
  <c r="D525" i="2"/>
  <c r="C526" i="2"/>
  <c r="A527" i="2" l="1"/>
  <c r="K526" i="2"/>
  <c r="L526" i="2" s="1"/>
  <c r="M526" i="2" s="1"/>
  <c r="N526" i="2"/>
  <c r="O526" i="2" s="1"/>
  <c r="P526" i="2" s="1"/>
  <c r="H526" i="2"/>
  <c r="I526" i="2" s="1"/>
  <c r="J526" i="2" s="1"/>
  <c r="E526" i="2"/>
  <c r="F526" i="2" s="1"/>
  <c r="G526" i="2" s="1"/>
  <c r="D526" i="2"/>
  <c r="C527" i="2"/>
  <c r="A528" i="2" l="1"/>
  <c r="H527" i="2"/>
  <c r="I527" i="2" s="1"/>
  <c r="J527" i="2" s="1"/>
  <c r="E527" i="2"/>
  <c r="F527" i="2" s="1"/>
  <c r="G527" i="2" s="1"/>
  <c r="N527" i="2"/>
  <c r="O527" i="2" s="1"/>
  <c r="P527" i="2" s="1"/>
  <c r="K527" i="2"/>
  <c r="L527" i="2" s="1"/>
  <c r="M527" i="2" s="1"/>
  <c r="D527" i="2"/>
  <c r="C528" i="2"/>
  <c r="A529" i="2" l="1"/>
  <c r="N528" i="2"/>
  <c r="O528" i="2" s="1"/>
  <c r="P528" i="2" s="1"/>
  <c r="K528" i="2"/>
  <c r="L528" i="2" s="1"/>
  <c r="M528" i="2" s="1"/>
  <c r="H528" i="2"/>
  <c r="I528" i="2" s="1"/>
  <c r="J528" i="2" s="1"/>
  <c r="E528" i="2"/>
  <c r="F528" i="2" s="1"/>
  <c r="G528" i="2" s="1"/>
  <c r="D528" i="2"/>
  <c r="C529" i="2"/>
  <c r="A530" i="2" l="1"/>
  <c r="K529" i="2"/>
  <c r="L529" i="2" s="1"/>
  <c r="M529" i="2" s="1"/>
  <c r="N529" i="2"/>
  <c r="O529" i="2" s="1"/>
  <c r="P529" i="2" s="1"/>
  <c r="E529" i="2"/>
  <c r="F529" i="2" s="1"/>
  <c r="G529" i="2" s="1"/>
  <c r="H529" i="2"/>
  <c r="I529" i="2" s="1"/>
  <c r="J529" i="2" s="1"/>
  <c r="D529" i="2"/>
  <c r="C530" i="2"/>
  <c r="A531" i="2" l="1"/>
  <c r="H530" i="2"/>
  <c r="I530" i="2" s="1"/>
  <c r="J530" i="2" s="1"/>
  <c r="N530" i="2"/>
  <c r="O530" i="2" s="1"/>
  <c r="P530" i="2" s="1"/>
  <c r="K530" i="2"/>
  <c r="L530" i="2" s="1"/>
  <c r="M530" i="2" s="1"/>
  <c r="E530" i="2"/>
  <c r="F530" i="2" s="1"/>
  <c r="G530" i="2" s="1"/>
  <c r="D530" i="2"/>
  <c r="C531" i="2"/>
  <c r="A532" i="2" l="1"/>
  <c r="N531" i="2"/>
  <c r="O531" i="2" s="1"/>
  <c r="P531" i="2" s="1"/>
  <c r="E531" i="2"/>
  <c r="F531" i="2" s="1"/>
  <c r="G531" i="2" s="1"/>
  <c r="K531" i="2"/>
  <c r="L531" i="2" s="1"/>
  <c r="M531" i="2" s="1"/>
  <c r="H531" i="2"/>
  <c r="I531" i="2" s="1"/>
  <c r="J531" i="2" s="1"/>
  <c r="D531" i="2"/>
  <c r="C532" i="2"/>
  <c r="A533" i="2" l="1"/>
  <c r="K532" i="2"/>
  <c r="L532" i="2" s="1"/>
  <c r="M532" i="2" s="1"/>
  <c r="N532" i="2"/>
  <c r="O532" i="2" s="1"/>
  <c r="P532" i="2" s="1"/>
  <c r="H532" i="2"/>
  <c r="I532" i="2" s="1"/>
  <c r="J532" i="2" s="1"/>
  <c r="E532" i="2"/>
  <c r="F532" i="2" s="1"/>
  <c r="G532" i="2" s="1"/>
  <c r="D532" i="2"/>
  <c r="C533" i="2"/>
  <c r="A534" i="2" l="1"/>
  <c r="N533" i="2"/>
  <c r="O533" i="2" s="1"/>
  <c r="P533" i="2" s="1"/>
  <c r="H533" i="2"/>
  <c r="I533" i="2" s="1"/>
  <c r="J533" i="2" s="1"/>
  <c r="K533" i="2"/>
  <c r="L533" i="2" s="1"/>
  <c r="M533" i="2" s="1"/>
  <c r="E533" i="2"/>
  <c r="F533" i="2" s="1"/>
  <c r="G533" i="2" s="1"/>
  <c r="D533" i="2"/>
  <c r="C534" i="2"/>
  <c r="A535" i="2" l="1"/>
  <c r="N534" i="2"/>
  <c r="O534" i="2" s="1"/>
  <c r="P534" i="2" s="1"/>
  <c r="K534" i="2"/>
  <c r="L534" i="2" s="1"/>
  <c r="M534" i="2" s="1"/>
  <c r="H534" i="2"/>
  <c r="I534" i="2" s="1"/>
  <c r="J534" i="2" s="1"/>
  <c r="E534" i="2"/>
  <c r="F534" i="2" s="1"/>
  <c r="G534" i="2" s="1"/>
  <c r="D534" i="2"/>
  <c r="C535" i="2"/>
  <c r="A536" i="2" l="1"/>
  <c r="E535" i="2"/>
  <c r="F535" i="2" s="1"/>
  <c r="G535" i="2" s="1"/>
  <c r="N535" i="2"/>
  <c r="O535" i="2" s="1"/>
  <c r="P535" i="2" s="1"/>
  <c r="K535" i="2"/>
  <c r="L535" i="2" s="1"/>
  <c r="M535" i="2" s="1"/>
  <c r="H535" i="2"/>
  <c r="I535" i="2" s="1"/>
  <c r="J535" i="2" s="1"/>
  <c r="D535" i="2"/>
  <c r="C536" i="2"/>
  <c r="A537" i="2" l="1"/>
  <c r="N536" i="2"/>
  <c r="O536" i="2" s="1"/>
  <c r="P536" i="2" s="1"/>
  <c r="K536" i="2"/>
  <c r="L536" i="2" s="1"/>
  <c r="M536" i="2" s="1"/>
  <c r="H536" i="2"/>
  <c r="I536" i="2" s="1"/>
  <c r="J536" i="2" s="1"/>
  <c r="E536" i="2"/>
  <c r="F536" i="2" s="1"/>
  <c r="G536" i="2" s="1"/>
  <c r="D536" i="2"/>
  <c r="C537" i="2"/>
  <c r="A538" i="2" l="1"/>
  <c r="N537" i="2"/>
  <c r="O537" i="2" s="1"/>
  <c r="P537" i="2" s="1"/>
  <c r="K537" i="2"/>
  <c r="L537" i="2" s="1"/>
  <c r="M537" i="2" s="1"/>
  <c r="H537" i="2"/>
  <c r="I537" i="2" s="1"/>
  <c r="J537" i="2" s="1"/>
  <c r="E537" i="2"/>
  <c r="F537" i="2" s="1"/>
  <c r="G537" i="2" s="1"/>
  <c r="D537" i="2"/>
  <c r="C538" i="2"/>
  <c r="A539" i="2" l="1"/>
  <c r="E538" i="2"/>
  <c r="F538" i="2" s="1"/>
  <c r="G538" i="2" s="1"/>
  <c r="N538" i="2"/>
  <c r="O538" i="2" s="1"/>
  <c r="P538" i="2" s="1"/>
  <c r="K538" i="2"/>
  <c r="L538" i="2" s="1"/>
  <c r="M538" i="2" s="1"/>
  <c r="H538" i="2"/>
  <c r="I538" i="2" s="1"/>
  <c r="J538" i="2" s="1"/>
  <c r="D538" i="2"/>
  <c r="C539" i="2"/>
  <c r="A540" i="2" l="1"/>
  <c r="N539" i="2"/>
  <c r="O539" i="2" s="1"/>
  <c r="P539" i="2" s="1"/>
  <c r="H539" i="2"/>
  <c r="I539" i="2" s="1"/>
  <c r="J539" i="2" s="1"/>
  <c r="K539" i="2"/>
  <c r="L539" i="2" s="1"/>
  <c r="M539" i="2" s="1"/>
  <c r="E539" i="2"/>
  <c r="F539" i="2" s="1"/>
  <c r="G539" i="2" s="1"/>
  <c r="D539" i="2"/>
  <c r="C540" i="2"/>
  <c r="A541" i="2" l="1"/>
  <c r="N540" i="2"/>
  <c r="O540" i="2" s="1"/>
  <c r="P540" i="2" s="1"/>
  <c r="K540" i="2"/>
  <c r="L540" i="2" s="1"/>
  <c r="M540" i="2" s="1"/>
  <c r="H540" i="2"/>
  <c r="I540" i="2" s="1"/>
  <c r="J540" i="2" s="1"/>
  <c r="E540" i="2"/>
  <c r="F540" i="2" s="1"/>
  <c r="G540" i="2" s="1"/>
  <c r="D540" i="2"/>
  <c r="C541" i="2"/>
  <c r="A542" i="2" l="1"/>
  <c r="K541" i="2"/>
  <c r="L541" i="2" s="1"/>
  <c r="M541" i="2" s="1"/>
  <c r="H541" i="2"/>
  <c r="I541" i="2" s="1"/>
  <c r="J541" i="2" s="1"/>
  <c r="N541" i="2"/>
  <c r="O541" i="2" s="1"/>
  <c r="P541" i="2" s="1"/>
  <c r="E541" i="2"/>
  <c r="F541" i="2" s="1"/>
  <c r="G541" i="2" s="1"/>
  <c r="D541" i="2"/>
  <c r="C542" i="2"/>
  <c r="A543" i="2" l="1"/>
  <c r="N542" i="2"/>
  <c r="O542" i="2" s="1"/>
  <c r="P542" i="2" s="1"/>
  <c r="E542" i="2"/>
  <c r="F542" i="2" s="1"/>
  <c r="G542" i="2" s="1"/>
  <c r="K542" i="2"/>
  <c r="L542" i="2" s="1"/>
  <c r="M542" i="2" s="1"/>
  <c r="H542" i="2"/>
  <c r="I542" i="2" s="1"/>
  <c r="J542" i="2" s="1"/>
  <c r="D542" i="2"/>
  <c r="C543" i="2"/>
  <c r="A544" i="2" l="1"/>
  <c r="N543" i="2"/>
  <c r="O543" i="2" s="1"/>
  <c r="P543" i="2" s="1"/>
  <c r="K543" i="2"/>
  <c r="L543" i="2" s="1"/>
  <c r="M543" i="2" s="1"/>
  <c r="H543" i="2"/>
  <c r="I543" i="2" s="1"/>
  <c r="J543" i="2" s="1"/>
  <c r="E543" i="2"/>
  <c r="F543" i="2" s="1"/>
  <c r="G543" i="2" s="1"/>
  <c r="D543" i="2"/>
  <c r="C544" i="2"/>
  <c r="A545" i="2" l="1"/>
  <c r="K544" i="2"/>
  <c r="L544" i="2" s="1"/>
  <c r="M544" i="2" s="1"/>
  <c r="N544" i="2"/>
  <c r="O544" i="2" s="1"/>
  <c r="P544" i="2" s="1"/>
  <c r="H544" i="2"/>
  <c r="I544" i="2" s="1"/>
  <c r="J544" i="2" s="1"/>
  <c r="E544" i="2"/>
  <c r="F544" i="2" s="1"/>
  <c r="G544" i="2" s="1"/>
  <c r="D544" i="2"/>
  <c r="C545" i="2"/>
  <c r="A546" i="2" l="1"/>
  <c r="N545" i="2"/>
  <c r="O545" i="2" s="1"/>
  <c r="P545" i="2" s="1"/>
  <c r="H545" i="2"/>
  <c r="I545" i="2" s="1"/>
  <c r="J545" i="2" s="1"/>
  <c r="E545" i="2"/>
  <c r="F545" i="2" s="1"/>
  <c r="G545" i="2" s="1"/>
  <c r="K545" i="2"/>
  <c r="L545" i="2" s="1"/>
  <c r="M545" i="2" s="1"/>
  <c r="D545" i="2"/>
  <c r="C546" i="2"/>
  <c r="A547" i="2" l="1"/>
  <c r="N546" i="2"/>
  <c r="O546" i="2" s="1"/>
  <c r="P546" i="2" s="1"/>
  <c r="K546" i="2"/>
  <c r="L546" i="2" s="1"/>
  <c r="M546" i="2" s="1"/>
  <c r="E546" i="2"/>
  <c r="F546" i="2" s="1"/>
  <c r="G546" i="2" s="1"/>
  <c r="H546" i="2"/>
  <c r="I546" i="2" s="1"/>
  <c r="J546" i="2" s="1"/>
  <c r="D546" i="2"/>
  <c r="C547" i="2"/>
  <c r="A548" i="2" l="1"/>
  <c r="N547" i="2"/>
  <c r="O547" i="2" s="1"/>
  <c r="P547" i="2" s="1"/>
  <c r="K547" i="2"/>
  <c r="L547" i="2" s="1"/>
  <c r="M547" i="2" s="1"/>
  <c r="H547" i="2"/>
  <c r="I547" i="2" s="1"/>
  <c r="J547" i="2" s="1"/>
  <c r="E547" i="2"/>
  <c r="F547" i="2" s="1"/>
  <c r="G547" i="2" s="1"/>
  <c r="D547" i="2"/>
  <c r="C548" i="2"/>
  <c r="A549" i="2" l="1"/>
  <c r="H548" i="2"/>
  <c r="I548" i="2" s="1"/>
  <c r="J548" i="2" s="1"/>
  <c r="E548" i="2"/>
  <c r="F548" i="2" s="1"/>
  <c r="G548" i="2" s="1"/>
  <c r="N548" i="2"/>
  <c r="O548" i="2" s="1"/>
  <c r="P548" i="2" s="1"/>
  <c r="K548" i="2"/>
  <c r="L548" i="2" s="1"/>
  <c r="M548" i="2" s="1"/>
  <c r="D548" i="2"/>
  <c r="C549" i="2"/>
  <c r="A550" i="2" l="1"/>
  <c r="N549" i="2"/>
  <c r="O549" i="2" s="1"/>
  <c r="P549" i="2" s="1"/>
  <c r="K549" i="2"/>
  <c r="L549" i="2" s="1"/>
  <c r="M549" i="2" s="1"/>
  <c r="H549" i="2"/>
  <c r="I549" i="2" s="1"/>
  <c r="J549" i="2" s="1"/>
  <c r="E549" i="2"/>
  <c r="F549" i="2" s="1"/>
  <c r="G549" i="2" s="1"/>
  <c r="D549" i="2"/>
  <c r="C550" i="2"/>
  <c r="N550" i="2" l="1"/>
  <c r="O550" i="2" s="1"/>
  <c r="P550" i="2" s="1"/>
  <c r="K550" i="2"/>
  <c r="L550" i="2" s="1"/>
  <c r="M550" i="2" s="1"/>
  <c r="H550" i="2"/>
  <c r="I550" i="2" s="1"/>
  <c r="J550" i="2" s="1"/>
  <c r="E550" i="2"/>
  <c r="F550" i="2" s="1"/>
  <c r="G550" i="2" s="1"/>
  <c r="D550" i="2"/>
</calcChain>
</file>

<file path=xl/sharedStrings.xml><?xml version="1.0" encoding="utf-8"?>
<sst xmlns="http://schemas.openxmlformats.org/spreadsheetml/2006/main" count="3025" uniqueCount="1017">
  <si>
    <t>ECN</t>
  </si>
  <si>
    <t>Supplier ID</t>
  </si>
  <si>
    <t>Supplier name</t>
  </si>
  <si>
    <t>Quotation date</t>
  </si>
  <si>
    <t>ECN0000301</t>
  </si>
  <si>
    <t>10000033</t>
  </si>
  <si>
    <t>Tuberías ABC, S.A. de C.V.</t>
  </si>
  <si>
    <t>10000047</t>
  </si>
  <si>
    <t>Tuberías DEF, S. de R.L.</t>
  </si>
  <si>
    <t>10000073</t>
  </si>
  <si>
    <t>Tuberías GHI, S.A.S.</t>
  </si>
  <si>
    <t>10000082</t>
  </si>
  <si>
    <t>Tuberías Súper, S.A.P.I.</t>
  </si>
  <si>
    <t>ECN0000454</t>
  </si>
  <si>
    <t>ECN0000534</t>
  </si>
  <si>
    <t>ECN0000813</t>
  </si>
  <si>
    <t>ECN0000916</t>
  </si>
  <si>
    <t>ECN0000918</t>
  </si>
  <si>
    <t>ECN0001065</t>
  </si>
  <si>
    <t>ECN0000596</t>
  </si>
  <si>
    <t>ECN0001205</t>
  </si>
  <si>
    <t>ECN0000302</t>
  </si>
  <si>
    <t>ECN0000951</t>
  </si>
  <si>
    <t>ECN0000716</t>
  </si>
  <si>
    <t>ECN0001117</t>
  </si>
  <si>
    <t>ECN0001161</t>
  </si>
  <si>
    <t>ECN0000543</t>
  </si>
  <si>
    <t>ECN0000664</t>
  </si>
  <si>
    <t>ECN0000391</t>
  </si>
  <si>
    <t>ECN0000836</t>
  </si>
  <si>
    <t>ECN0000492</t>
  </si>
  <si>
    <t>ECN0000380</t>
  </si>
  <si>
    <t>ECN0000887</t>
  </si>
  <si>
    <t>ECN0001223</t>
  </si>
  <si>
    <t>ECN0000802</t>
  </si>
  <si>
    <t>ECN0000753</t>
  </si>
  <si>
    <t>ECN0000449</t>
  </si>
  <si>
    <t>ECN0001110</t>
  </si>
  <si>
    <t>ECN0001193</t>
  </si>
  <si>
    <t>ECN0001264</t>
  </si>
  <si>
    <t>ECN0000324</t>
  </si>
  <si>
    <t>ECN0000486</t>
  </si>
  <si>
    <t>ECN0000637</t>
  </si>
  <si>
    <t>ECN0000723</t>
  </si>
  <si>
    <t>ECN0000373</t>
  </si>
  <si>
    <t>ECN0001153</t>
  </si>
  <si>
    <t>ECN0000461</t>
  </si>
  <si>
    <t>ECN0000988</t>
  </si>
  <si>
    <t>ECN0001293</t>
  </si>
  <si>
    <t>ECN0000467</t>
  </si>
  <si>
    <t>ECN0001198</t>
  </si>
  <si>
    <t>ECN0001086</t>
  </si>
  <si>
    <t>ECN0000378</t>
  </si>
  <si>
    <t>ECN0000451</t>
  </si>
  <si>
    <t>ECN0000327</t>
  </si>
  <si>
    <t>ECN0000840</t>
  </si>
  <si>
    <t>ECN0000950</t>
  </si>
  <si>
    <t>ECN0001066</t>
  </si>
  <si>
    <t>ECN0000335</t>
  </si>
  <si>
    <t>ECN0001097</t>
  </si>
  <si>
    <t>ECN0000969</t>
  </si>
  <si>
    <t>ECN0001010</t>
  </si>
  <si>
    <t>ECN0000571</t>
  </si>
  <si>
    <t>ECN0000676</t>
  </si>
  <si>
    <t>ECN0000831</t>
  </si>
  <si>
    <t>ECN0001018</t>
  </si>
  <si>
    <t>ECN0001218</t>
  </si>
  <si>
    <t>ECN0000347</t>
  </si>
  <si>
    <t>ECN0000709</t>
  </si>
  <si>
    <t>ECN0001265</t>
  </si>
  <si>
    <t>ECN0000693</t>
  </si>
  <si>
    <t>ECN0000957</t>
  </si>
  <si>
    <t>ECN0000760</t>
  </si>
  <si>
    <t>ECN0000514</t>
  </si>
  <si>
    <t>ECN0000665</t>
  </si>
  <si>
    <t>ECN0000719</t>
  </si>
  <si>
    <t>ECN0000809</t>
  </si>
  <si>
    <t>ECN0000941</t>
  </si>
  <si>
    <t>ECN0000508</t>
  </si>
  <si>
    <t>ECN0000775</t>
  </si>
  <si>
    <t>ECN0000320</t>
  </si>
  <si>
    <t>ECN0000839</t>
  </si>
  <si>
    <t>ECN0000322</t>
  </si>
  <si>
    <t>ECN0000740</t>
  </si>
  <si>
    <t>ECN0000383</t>
  </si>
  <si>
    <t>ECN0000609</t>
  </si>
  <si>
    <t>ECN0000321</t>
  </si>
  <si>
    <t>ECN0001057</t>
  </si>
  <si>
    <t>ECN0000515</t>
  </si>
  <si>
    <t>ECN0000627</t>
  </si>
  <si>
    <t>ECN0001119</t>
  </si>
  <si>
    <t>ECN0000689</t>
  </si>
  <si>
    <t>ECN0000905</t>
  </si>
  <si>
    <t>ECN0001280</t>
  </si>
  <si>
    <t>ECN0000578</t>
  </si>
  <si>
    <t>ECN0000493</t>
  </si>
  <si>
    <t>ECN0000592</t>
  </si>
  <si>
    <t>ECN0000766</t>
  </si>
  <si>
    <t>ECN0000822</t>
  </si>
  <si>
    <t>ECN0001244</t>
  </si>
  <si>
    <t>ECN0000593</t>
  </si>
  <si>
    <t>ECN0001081</t>
  </si>
  <si>
    <t>ECN0001000</t>
  </si>
  <si>
    <t>ECN0001059</t>
  </si>
  <si>
    <t>ECN0000541</t>
  </si>
  <si>
    <t>ECN0000718</t>
  </si>
  <si>
    <t>ECN0001021</t>
  </si>
  <si>
    <t>ECN0001191</t>
  </si>
  <si>
    <t>ECN0001235</t>
  </si>
  <si>
    <t>ECN0000701</t>
  </si>
  <si>
    <t>ECN0000746</t>
  </si>
  <si>
    <t>ECN0000805</t>
  </si>
  <si>
    <t>ECN0001214</t>
  </si>
  <si>
    <t>ECN0001270</t>
  </si>
  <si>
    <t>ECN0000387</t>
  </si>
  <si>
    <t>ECN0000533</t>
  </si>
  <si>
    <t>ECN0000621</t>
  </si>
  <si>
    <t>ECN0000673</t>
  </si>
  <si>
    <t>ECN0001211</t>
  </si>
  <si>
    <t>ECN0000349</t>
  </si>
  <si>
    <t>ECN0000528</t>
  </si>
  <si>
    <t>ECN0000729</t>
  </si>
  <si>
    <t>ECN0000902</t>
  </si>
  <si>
    <t>ECN0001008</t>
  </si>
  <si>
    <t>ECN0001209</t>
  </si>
  <si>
    <t>ECN0000458</t>
  </si>
  <si>
    <t>ECN0000974</t>
  </si>
  <si>
    <t>ECN0000442</t>
  </si>
  <si>
    <t>ECN0000798</t>
  </si>
  <si>
    <t>ECN0000864</t>
  </si>
  <si>
    <t>ECN0000927</t>
  </si>
  <si>
    <t>ECN0000444</t>
  </si>
  <si>
    <t>ECN0000532</t>
  </si>
  <si>
    <t>ECN0000698</t>
  </si>
  <si>
    <t>ECN0001087</t>
  </si>
  <si>
    <t>ECN0001245</t>
  </si>
  <si>
    <t>ECN0000426</t>
  </si>
  <si>
    <t>ECN0000512</t>
  </si>
  <si>
    <t>ECN0000548</t>
  </si>
  <si>
    <t>ECN0000991</t>
  </si>
  <si>
    <t>ECN0001179</t>
  </si>
  <si>
    <t>ECN0000482</t>
  </si>
  <si>
    <t>ECN0000686</t>
  </si>
  <si>
    <t>ECN0000773</t>
  </si>
  <si>
    <t>ECN0000800</t>
  </si>
  <si>
    <t>ECN0001060</t>
  </si>
  <si>
    <t>ECN0001230</t>
  </si>
  <si>
    <t>ECN0000365</t>
  </si>
  <si>
    <t>ECN0000774</t>
  </si>
  <si>
    <t>ECN0001109</t>
  </si>
  <si>
    <t>ECN0001052</t>
  </si>
  <si>
    <t>ECN0000307</t>
  </si>
  <si>
    <t>ECN0001131</t>
  </si>
  <si>
    <t>ECN0001241</t>
  </si>
  <si>
    <t>ECN0000354</t>
  </si>
  <si>
    <t>ECN0000435</t>
  </si>
  <si>
    <t>ECN0000611</t>
  </si>
  <si>
    <t>ECN0000700</t>
  </si>
  <si>
    <t>ECN0000865</t>
  </si>
  <si>
    <t>ECN0001043</t>
  </si>
  <si>
    <t>ECN0001101</t>
  </si>
  <si>
    <t>ECN0001151</t>
  </si>
  <si>
    <t>ECN0001267</t>
  </si>
  <si>
    <t>ECN0001016</t>
  </si>
  <si>
    <t>ECN0000423</t>
  </si>
  <si>
    <t>ECN0000943</t>
  </si>
  <si>
    <t>ECN0000952</t>
  </si>
  <si>
    <t>ECN0001078</t>
  </si>
  <si>
    <t>ECN0001284</t>
  </si>
  <si>
    <t>ECN0000413</t>
  </si>
  <si>
    <t>ECN0000595</t>
  </si>
  <si>
    <t>ECN0000542</t>
  </si>
  <si>
    <t>ECN0001154</t>
  </si>
  <si>
    <t>ECN0000804</t>
  </si>
  <si>
    <t>ECN0000874</t>
  </si>
  <si>
    <t>ECN0000364</t>
  </si>
  <si>
    <t>ECN0001252</t>
  </si>
  <si>
    <t>ECN0000859</t>
  </si>
  <si>
    <t>ECN0001054</t>
  </si>
  <si>
    <t>ECN0000421</t>
  </si>
  <si>
    <t>ECN0000565</t>
  </si>
  <si>
    <t>ECN0000687</t>
  </si>
  <si>
    <t>ECN0001019</t>
  </si>
  <si>
    <t>ECN0001225</t>
  </si>
  <si>
    <t>ECN0000379</t>
  </si>
  <si>
    <t>ECN0000408</t>
  </si>
  <si>
    <t>ECN0000420</t>
  </si>
  <si>
    <t>ECN0000577</t>
  </si>
  <si>
    <t>ECN0000829</t>
  </si>
  <si>
    <t>ECN0000876</t>
  </si>
  <si>
    <t>ECN0000884</t>
  </si>
  <si>
    <t>ECN0001074</t>
  </si>
  <si>
    <t>ECN0000530</t>
  </si>
  <si>
    <t>ECN0000412</t>
  </si>
  <si>
    <t>ECN0000582</t>
  </si>
  <si>
    <t>ECN0000779</t>
  </si>
  <si>
    <t>ECN0000953</t>
  </si>
  <si>
    <t>ECN0000668</t>
  </si>
  <si>
    <t>ECN0000910</t>
  </si>
  <si>
    <t>ECN0000402</t>
  </si>
  <si>
    <t>ECN0000615</t>
  </si>
  <si>
    <t>ECN0001004</t>
  </si>
  <si>
    <t>ECN0001143</t>
  </si>
  <si>
    <t>ECN0001171</t>
  </si>
  <si>
    <t>ECN0000341</t>
  </si>
  <si>
    <t>ECN0000906</t>
  </si>
  <si>
    <t>ECN0000973</t>
  </si>
  <si>
    <t>ECN0001024</t>
  </si>
  <si>
    <t>ECN0001111</t>
  </si>
  <si>
    <t>ECN0001167</t>
  </si>
  <si>
    <t>ECN0000331</t>
  </si>
  <si>
    <t>ECN0000616</t>
  </si>
  <si>
    <t>ECN0000728</t>
  </si>
  <si>
    <t>ECN0000761</t>
  </si>
  <si>
    <t>ECN0000873</t>
  </si>
  <si>
    <t>ECN0000336</t>
  </si>
  <si>
    <t>ECN0000697</t>
  </si>
  <si>
    <t>ECN0000375</t>
  </si>
  <si>
    <t>ECN0000702</t>
  </si>
  <si>
    <t>ECN0000883</t>
  </si>
  <si>
    <t>ECN0000992</t>
  </si>
  <si>
    <t>ECN0001023</t>
  </si>
  <si>
    <t>ECN0001142</t>
  </si>
  <si>
    <t>ECN0001253</t>
  </si>
  <si>
    <t>ECN0000385</t>
  </si>
  <si>
    <t>ECN0000477</t>
  </si>
  <si>
    <t>ECN0001120</t>
  </si>
  <si>
    <t>ECN0000463</t>
  </si>
  <si>
    <t>ECN0000655</t>
  </si>
  <si>
    <t>ECN0000792</t>
  </si>
  <si>
    <t>ECN0000879</t>
  </si>
  <si>
    <t>ECN0000923</t>
  </si>
  <si>
    <t>ECN0001286</t>
  </si>
  <si>
    <t>ECN0000372</t>
  </si>
  <si>
    <t>ECN0000381</t>
  </si>
  <si>
    <t>ECN0000574</t>
  </si>
  <si>
    <t>ECN0001051</t>
  </si>
  <si>
    <t>ECN0000942</t>
  </si>
  <si>
    <t>ECN0000964</t>
  </si>
  <si>
    <t>ECN0001127</t>
  </si>
  <si>
    <t>ECN0001139</t>
  </si>
  <si>
    <t>ECN0000501</t>
  </si>
  <si>
    <t>ECN0000628</t>
  </si>
  <si>
    <t>ECN0000971</t>
  </si>
  <si>
    <t>ECN0001258</t>
  </si>
  <si>
    <t>ECN0000756</t>
  </si>
  <si>
    <t>ECN0001069</t>
  </si>
  <si>
    <t>ECN0000789</t>
  </si>
  <si>
    <t>ECN0000866</t>
  </si>
  <si>
    <t>ECN0000947</t>
  </si>
  <si>
    <t>ECN0001238</t>
  </si>
  <si>
    <t>ECN0000996</t>
  </si>
  <si>
    <t>ECN0000520</t>
  </si>
  <si>
    <t>ECN0000794</t>
  </si>
  <si>
    <t>ECN0000894</t>
  </si>
  <si>
    <t>ECN0000931</t>
  </si>
  <si>
    <t>ECN0000466</t>
  </si>
  <si>
    <t>ECN0000491</t>
  </si>
  <si>
    <t>ECN0000780</t>
  </si>
  <si>
    <t>ECN0000414</t>
  </si>
  <si>
    <t>ECN0000681</t>
  </si>
  <si>
    <t>ECN0001172</t>
  </si>
  <si>
    <t>ECN0000418</t>
  </si>
  <si>
    <t>ECN0000433</t>
  </si>
  <si>
    <t>ECN0000544</t>
  </si>
  <si>
    <t>ECN0000863</t>
  </si>
  <si>
    <t>ECN0001299</t>
  </si>
  <si>
    <t>ECN0000314</t>
  </si>
  <si>
    <t>ECN0000618</t>
  </si>
  <si>
    <t>ECN0001197</t>
  </si>
  <si>
    <t>ECN0001271</t>
  </si>
  <si>
    <t>ECN0000630</t>
  </si>
  <si>
    <t>ECN0000703</t>
  </si>
  <si>
    <t>ECN0001128</t>
  </si>
  <si>
    <t>ECN0000601</t>
  </si>
  <si>
    <t>ECN0000772</t>
  </si>
  <si>
    <t>ECN0001149</t>
  </si>
  <si>
    <t>ECN0001162</t>
  </si>
  <si>
    <t>ECN0000344</t>
  </si>
  <si>
    <t>ECN0000464</t>
  </si>
  <si>
    <t>ECN0000651</t>
  </si>
  <si>
    <t>ECN0000696</t>
  </si>
  <si>
    <t>ECN0000769</t>
  </si>
  <si>
    <t>ECN0000771</t>
  </si>
  <si>
    <t>ECN0000963</t>
  </si>
  <si>
    <t>ECN0000499</t>
  </si>
  <si>
    <t>ECN0000500</t>
  </si>
  <si>
    <t>ECN0000557</t>
  </si>
  <si>
    <t>ECN0001249</t>
  </si>
  <si>
    <t>ECN0000479</t>
  </si>
  <si>
    <t>ECN0000535</t>
  </si>
  <si>
    <t>ECN0000546</t>
  </si>
  <si>
    <t>ECN0001003</t>
  </si>
  <si>
    <t>ECN0001093</t>
  </si>
  <si>
    <t>ECN0001208</t>
  </si>
  <si>
    <t>ECN0000808</t>
  </si>
  <si>
    <t>ECN0000915</t>
  </si>
  <si>
    <t>ECN0000985</t>
  </si>
  <si>
    <t>ECN0000587</t>
  </si>
  <si>
    <t>ECN0001020</t>
  </si>
  <si>
    <t>ECN0000667</t>
  </si>
  <si>
    <t>ECN0000867</t>
  </si>
  <si>
    <t>ECN0001091</t>
  </si>
  <si>
    <t>ECN0001031</t>
  </si>
  <si>
    <t>ECN0001285</t>
  </si>
  <si>
    <t>ECN0000473</t>
  </si>
  <si>
    <t>ECN0001133</t>
  </si>
  <si>
    <t>ECN0000310</t>
  </si>
  <si>
    <t>ECN0000642</t>
  </si>
  <si>
    <t>ECN0000830</t>
  </si>
  <si>
    <t>ECN0000901</t>
  </si>
  <si>
    <t>ECN0001073</t>
  </si>
  <si>
    <t>ECN0001124</t>
  </si>
  <si>
    <t>ECN0001227</t>
  </si>
  <si>
    <t>ECN0000540</t>
  </si>
  <si>
    <t>ECN0000734</t>
  </si>
  <si>
    <t>ECN0001100</t>
  </si>
  <si>
    <t>ECN0001157</t>
  </si>
  <si>
    <t>ECN0001254</t>
  </si>
  <si>
    <t>ECN0000778</t>
  </si>
  <si>
    <t>ECN0001046</t>
  </si>
  <si>
    <t>ECN0000317</t>
  </si>
  <si>
    <t>ECN0000485</t>
  </si>
  <si>
    <t>ECN0000597</t>
  </si>
  <si>
    <t>ECN0000939</t>
  </si>
  <si>
    <t>ECN0001213</t>
  </si>
  <si>
    <t>ECN0000489</t>
  </si>
  <si>
    <t>ECN0000545</t>
  </si>
  <si>
    <t>ECN0000695</t>
  </si>
  <si>
    <t>ECN0000972</t>
  </si>
  <si>
    <t>ECN0000333</t>
  </si>
  <si>
    <t>ECN0000376</t>
  </si>
  <si>
    <t>ECN0000495</t>
  </si>
  <si>
    <t>ECN0000579</t>
  </si>
  <si>
    <t>ECN0000610</t>
  </si>
  <si>
    <t>ECN0000851</t>
  </si>
  <si>
    <t>ECN0000908</t>
  </si>
  <si>
    <t>ECN0000962</t>
  </si>
  <si>
    <t>ECN0001118</t>
  </si>
  <si>
    <t>ECN0001155</t>
  </si>
  <si>
    <t>ECN0001190</t>
  </si>
  <si>
    <t>ECN0001236</t>
  </si>
  <si>
    <t>ECN0001277</t>
  </si>
  <si>
    <t>ECN0000437</t>
  </si>
  <si>
    <t>ECN0001296</t>
  </si>
  <si>
    <t>ECN0000602</t>
  </si>
  <si>
    <t>ECN0000825</t>
  </si>
  <si>
    <t>ECN0001032</t>
  </si>
  <si>
    <t>ECN0001113</t>
  </si>
  <si>
    <t>ECN0000781</t>
  </si>
  <si>
    <t>ECN0000909</t>
  </si>
  <si>
    <t>ECN0000457</t>
  </si>
  <si>
    <t>ECN0000439</t>
  </si>
  <si>
    <t>ECN0000844</t>
  </si>
  <si>
    <t>ECN0001188</t>
  </si>
  <si>
    <t>ECN0001192</t>
  </si>
  <si>
    <t>ECN0001234</t>
  </si>
  <si>
    <t>ECN0000393</t>
  </si>
  <si>
    <t>ECN0000748</t>
  </si>
  <si>
    <t>ECN0000965</t>
  </si>
  <si>
    <t>ECN0001261</t>
  </si>
  <si>
    <t>ECN0000329</t>
  </si>
  <si>
    <t>ECN0000707</t>
  </si>
  <si>
    <t>ECN0000994</t>
  </si>
  <si>
    <t>ECN0001034</t>
  </si>
  <si>
    <t>ECN0001206</t>
  </si>
  <si>
    <t>ECN0001295</t>
  </si>
  <si>
    <t>ECN0000763</t>
  </si>
  <si>
    <t>ECN0000362</t>
  </si>
  <si>
    <t>ECN0000503</t>
  </si>
  <si>
    <t>ECN0000648</t>
  </si>
  <si>
    <t>ECN0000705</t>
  </si>
  <si>
    <t>ECN0000880</t>
  </si>
  <si>
    <t>ECN0001146</t>
  </si>
  <si>
    <t>ECN0001228</t>
  </si>
  <si>
    <t>ECN0000399</t>
  </si>
  <si>
    <t>ECN0000538</t>
  </si>
  <si>
    <t>ECN0000725</t>
  </si>
  <si>
    <t>ECN0000849</t>
  </si>
  <si>
    <t>ECN0000871</t>
  </si>
  <si>
    <t>ECN0000893</t>
  </si>
  <si>
    <t>ECN0000956</t>
  </si>
  <si>
    <t>ECN0000352</t>
  </si>
  <si>
    <t>ECN0000785</t>
  </si>
  <si>
    <t>ECN0000877</t>
  </si>
  <si>
    <t>ECN0000518</t>
  </si>
  <si>
    <t>ECN0000749</t>
  </si>
  <si>
    <t>ECN0000958</t>
  </si>
  <si>
    <t>ECN0000312</t>
  </si>
  <si>
    <t>ECN0000384</t>
  </si>
  <si>
    <t>ECN0000488</t>
  </si>
  <si>
    <t>ECN0000585</t>
  </si>
  <si>
    <t>ECN0000850</t>
  </si>
  <si>
    <t>ECN0000367</t>
  </si>
  <si>
    <t>ECN0000396</t>
  </si>
  <si>
    <t>ECN0000459</t>
  </si>
  <si>
    <t>ECN0000465</t>
  </si>
  <si>
    <t>ECN0000569</t>
  </si>
  <si>
    <t>ECN0000818</t>
  </si>
  <si>
    <t>ECN0000924</t>
  </si>
  <si>
    <t>ECN0000925</t>
  </si>
  <si>
    <t>ECN0000934</t>
  </si>
  <si>
    <t>ECN0000984</t>
  </si>
  <si>
    <t>ECN0001012</t>
  </si>
  <si>
    <t>ECN0000326</t>
  </si>
  <si>
    <t>ECN0000607</t>
  </si>
  <si>
    <t>ECN0000966</t>
  </si>
  <si>
    <t>ECN0001076</t>
  </si>
  <si>
    <t>ECN0000509</t>
  </si>
  <si>
    <t>ECN0000679</t>
  </si>
  <si>
    <t>ECN0000699</t>
  </si>
  <si>
    <t>ECN0000708</t>
  </si>
  <si>
    <t>ECN0000858</t>
  </si>
  <si>
    <t>ECN0001144</t>
  </si>
  <si>
    <t>ECN0001256</t>
  </si>
  <si>
    <t>ECN0000516</t>
  </si>
  <si>
    <t>ECN0000620</t>
  </si>
  <si>
    <t>ECN0001115</t>
  </si>
  <si>
    <t>ECN0000614</t>
  </si>
  <si>
    <t>ECN0000677</t>
  </si>
  <si>
    <t>ECN0000978</t>
  </si>
  <si>
    <t>ECN0001247</t>
  </si>
  <si>
    <t>ECN0000552</t>
  </si>
  <si>
    <t>ECN0000558</t>
  </si>
  <si>
    <t>ECN0000563</t>
  </si>
  <si>
    <t>ECN0000647</t>
  </si>
  <si>
    <t>ECN0000726</t>
  </si>
  <si>
    <t>ECN0000747</t>
  </si>
  <si>
    <t>ECN0000960</t>
  </si>
  <si>
    <t>ECN0001030</t>
  </si>
  <si>
    <t>ECN0001132</t>
  </si>
  <si>
    <t>ECN0000428</t>
  </si>
  <si>
    <t>ECN0000946</t>
  </si>
  <si>
    <t>ECN0001055</t>
  </si>
  <si>
    <t>ECN0001098</t>
  </si>
  <si>
    <t>ECN0001274</t>
  </si>
  <si>
    <t>ECN0000559</t>
  </si>
  <si>
    <t>ECN0000568</t>
  </si>
  <si>
    <t>ECN0001184</t>
  </si>
  <si>
    <t>ECN0000525</t>
  </si>
  <si>
    <t>ECN0000738</t>
  </si>
  <si>
    <t>ECN0000742</t>
  </si>
  <si>
    <t>ECN0000754</t>
  </si>
  <si>
    <t>ECN0001104</t>
  </si>
  <si>
    <t>ECN0000504</t>
  </si>
  <si>
    <t>ECN0001173</t>
  </si>
  <si>
    <t>ECN0001210</t>
  </si>
  <si>
    <t>ECN0001222</t>
  </si>
  <si>
    <t>ECN0001243</t>
  </si>
  <si>
    <t>ECN0000513</t>
  </si>
  <si>
    <t>ECN0000790</t>
  </si>
  <si>
    <t>ECN0000890</t>
  </si>
  <si>
    <t>ECN0000975</t>
  </si>
  <si>
    <t>ECN0001239</t>
  </si>
  <si>
    <t>ECN0001290</t>
  </si>
  <si>
    <t>ECN0000995</t>
  </si>
  <si>
    <t>ECN0001035</t>
  </si>
  <si>
    <t>ECN0001242</t>
  </si>
  <si>
    <t>ECN0000554</t>
  </si>
  <si>
    <t>ECN0000739</t>
  </si>
  <si>
    <t>ECN0000793</t>
  </si>
  <si>
    <t>ECN0000814</t>
  </si>
  <si>
    <t>ECN0000961</t>
  </si>
  <si>
    <t>ECN0001168</t>
  </si>
  <si>
    <t>ECN0000817</t>
  </si>
  <si>
    <t>ECN0001077</t>
  </si>
  <si>
    <t>ECN0000370</t>
  </si>
  <si>
    <t>ECN0000505</t>
  </si>
  <si>
    <t>ECN0000566</t>
  </si>
  <si>
    <t>ECN0000576</t>
  </si>
  <si>
    <t>ECN0001140</t>
  </si>
  <si>
    <t>ECN0000586</t>
  </si>
  <si>
    <t>ECN0000656</t>
  </si>
  <si>
    <t>ECN0000845</t>
  </si>
  <si>
    <t>ECN0001063</t>
  </si>
  <si>
    <t>ECN0001129</t>
  </si>
  <si>
    <t>ECN0000430</t>
  </si>
  <si>
    <t>ECN0000522</t>
  </si>
  <si>
    <t>ECN0000561</t>
  </si>
  <si>
    <t>ECN0001026</t>
  </si>
  <si>
    <t>ECN0001165</t>
  </si>
  <si>
    <t>ECN0001291</t>
  </si>
  <si>
    <t>ECN0000353</t>
  </si>
  <si>
    <t>ECN0000417</t>
  </si>
  <si>
    <t>ECN0000710</t>
  </si>
  <si>
    <t>ECN0001038</t>
  </si>
  <si>
    <t>ECN0001183</t>
  </si>
  <si>
    <t>ECN0001273</t>
  </si>
  <si>
    <t>ECN0000325</t>
  </si>
  <si>
    <t>ECN0000536</t>
  </si>
  <si>
    <t>ECN0000807</t>
  </si>
  <si>
    <t>ECN0000936</t>
  </si>
  <si>
    <t>ECN0001170</t>
  </si>
  <si>
    <t>ECN0000419</t>
  </si>
  <si>
    <t>ECN0000625</t>
  </si>
  <si>
    <t>ECN0000846</t>
  </si>
  <si>
    <t>ECN0000913</t>
  </si>
  <si>
    <t>ECN0000937</t>
  </si>
  <si>
    <t>ECN0000982</t>
  </si>
  <si>
    <t>ECN0001053</t>
  </si>
  <si>
    <t>ECN0000688</t>
  </si>
  <si>
    <t>ECN0001045</t>
  </si>
  <si>
    <t>ECN0001180</t>
  </si>
  <si>
    <t>ECN0000361</t>
  </si>
  <si>
    <t>ECN0000456</t>
  </si>
  <si>
    <t>ECN0000643</t>
  </si>
  <si>
    <t>ECN0000900</t>
  </si>
  <si>
    <t>ECN0000460</t>
  </si>
  <si>
    <t>ECN0000470</t>
  </si>
  <si>
    <t>ECN0000632</t>
  </si>
  <si>
    <t>ECN0000987</t>
  </si>
  <si>
    <t>ECN0001084</t>
  </si>
  <si>
    <t>ECN0001123</t>
  </si>
  <si>
    <t>ECN0000350</t>
  </si>
  <si>
    <t>ECN0001202</t>
  </si>
  <si>
    <t>ECN0000736</t>
  </si>
  <si>
    <t>ECN0000933</t>
  </si>
  <si>
    <t>ECN0001083</t>
  </si>
  <si>
    <t>ECN0001141</t>
  </si>
  <si>
    <t>ECN0000306</t>
  </si>
  <si>
    <t>ECN0000904</t>
  </si>
  <si>
    <t>ECN0000929</t>
  </si>
  <si>
    <t>ECN0001089</t>
  </si>
  <si>
    <t>ECN0001096</t>
  </si>
  <si>
    <t>ECN0001275</t>
  </si>
  <si>
    <t>ECN0001300</t>
  </si>
  <si>
    <t>ECN0000658</t>
  </si>
  <si>
    <t>ECN0000733</t>
  </si>
  <si>
    <t>ECN0000764</t>
  </si>
  <si>
    <t>ECN0001070</t>
  </si>
  <si>
    <t>ECN0000795</t>
  </si>
  <si>
    <t>ECN0001044</t>
  </si>
  <si>
    <t>ECN0000526</t>
  </si>
  <si>
    <t>ECN0000303</t>
  </si>
  <si>
    <t>ECN0000712</t>
  </si>
  <si>
    <t>ECN0000357</t>
  </si>
  <si>
    <t>ECN0000478</t>
  </si>
  <si>
    <t>ECN0000551</t>
  </si>
  <si>
    <t>ECN0000786</t>
  </si>
  <si>
    <t>ECN0000820</t>
  </si>
  <si>
    <t>ECN0000837</t>
  </si>
  <si>
    <t>ECN0001013</t>
  </si>
  <si>
    <t>ECN0001037</t>
  </si>
  <si>
    <t>ECN0001094</t>
  </si>
  <si>
    <t>ECN0000604</t>
  </si>
  <si>
    <t>ECN0000914</t>
  </si>
  <si>
    <t>ECN0001108</t>
  </si>
  <si>
    <t>ECN0001159</t>
  </si>
  <si>
    <t>ECN0001194</t>
  </si>
  <si>
    <t>ECN0001203</t>
  </si>
  <si>
    <t>ECN0001276</t>
  </si>
  <si>
    <t>ECN0000359</t>
  </si>
  <si>
    <t>ECN0000657</t>
  </si>
  <si>
    <t>ECN0000714</t>
  </si>
  <si>
    <t>ECN0000724</t>
  </si>
  <si>
    <t>ECN0000784</t>
  </si>
  <si>
    <t>ECN0000821</t>
  </si>
  <si>
    <t>ECN0000313</t>
  </si>
  <si>
    <t>ECN0000360</t>
  </si>
  <si>
    <t>ECN0000882</t>
  </si>
  <si>
    <t>ECN0000619</t>
  </si>
  <si>
    <t>ECN0000661</t>
  </si>
  <si>
    <t>ECN0000713</t>
  </si>
  <si>
    <t>ECN0000684</t>
  </si>
  <si>
    <t>ECN0000835</t>
  </si>
  <si>
    <t>ECN0000892</t>
  </si>
  <si>
    <t>ECN0000954</t>
  </si>
  <si>
    <t>ECN0000409</t>
  </si>
  <si>
    <t>ECN0001279</t>
  </si>
  <si>
    <t>ECN0000672</t>
  </si>
  <si>
    <t>ECN0000750</t>
  </si>
  <si>
    <t>ECN0000976</t>
  </si>
  <si>
    <t>ECN0000990</t>
  </si>
  <si>
    <t>ECN0001002</t>
  </si>
  <si>
    <t>ECN0001075</t>
  </si>
  <si>
    <t>ECN0000330</t>
  </si>
  <si>
    <t>ECN0000598</t>
  </si>
  <si>
    <t>ECN0000650</t>
  </si>
  <si>
    <t>ECN0000783</t>
  </si>
  <si>
    <t>ECN0001164</t>
  </si>
  <si>
    <t>ECN0001195</t>
  </si>
  <si>
    <t>ECN0001268</t>
  </si>
  <si>
    <t>ECN0000436</t>
  </si>
  <si>
    <t>ECN0000555</t>
  </si>
  <si>
    <t>ECN0000649</t>
  </si>
  <si>
    <t>ECN0000660</t>
  </si>
  <si>
    <t>ECN0000870</t>
  </si>
  <si>
    <t>ECN0001148</t>
  </si>
  <si>
    <t>ECN0000550</t>
  </si>
  <si>
    <t>ECN0000617</t>
  </si>
  <si>
    <t>ECN0000731</t>
  </si>
  <si>
    <t>ECN0000881</t>
  </si>
  <si>
    <t>ECN0001062</t>
  </si>
  <si>
    <t>ECN0000497</t>
  </si>
  <si>
    <t>ECN0000524</t>
  </si>
  <si>
    <t>ECN0000770</t>
  </si>
  <si>
    <t>ECN0000832</t>
  </si>
  <si>
    <t>ECN0000400</t>
  </si>
  <si>
    <t>ECN0000875</t>
  </si>
  <si>
    <t>ECN0000878</t>
  </si>
  <si>
    <t>ECN0000346</t>
  </si>
  <si>
    <t>ECN0000394</t>
  </si>
  <si>
    <t>ECN0000523</t>
  </si>
  <si>
    <t>ECN0000659</t>
  </si>
  <si>
    <t>ECN0000949</t>
  </si>
  <si>
    <t>ECN0001294</t>
  </si>
  <si>
    <t>ECN0000480</t>
  </si>
  <si>
    <t>ECN0001011</t>
  </si>
  <si>
    <t>ECN0000645</t>
  </si>
  <si>
    <t>ECN0000757</t>
  </si>
  <si>
    <t>ECN0000529</t>
  </si>
  <si>
    <t>ECN0000675</t>
  </si>
  <si>
    <t>ECN0000722</t>
  </si>
  <si>
    <t>ECN0000898</t>
  </si>
  <si>
    <t>ECN0000955</t>
  </si>
  <si>
    <t>ECN0001114</t>
  </si>
  <si>
    <t>ECN0000591</t>
  </si>
  <si>
    <t>ECN0000979</t>
  </si>
  <si>
    <t>ECN0000986</t>
  </si>
  <si>
    <t>ECN0001085</t>
  </si>
  <si>
    <t>ECN0001105</t>
  </si>
  <si>
    <t>ECN0001177</t>
  </si>
  <si>
    <t>ECN0000374</t>
  </si>
  <si>
    <t>ECN0001071</t>
  </si>
  <si>
    <t>ECN0000759</t>
  </si>
  <si>
    <t>ECN0001121</t>
  </si>
  <si>
    <t>ECN0001215</t>
  </si>
  <si>
    <t>ECN0000799</t>
  </si>
  <si>
    <t>ECN0001092</t>
  </si>
  <si>
    <t>ECN0001107</t>
  </si>
  <si>
    <t>ECN0000652</t>
  </si>
  <si>
    <t>ECN0001292</t>
  </si>
  <si>
    <t>ECN0000337</t>
  </si>
  <si>
    <t>ECN0000797</t>
  </si>
  <si>
    <t>ECN0000806</t>
  </si>
  <si>
    <t>ECN0000998</t>
  </si>
  <si>
    <t>ECN0001028</t>
  </si>
  <si>
    <t>ECN0001048</t>
  </si>
  <si>
    <t>ECN0001050</t>
  </si>
  <si>
    <t>ECN0000316</t>
  </si>
  <si>
    <t>ECN0001181</t>
  </si>
  <si>
    <t>ECN0001207</t>
  </si>
  <si>
    <t>ECN0000481</t>
  </si>
  <si>
    <t>ECN0000572</t>
  </si>
  <si>
    <t>ECN0000581</t>
  </si>
  <si>
    <t>ECN0000743</t>
  </si>
  <si>
    <t>ECN0001082</t>
  </si>
  <si>
    <t>ECN0001166</t>
  </si>
  <si>
    <t>ECN0001221</t>
  </si>
  <si>
    <t>ECN0000553</t>
  </si>
  <si>
    <t>ECN0000735</t>
  </si>
  <si>
    <t>ECN0000411</t>
  </si>
  <si>
    <t>ECN0000682</t>
  </si>
  <si>
    <t>ECN0000751</t>
  </si>
  <si>
    <t>ECN0000999</t>
  </si>
  <si>
    <t>ECN0001061</t>
  </si>
  <si>
    <t>ECN0000351</t>
  </si>
  <si>
    <t>ECN0000517</t>
  </si>
  <si>
    <t>ECN0000556</t>
  </si>
  <si>
    <t>ECN0000842</t>
  </si>
  <si>
    <t>ECN0001199</t>
  </si>
  <si>
    <t>ECN0001278</t>
  </si>
  <si>
    <t>ECN0000405</t>
  </si>
  <si>
    <t>ECN0000448</t>
  </si>
  <si>
    <t>ECN0000907</t>
  </si>
  <si>
    <t>ECN0000368</t>
  </si>
  <si>
    <t>ECN0000496</t>
  </si>
  <si>
    <t>ECN0000521</t>
  </si>
  <si>
    <t>ECN0000547</t>
  </si>
  <si>
    <t>ECN0000680</t>
  </si>
  <si>
    <t>ECN0000997</t>
  </si>
  <si>
    <t>ECN0001036</t>
  </si>
  <si>
    <t>ECN0001064</t>
  </si>
  <si>
    <t>ECN0000356</t>
  </si>
  <si>
    <t>ECN0000462</t>
  </si>
  <si>
    <t>ECN0000838</t>
  </si>
  <si>
    <t>ECN0001255</t>
  </si>
  <si>
    <t>ECN0001282</t>
  </si>
  <si>
    <t>ECN0000397</t>
  </si>
  <si>
    <t>ECN0000690</t>
  </si>
  <si>
    <t>ECN0000711</t>
  </si>
  <si>
    <t>ECN0001217</t>
  </si>
  <si>
    <t>ECN0000432</t>
  </si>
  <si>
    <t>ECN0000654</t>
  </si>
  <si>
    <t>ECN0000758</t>
  </si>
  <si>
    <t>ECN0000912</t>
  </si>
  <si>
    <t>ECN0000926</t>
  </si>
  <si>
    <t>ECN0001201</t>
  </si>
  <si>
    <t>ECN0001232</t>
  </si>
  <si>
    <t>ECN0000406</t>
  </si>
  <si>
    <t>ECN0000706</t>
  </si>
  <si>
    <t>ECN0001027</t>
  </si>
  <si>
    <t>ECN0001040</t>
  </si>
  <si>
    <t>ECN0001266</t>
  </si>
  <si>
    <t>ECN0000371</t>
  </si>
  <si>
    <t>ECN0000469</t>
  </si>
  <si>
    <t>ECN0000815</t>
  </si>
  <si>
    <t>ECN0001262</t>
  </si>
  <si>
    <t>ECN0000441</t>
  </si>
  <si>
    <t>ECN0000483</t>
  </si>
  <si>
    <t>ECN0000670</t>
  </si>
  <si>
    <t>ECN0001163</t>
  </si>
  <si>
    <t>ECN0001224</t>
  </si>
  <si>
    <t>ECN0000640</t>
  </si>
  <si>
    <t>ECN0000903</t>
  </si>
  <si>
    <t>ECN0001039</t>
  </si>
  <si>
    <t>ECN0001056</t>
  </si>
  <si>
    <t>ECN0000531</t>
  </si>
  <si>
    <t>ECN0000583</t>
  </si>
  <si>
    <t>ECN0000744</t>
  </si>
  <si>
    <t>ECN0000752</t>
  </si>
  <si>
    <t>ECN0001006</t>
  </si>
  <si>
    <t>ECN0001189</t>
  </si>
  <si>
    <t>ECN0000309</t>
  </si>
  <si>
    <t>ECN0000484</t>
  </si>
  <si>
    <t>ECN0000631</t>
  </si>
  <si>
    <t>ECN0000727</t>
  </si>
  <si>
    <t>ECN0000796</t>
  </si>
  <si>
    <t>ECN0001147</t>
  </si>
  <si>
    <t>ECN0000424</t>
  </si>
  <si>
    <t>ECN0000691</t>
  </si>
  <si>
    <t>ECN0000777</t>
  </si>
  <si>
    <t>ECN0001017</t>
  </si>
  <si>
    <t>ECN0001049</t>
  </si>
  <si>
    <t>ECN0000415</t>
  </si>
  <si>
    <t>ECN0000824</t>
  </si>
  <si>
    <t>ECN0000967</t>
  </si>
  <si>
    <t>ECN0000345</t>
  </si>
  <si>
    <t>ECN0000948</t>
  </si>
  <si>
    <t>ECN0000959</t>
  </si>
  <si>
    <t>ECN0000968</t>
  </si>
  <si>
    <t>ECN0001068</t>
  </si>
  <si>
    <t>ECN0000311</t>
  </si>
  <si>
    <t>ECN0000404</t>
  </si>
  <si>
    <t>ECN0000564</t>
  </si>
  <si>
    <t>ECN0001145</t>
  </si>
  <si>
    <t>ECN0001152</t>
  </si>
  <si>
    <t>ECN0000410</t>
  </si>
  <si>
    <t>ECN0000857</t>
  </si>
  <si>
    <t>ECN0001158</t>
  </si>
  <si>
    <t>ECN0001220</t>
  </si>
  <si>
    <t>ECN0000803</t>
  </si>
  <si>
    <t>ECN0000810</t>
  </si>
  <si>
    <t>ECN0000841</t>
  </si>
  <si>
    <t>ECN0000860</t>
  </si>
  <si>
    <t>ECN0000989</t>
  </si>
  <si>
    <t>ECN0000854</t>
  </si>
  <si>
    <t>ECN0000398</t>
  </si>
  <si>
    <t>ECN0000416</t>
  </si>
  <si>
    <t>ECN0000644</t>
  </si>
  <si>
    <t>ECN0000896</t>
  </si>
  <si>
    <t>ECN0000911</t>
  </si>
  <si>
    <t>ECN0001250</t>
  </si>
  <si>
    <t>ECN0000765</t>
  </si>
  <si>
    <t>ECN0001125</t>
  </si>
  <si>
    <t>ECN0000450</t>
  </si>
  <si>
    <t>ECN0001138</t>
  </si>
  <si>
    <t>ECN0001283</t>
  </si>
  <si>
    <t>ECN0000315</t>
  </si>
  <si>
    <t>ECN0000438</t>
  </si>
  <si>
    <t>ECN0001112</t>
  </si>
  <si>
    <t>ECN0000494</t>
  </si>
  <si>
    <t>ECN0001029</t>
  </si>
  <si>
    <t>ECN0000474</t>
  </si>
  <si>
    <t>ECN0000507</t>
  </si>
  <si>
    <t>ECN0000639</t>
  </si>
  <si>
    <t>ECN0000812</t>
  </si>
  <si>
    <t>ECN0000852</t>
  </si>
  <si>
    <t>ECN0001009</t>
  </si>
  <si>
    <t>ECN0001175</t>
  </si>
  <si>
    <t>ECN0000403</t>
  </si>
  <si>
    <t>ECN0000549</t>
  </si>
  <si>
    <t>ECN0000562</t>
  </si>
  <si>
    <t>ECN0001033</t>
  </si>
  <si>
    <t>ECN0000588</t>
  </si>
  <si>
    <t>ECN0000638</t>
  </si>
  <si>
    <t>ECN0000853</t>
  </si>
  <si>
    <t>ECN0000938</t>
  </si>
  <si>
    <t>ECN0001150</t>
  </si>
  <si>
    <t>ECN0000589</t>
  </si>
  <si>
    <t>ECN0000600</t>
  </si>
  <si>
    <t>ECN0000634</t>
  </si>
  <si>
    <t>ECN0000720</t>
  </si>
  <si>
    <t>ECN0000745</t>
  </si>
  <si>
    <t>ECN0000888</t>
  </si>
  <si>
    <t>ECN0000983</t>
  </si>
  <si>
    <t>ECN0001015</t>
  </si>
  <si>
    <t>ECN0000308</t>
  </si>
  <si>
    <t>ECN0000977</t>
  </si>
  <si>
    <t>ECN0000993</t>
  </si>
  <si>
    <t>ECN0000445</t>
  </si>
  <si>
    <t>ECN0000608</t>
  </si>
  <si>
    <t>ECN0000674</t>
  </si>
  <si>
    <t>ECN0000694</t>
  </si>
  <si>
    <t>ECN0000885</t>
  </si>
  <si>
    <t>ECN0001122</t>
  </si>
  <si>
    <t>ECN0001219</t>
  </si>
  <si>
    <t>ECN0000401</t>
  </si>
  <si>
    <t>ECN0000826</t>
  </si>
  <si>
    <t>ECN0001237</t>
  </si>
  <si>
    <t>ECN0000348</t>
  </si>
  <si>
    <t>ECN0000653</t>
  </si>
  <si>
    <t>ECN0000788</t>
  </si>
  <si>
    <t>ECN0000847</t>
  </si>
  <si>
    <t>ECN0001240</t>
  </si>
  <si>
    <t>ECN0001272</t>
  </si>
  <si>
    <t>ECN0000921</t>
  </si>
  <si>
    <t>ECN0001200</t>
  </si>
  <si>
    <t>ECN0000334</t>
  </si>
  <si>
    <t>ECN0000834</t>
  </si>
  <si>
    <t>ECN0000717</t>
  </si>
  <si>
    <t>ECN0001126</t>
  </si>
  <si>
    <t>ECN0001229</t>
  </si>
  <si>
    <t>ECN0000425</t>
  </si>
  <si>
    <t>ECN0000476</t>
  </si>
  <si>
    <t>ECN0001102</t>
  </si>
  <si>
    <t>ECN0000828</t>
  </si>
  <si>
    <t>ECN0000848</t>
  </si>
  <si>
    <t>ECN0001041</t>
  </si>
  <si>
    <t>ECN0001099</t>
  </si>
  <si>
    <t>ECN0000323</t>
  </si>
  <si>
    <t>ECN0000605</t>
  </si>
  <si>
    <t>ECN0001103</t>
  </si>
  <si>
    <t>ECN0001007</t>
  </si>
  <si>
    <t>ECN0000855</t>
  </si>
  <si>
    <t>ECN0000570</t>
  </si>
  <si>
    <t>ECN0000930</t>
  </si>
  <si>
    <t>ECN0000422</t>
  </si>
  <si>
    <t>ECN0000827</t>
  </si>
  <si>
    <t>ECN0001135</t>
  </si>
  <si>
    <t>ECN0001289</t>
  </si>
  <si>
    <t>ECN0000434</t>
  </si>
  <si>
    <t>ECN0001116</t>
  </si>
  <si>
    <t>ECN0000440</t>
  </si>
  <si>
    <t>ECN0000823</t>
  </si>
  <si>
    <t>ECN0001058</t>
  </si>
  <si>
    <t>ECN0000382</t>
  </si>
  <si>
    <t>ECN0000635</t>
  </si>
  <si>
    <t>ECN0001001</t>
  </si>
  <si>
    <t>ECN0001169</t>
  </si>
  <si>
    <t>ECN0001269</t>
  </si>
  <si>
    <t>ECN0001297</t>
  </si>
  <si>
    <t>ECN0000392</t>
  </si>
  <si>
    <t>ECN0001187</t>
  </si>
  <si>
    <t>ECN0001259</t>
  </si>
  <si>
    <t>ECN0000377</t>
  </si>
  <si>
    <t>ECN0000603</t>
  </si>
  <si>
    <t>ECN0000624</t>
  </si>
  <si>
    <t>ECN0000721</t>
  </si>
  <si>
    <t>ECN0000527</t>
  </si>
  <si>
    <t>ECN0001226</t>
  </si>
  <si>
    <t>ECN0000606</t>
  </si>
  <si>
    <t>ECN0001047</t>
  </si>
  <si>
    <t>ECN0000629</t>
  </si>
  <si>
    <t>ECN0000899</t>
  </si>
  <si>
    <t>ECN0000343</t>
  </si>
  <si>
    <t>ECN0000819</t>
  </si>
  <si>
    <t>ECN0001067</t>
  </si>
  <si>
    <t>ECN0000340</t>
  </si>
  <si>
    <t>ECN0000580</t>
  </si>
  <si>
    <t>ECN0000584</t>
  </si>
  <si>
    <t>ECN0001186</t>
  </si>
  <si>
    <t>ECN0000573</t>
  </si>
  <si>
    <t>ECN0000692</t>
  </si>
  <si>
    <t>ECN0000623</t>
  </si>
  <si>
    <t>ECN0000816</t>
  </si>
  <si>
    <t>ECN0001176</t>
  </si>
  <si>
    <t>ECN0001251</t>
  </si>
  <si>
    <t>ECN0000366</t>
  </si>
  <si>
    <t>ECN0000443</t>
  </si>
  <si>
    <t>ECN0001196</t>
  </si>
  <si>
    <t>ECN0000612</t>
  </si>
  <si>
    <t>ECN0000755</t>
  </si>
  <si>
    <t>ECN0001079</t>
  </si>
  <si>
    <t>ECN0000776</t>
  </si>
  <si>
    <t>ECN0001072</t>
  </si>
  <si>
    <t>ECN0001288</t>
  </si>
  <si>
    <t>ECN0000452</t>
  </si>
  <si>
    <t>ECN0000980</t>
  </si>
  <si>
    <t>ECN0001182</t>
  </si>
  <si>
    <t>ECN0001204</t>
  </si>
  <si>
    <t>ECN0000304</t>
  </si>
  <si>
    <t>ECN0000622</t>
  </si>
  <si>
    <t>ECN0000741</t>
  </si>
  <si>
    <t>ECN0000332</t>
  </si>
  <si>
    <t>ECN0000539</t>
  </si>
  <si>
    <t>ECN0000862</t>
  </si>
  <si>
    <t>ECN0001246</t>
  </si>
  <si>
    <t>ECN0000447</t>
  </si>
  <si>
    <t>ECN0000626</t>
  </si>
  <si>
    <t>ECN0000498</t>
  </si>
  <si>
    <t>ECN0000510</t>
  </si>
  <si>
    <t>ECN0000490</t>
  </si>
  <si>
    <t>ECN0000446</t>
  </si>
  <si>
    <t>ECN0000683</t>
  </si>
  <si>
    <t>ECN0000704</t>
  </si>
  <si>
    <t>ECN0001185</t>
  </si>
  <si>
    <t>ECN0000355</t>
  </si>
  <si>
    <t>ECN0001005</t>
  </si>
  <si>
    <t>ECN0000369</t>
  </si>
  <si>
    <t>ECN0000767</t>
  </si>
  <si>
    <t>ECN0000590</t>
  </si>
  <si>
    <t>ECN0000671</t>
  </si>
  <si>
    <t>ECN0000386</t>
  </si>
  <si>
    <t>ECN0000389</t>
  </si>
  <si>
    <t>ECN0000646</t>
  </si>
  <si>
    <t>ECN0000678</t>
  </si>
  <si>
    <t>ECN0000869</t>
  </si>
  <si>
    <t>ECN0001106</t>
  </si>
  <si>
    <t>ECN0000455</t>
  </si>
  <si>
    <t>ECN0000511</t>
  </si>
  <si>
    <t>ECN0000487</t>
  </si>
  <si>
    <t>ECN0000669</t>
  </si>
  <si>
    <t>ECN0000897</t>
  </si>
  <si>
    <t>ECN0000342</t>
  </si>
  <si>
    <t>ECN0000502</t>
  </si>
  <si>
    <t>ECN0000633</t>
  </si>
  <si>
    <t>ECN0000970</t>
  </si>
  <si>
    <t>ECN0001212</t>
  </si>
  <si>
    <t>ECN0001022</t>
  </si>
  <si>
    <t>ECN0000811</t>
  </si>
  <si>
    <t>ECN0000919</t>
  </si>
  <si>
    <t>ECN0000519</t>
  </si>
  <si>
    <t>ECN0000663</t>
  </si>
  <si>
    <t>ECN0000872</t>
  </si>
  <si>
    <t>ECN0000891</t>
  </si>
  <si>
    <t>ECN0000922</t>
  </si>
  <si>
    <t>ECN0000730</t>
  </si>
  <si>
    <t>ECN0000567</t>
  </si>
  <si>
    <t>ECN0000928</t>
  </si>
  <si>
    <t>ECN0001095</t>
  </si>
  <si>
    <t>ECN0001178</t>
  </si>
  <si>
    <t>ECN0000305</t>
  </si>
  <si>
    <t>ECN0000762</t>
  </si>
  <si>
    <t>ECN0000940</t>
  </si>
  <si>
    <t>ECN0000506</t>
  </si>
  <si>
    <t>ECN0001090</t>
  </si>
  <si>
    <t>ECN0000935</t>
  </si>
  <si>
    <t>ECN0000662</t>
  </si>
  <si>
    <t>ECN0000801</t>
  </si>
  <si>
    <t>ECN0000388</t>
  </si>
  <si>
    <t>ECN0000429</t>
  </si>
  <si>
    <t>ECN0000560</t>
  </si>
  <si>
    <t>ECN0000575</t>
  </si>
  <si>
    <t>ECN0000917</t>
  </si>
  <si>
    <t>ECN0000666</t>
  </si>
  <si>
    <t>ECN0000920</t>
  </si>
  <si>
    <t>ECN0001160</t>
  </si>
  <si>
    <t>ECN0001233</t>
  </si>
  <si>
    <t>ECN0000407</t>
  </si>
  <si>
    <t>ECN0000431</t>
  </si>
  <si>
    <t>ECN0000737</t>
  </si>
  <si>
    <t>ECN0000453</t>
  </si>
  <si>
    <t>ECN0000613</t>
  </si>
  <si>
    <t>ECN0001080</t>
  </si>
  <si>
    <t>ECN0000732</t>
  </si>
  <si>
    <t>ECN0000945</t>
  </si>
  <si>
    <t>ECN0001088</t>
  </si>
  <si>
    <t>ECN0000861</t>
  </si>
  <si>
    <t>ECN0000390</t>
  </si>
  <si>
    <t>ECN0001137</t>
  </si>
  <si>
    <t>ECN0000791</t>
  </si>
  <si>
    <t>ECN0000856</t>
  </si>
  <si>
    <t>ECN0001156</t>
  </si>
  <si>
    <t>ECN0001174</t>
  </si>
  <si>
    <t>ECN0001042</t>
  </si>
  <si>
    <t>ECN0001298</t>
  </si>
  <si>
    <t>ECN0000594</t>
  </si>
  <si>
    <t>ECN0001248</t>
  </si>
  <si>
    <t>ECN0000787</t>
  </si>
  <si>
    <t>ECN0001025</t>
  </si>
  <si>
    <t>ECN0001260</t>
  </si>
  <si>
    <t>ECN0000363</t>
  </si>
  <si>
    <t>ECN0000636</t>
  </si>
  <si>
    <t>ECN0000782</t>
  </si>
  <si>
    <t>ECN0000981</t>
  </si>
  <si>
    <t>ECN0000318</t>
  </si>
  <si>
    <t>ECN0000338</t>
  </si>
  <si>
    <t>ECN0001134</t>
  </si>
  <si>
    <t>ECN0000944</t>
  </si>
  <si>
    <t>ECN0000468</t>
  </si>
  <si>
    <t>ECN0000715</t>
  </si>
  <si>
    <t>ECN0000889</t>
  </si>
  <si>
    <t>ECN0000641</t>
  </si>
  <si>
    <t>ECN0000537</t>
  </si>
  <si>
    <t>ECN0001231</t>
  </si>
  <si>
    <t>ECN0001287</t>
  </si>
  <si>
    <t>ECN0001263</t>
  </si>
  <si>
    <t>ECN0000358</t>
  </si>
  <si>
    <t>ECN0001136</t>
  </si>
  <si>
    <t>ECN0000868</t>
  </si>
  <si>
    <t>ECN0001014</t>
  </si>
  <si>
    <t>ECN0000768</t>
  </si>
  <si>
    <t>ECN0000932</t>
  </si>
  <si>
    <t>ECN0000886</t>
  </si>
  <si>
    <t>ECN0000843</t>
  </si>
  <si>
    <t>ECN0000472</t>
  </si>
  <si>
    <t>ECN0000685</t>
  </si>
  <si>
    <t>ECN0000895</t>
  </si>
  <si>
    <t>ECN0000599</t>
  </si>
  <si>
    <t>ECN0000833</t>
  </si>
  <si>
    <t>ECN0000395</t>
  </si>
  <si>
    <t>ECN0000319</t>
  </si>
  <si>
    <t>ECN0001130</t>
  </si>
  <si>
    <t>ECN0001257</t>
  </si>
  <si>
    <t>ECN0000427</t>
  </si>
  <si>
    <t>ECN0000475</t>
  </si>
  <si>
    <t>ECN0001281</t>
  </si>
  <si>
    <t>ECN0000471</t>
  </si>
  <si>
    <t>ECN0001216</t>
  </si>
  <si>
    <t>ECN0000339</t>
  </si>
  <si>
    <t>ECN0000328</t>
  </si>
  <si>
    <t>No</t>
  </si>
  <si>
    <t>Tag</t>
  </si>
  <si>
    <t>Added</t>
  </si>
  <si>
    <t>(x,y)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</si>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</sst>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1.1640625" bestFit="1" customWidth="1"/>
    <col min="2" max="2" width="14.6640625" bestFit="1" customWidth="1"/>
    <col min="3" max="3" width="20.5" bestFit="1" customWidth="1"/>
    <col min="4" max="4" width="18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1012</v>
      </c>
    </row>
    <row r="2" spans="1:5" x14ac:dyDescent="0.2">
      <c r="A2" t="s">
        <v>16</v>
      </c>
      <c r="B2" t="s">
        <v>5</v>
      </c>
      <c r="C2" t="s">
        <v>6</v>
      </c>
      <c r="D2" s="2">
        <v>45239</v>
      </c>
      <c r="E2">
        <v>1</v>
      </c>
    </row>
    <row r="3" spans="1:5" x14ac:dyDescent="0.2">
      <c r="A3" t="s">
        <v>4</v>
      </c>
      <c r="B3" t="s">
        <v>9</v>
      </c>
      <c r="C3" t="s">
        <v>10</v>
      </c>
      <c r="D3" s="2">
        <v>45243</v>
      </c>
      <c r="E3">
        <f>E2+1</f>
        <v>2</v>
      </c>
    </row>
    <row r="4" spans="1:5" x14ac:dyDescent="0.2">
      <c r="A4" t="s">
        <v>19</v>
      </c>
      <c r="B4" t="s">
        <v>9</v>
      </c>
      <c r="C4" t="s">
        <v>10</v>
      </c>
      <c r="D4" s="2">
        <v>45243</v>
      </c>
      <c r="E4">
        <f t="shared" ref="E4:E67" si="0">E3+1</f>
        <v>3</v>
      </c>
    </row>
    <row r="5" spans="1:5" x14ac:dyDescent="0.2">
      <c r="A5" t="s">
        <v>15</v>
      </c>
      <c r="B5" t="s">
        <v>11</v>
      </c>
      <c r="C5" t="s">
        <v>12</v>
      </c>
      <c r="D5" s="2">
        <v>45245</v>
      </c>
      <c r="E5">
        <f t="shared" si="0"/>
        <v>4</v>
      </c>
    </row>
    <row r="6" spans="1:5" x14ac:dyDescent="0.2">
      <c r="A6" t="s">
        <v>13</v>
      </c>
      <c r="B6" t="s">
        <v>9</v>
      </c>
      <c r="C6" t="s">
        <v>10</v>
      </c>
      <c r="D6" s="2">
        <v>45246</v>
      </c>
      <c r="E6">
        <f t="shared" si="0"/>
        <v>5</v>
      </c>
    </row>
    <row r="7" spans="1:5" x14ac:dyDescent="0.2">
      <c r="A7" t="s">
        <v>18</v>
      </c>
      <c r="B7" t="s">
        <v>5</v>
      </c>
      <c r="C7" t="s">
        <v>6</v>
      </c>
      <c r="D7" s="2">
        <v>45247</v>
      </c>
      <c r="E7">
        <f t="shared" si="0"/>
        <v>6</v>
      </c>
    </row>
    <row r="8" spans="1:5" x14ac:dyDescent="0.2">
      <c r="A8" t="s">
        <v>22</v>
      </c>
      <c r="B8" t="s">
        <v>5</v>
      </c>
      <c r="C8" t="s">
        <v>6</v>
      </c>
      <c r="D8" s="2">
        <v>45249</v>
      </c>
      <c r="E8">
        <f t="shared" si="0"/>
        <v>7</v>
      </c>
    </row>
    <row r="9" spans="1:5" x14ac:dyDescent="0.2">
      <c r="A9" t="s">
        <v>14</v>
      </c>
      <c r="B9" t="s">
        <v>5</v>
      </c>
      <c r="C9" t="s">
        <v>6</v>
      </c>
      <c r="D9" s="2">
        <v>45250</v>
      </c>
      <c r="E9">
        <f t="shared" si="0"/>
        <v>8</v>
      </c>
    </row>
    <row r="10" spans="1:5" x14ac:dyDescent="0.2">
      <c r="A10" t="s">
        <v>21</v>
      </c>
      <c r="B10" t="s">
        <v>11</v>
      </c>
      <c r="C10" t="s">
        <v>12</v>
      </c>
      <c r="D10" s="2">
        <v>45251</v>
      </c>
      <c r="E10">
        <f t="shared" si="0"/>
        <v>9</v>
      </c>
    </row>
    <row r="11" spans="1:5" x14ac:dyDescent="0.2">
      <c r="A11" t="s">
        <v>24</v>
      </c>
      <c r="B11" t="s">
        <v>11</v>
      </c>
      <c r="C11" t="s">
        <v>12</v>
      </c>
      <c r="D11" s="2">
        <v>45254</v>
      </c>
      <c r="E11">
        <f t="shared" si="0"/>
        <v>10</v>
      </c>
    </row>
    <row r="12" spans="1:5" x14ac:dyDescent="0.2">
      <c r="A12" t="s">
        <v>17</v>
      </c>
      <c r="B12" t="s">
        <v>5</v>
      </c>
      <c r="C12" t="s">
        <v>6</v>
      </c>
      <c r="D12" s="2">
        <v>45256</v>
      </c>
      <c r="E12">
        <f t="shared" si="0"/>
        <v>11</v>
      </c>
    </row>
    <row r="13" spans="1:5" x14ac:dyDescent="0.2">
      <c r="A13" t="s">
        <v>20</v>
      </c>
      <c r="B13" t="s">
        <v>7</v>
      </c>
      <c r="C13" t="s">
        <v>8</v>
      </c>
      <c r="D13" s="2">
        <v>45256</v>
      </c>
      <c r="E13">
        <f t="shared" si="0"/>
        <v>12</v>
      </c>
    </row>
    <row r="14" spans="1:5" x14ac:dyDescent="0.2">
      <c r="A14" t="s">
        <v>26</v>
      </c>
      <c r="B14" t="s">
        <v>7</v>
      </c>
      <c r="C14" t="s">
        <v>8</v>
      </c>
      <c r="D14" s="2">
        <v>45262</v>
      </c>
      <c r="E14">
        <f t="shared" si="0"/>
        <v>13</v>
      </c>
    </row>
    <row r="15" spans="1:5" x14ac:dyDescent="0.2">
      <c r="A15" t="s">
        <v>23</v>
      </c>
      <c r="B15" t="s">
        <v>7</v>
      </c>
      <c r="C15" t="s">
        <v>8</v>
      </c>
      <c r="D15" s="2">
        <v>45264</v>
      </c>
      <c r="E15">
        <f t="shared" si="0"/>
        <v>14</v>
      </c>
    </row>
    <row r="16" spans="1:5" x14ac:dyDescent="0.2">
      <c r="A16" t="s">
        <v>25</v>
      </c>
      <c r="B16" t="s">
        <v>7</v>
      </c>
      <c r="C16" t="s">
        <v>8</v>
      </c>
      <c r="D16" s="2">
        <v>45265</v>
      </c>
      <c r="E16">
        <f t="shared" si="0"/>
        <v>15</v>
      </c>
    </row>
    <row r="17" spans="1:5" x14ac:dyDescent="0.2">
      <c r="A17" t="s">
        <v>29</v>
      </c>
      <c r="B17" t="s">
        <v>11</v>
      </c>
      <c r="C17" t="s">
        <v>12</v>
      </c>
      <c r="D17" s="2">
        <v>45268</v>
      </c>
      <c r="E17">
        <f t="shared" si="0"/>
        <v>16</v>
      </c>
    </row>
    <row r="18" spans="1:5" x14ac:dyDescent="0.2">
      <c r="A18" t="s">
        <v>28</v>
      </c>
      <c r="B18" t="s">
        <v>11</v>
      </c>
      <c r="C18" t="s">
        <v>12</v>
      </c>
      <c r="D18" s="2">
        <v>45278</v>
      </c>
      <c r="E18">
        <f t="shared" si="0"/>
        <v>17</v>
      </c>
    </row>
    <row r="19" spans="1:5" x14ac:dyDescent="0.2">
      <c r="A19" t="s">
        <v>27</v>
      </c>
      <c r="B19" t="s">
        <v>11</v>
      </c>
      <c r="C19" t="s">
        <v>12</v>
      </c>
      <c r="D19" s="2">
        <v>45282</v>
      </c>
      <c r="E19">
        <f t="shared" si="0"/>
        <v>18</v>
      </c>
    </row>
    <row r="20" spans="1:5" x14ac:dyDescent="0.2">
      <c r="A20" t="s">
        <v>33</v>
      </c>
      <c r="B20" t="s">
        <v>11</v>
      </c>
      <c r="C20" t="s">
        <v>12</v>
      </c>
      <c r="D20" s="2">
        <v>45288</v>
      </c>
      <c r="E20">
        <f t="shared" si="0"/>
        <v>19</v>
      </c>
    </row>
    <row r="21" spans="1:5" x14ac:dyDescent="0.2">
      <c r="A21" t="s">
        <v>31</v>
      </c>
      <c r="B21" t="s">
        <v>11</v>
      </c>
      <c r="C21" t="s">
        <v>12</v>
      </c>
      <c r="D21" s="2">
        <v>45289</v>
      </c>
      <c r="E21">
        <f t="shared" si="0"/>
        <v>20</v>
      </c>
    </row>
    <row r="22" spans="1:5" x14ac:dyDescent="0.2">
      <c r="A22" t="s">
        <v>37</v>
      </c>
      <c r="B22" t="s">
        <v>11</v>
      </c>
      <c r="C22" t="s">
        <v>12</v>
      </c>
      <c r="D22" s="2">
        <v>45290</v>
      </c>
      <c r="E22">
        <f t="shared" si="0"/>
        <v>21</v>
      </c>
    </row>
    <row r="23" spans="1:5" x14ac:dyDescent="0.2">
      <c r="A23" t="s">
        <v>45</v>
      </c>
      <c r="B23" t="s">
        <v>11</v>
      </c>
      <c r="C23" t="s">
        <v>12</v>
      </c>
      <c r="D23" s="2">
        <v>45293</v>
      </c>
      <c r="E23">
        <f t="shared" si="0"/>
        <v>22</v>
      </c>
    </row>
    <row r="24" spans="1:5" x14ac:dyDescent="0.2">
      <c r="A24" t="s">
        <v>30</v>
      </c>
      <c r="B24" t="s">
        <v>11</v>
      </c>
      <c r="C24" t="s">
        <v>12</v>
      </c>
      <c r="D24" s="2">
        <v>45294</v>
      </c>
      <c r="E24">
        <f t="shared" si="0"/>
        <v>23</v>
      </c>
    </row>
    <row r="25" spans="1:5" x14ac:dyDescent="0.2">
      <c r="A25" t="s">
        <v>41</v>
      </c>
      <c r="B25" t="s">
        <v>11</v>
      </c>
      <c r="C25" t="s">
        <v>12</v>
      </c>
      <c r="D25" s="2">
        <v>45296</v>
      </c>
      <c r="E25">
        <f t="shared" si="0"/>
        <v>24</v>
      </c>
    </row>
    <row r="26" spans="1:5" x14ac:dyDescent="0.2">
      <c r="A26" t="s">
        <v>44</v>
      </c>
      <c r="B26" t="s">
        <v>11</v>
      </c>
      <c r="C26" t="s">
        <v>12</v>
      </c>
      <c r="D26" s="2">
        <v>45299</v>
      </c>
      <c r="E26">
        <f t="shared" si="0"/>
        <v>25</v>
      </c>
    </row>
    <row r="27" spans="1:5" x14ac:dyDescent="0.2">
      <c r="A27" t="s">
        <v>39</v>
      </c>
      <c r="B27" t="s">
        <v>11</v>
      </c>
      <c r="C27" t="s">
        <v>12</v>
      </c>
      <c r="D27" s="2">
        <v>45300</v>
      </c>
      <c r="E27">
        <f t="shared" si="0"/>
        <v>26</v>
      </c>
    </row>
    <row r="28" spans="1:5" x14ac:dyDescent="0.2">
      <c r="A28" t="s">
        <v>49</v>
      </c>
      <c r="B28" t="s">
        <v>7</v>
      </c>
      <c r="C28" t="s">
        <v>8</v>
      </c>
      <c r="D28" s="2">
        <v>45304</v>
      </c>
      <c r="E28">
        <f t="shared" si="0"/>
        <v>27</v>
      </c>
    </row>
    <row r="29" spans="1:5" x14ac:dyDescent="0.2">
      <c r="A29" t="s">
        <v>53</v>
      </c>
      <c r="B29" t="s">
        <v>11</v>
      </c>
      <c r="C29" t="s">
        <v>12</v>
      </c>
      <c r="D29" s="2">
        <v>45306</v>
      </c>
      <c r="E29">
        <f t="shared" si="0"/>
        <v>28</v>
      </c>
    </row>
    <row r="30" spans="1:5" x14ac:dyDescent="0.2">
      <c r="A30" t="s">
        <v>56</v>
      </c>
      <c r="B30" t="s">
        <v>11</v>
      </c>
      <c r="C30" t="s">
        <v>12</v>
      </c>
      <c r="D30" s="2">
        <v>45306</v>
      </c>
      <c r="E30">
        <f t="shared" si="0"/>
        <v>29</v>
      </c>
    </row>
    <row r="31" spans="1:5" x14ac:dyDescent="0.2">
      <c r="A31" t="s">
        <v>40</v>
      </c>
      <c r="B31" t="s">
        <v>7</v>
      </c>
      <c r="C31" t="s">
        <v>8</v>
      </c>
      <c r="D31" s="2">
        <v>45307</v>
      </c>
      <c r="E31">
        <f t="shared" si="0"/>
        <v>30</v>
      </c>
    </row>
    <row r="32" spans="1:5" x14ac:dyDescent="0.2">
      <c r="A32" t="s">
        <v>51</v>
      </c>
      <c r="B32" t="s">
        <v>7</v>
      </c>
      <c r="C32" t="s">
        <v>8</v>
      </c>
      <c r="D32" s="2">
        <v>45307</v>
      </c>
      <c r="E32">
        <f t="shared" si="0"/>
        <v>31</v>
      </c>
    </row>
    <row r="33" spans="1:5" x14ac:dyDescent="0.2">
      <c r="A33" t="s">
        <v>34</v>
      </c>
      <c r="B33" t="s">
        <v>11</v>
      </c>
      <c r="C33" t="s">
        <v>12</v>
      </c>
      <c r="D33" s="2">
        <v>45308</v>
      </c>
      <c r="E33">
        <f t="shared" si="0"/>
        <v>32</v>
      </c>
    </row>
    <row r="34" spans="1:5" x14ac:dyDescent="0.2">
      <c r="A34" t="s">
        <v>35</v>
      </c>
      <c r="B34" t="s">
        <v>7</v>
      </c>
      <c r="C34" t="s">
        <v>8</v>
      </c>
      <c r="D34" s="2">
        <v>45308</v>
      </c>
      <c r="E34">
        <f t="shared" si="0"/>
        <v>33</v>
      </c>
    </row>
    <row r="35" spans="1:5" x14ac:dyDescent="0.2">
      <c r="A35" t="s">
        <v>38</v>
      </c>
      <c r="B35" t="s">
        <v>11</v>
      </c>
      <c r="C35" t="s">
        <v>12</v>
      </c>
      <c r="D35" s="2">
        <v>45308</v>
      </c>
      <c r="E35">
        <f t="shared" si="0"/>
        <v>34</v>
      </c>
    </row>
    <row r="36" spans="1:5" x14ac:dyDescent="0.2">
      <c r="A36" t="s">
        <v>42</v>
      </c>
      <c r="B36" t="s">
        <v>7</v>
      </c>
      <c r="C36" t="s">
        <v>8</v>
      </c>
      <c r="D36" s="2">
        <v>45309</v>
      </c>
      <c r="E36">
        <f t="shared" si="0"/>
        <v>35</v>
      </c>
    </row>
    <row r="37" spans="1:5" x14ac:dyDescent="0.2">
      <c r="A37" t="s">
        <v>46</v>
      </c>
      <c r="B37" t="s">
        <v>7</v>
      </c>
      <c r="C37" t="s">
        <v>8</v>
      </c>
      <c r="D37" s="2">
        <v>45309</v>
      </c>
      <c r="E37">
        <f t="shared" si="0"/>
        <v>36</v>
      </c>
    </row>
    <row r="38" spans="1:5" x14ac:dyDescent="0.2">
      <c r="A38" t="s">
        <v>48</v>
      </c>
      <c r="B38" t="s">
        <v>7</v>
      </c>
      <c r="C38" t="s">
        <v>8</v>
      </c>
      <c r="D38" s="2">
        <v>45312</v>
      </c>
      <c r="E38">
        <f t="shared" si="0"/>
        <v>37</v>
      </c>
    </row>
    <row r="39" spans="1:5" x14ac:dyDescent="0.2">
      <c r="A39" t="s">
        <v>59</v>
      </c>
      <c r="B39" t="s">
        <v>7</v>
      </c>
      <c r="C39" t="s">
        <v>8</v>
      </c>
      <c r="D39" s="2">
        <v>45313</v>
      </c>
      <c r="E39">
        <f t="shared" si="0"/>
        <v>38</v>
      </c>
    </row>
    <row r="40" spans="1:5" x14ac:dyDescent="0.2">
      <c r="A40" t="s">
        <v>61</v>
      </c>
      <c r="B40" t="s">
        <v>11</v>
      </c>
      <c r="C40" t="s">
        <v>12</v>
      </c>
      <c r="D40" s="2">
        <v>45314</v>
      </c>
      <c r="E40">
        <f t="shared" si="0"/>
        <v>39</v>
      </c>
    </row>
    <row r="41" spans="1:5" x14ac:dyDescent="0.2">
      <c r="A41" t="s">
        <v>66</v>
      </c>
      <c r="B41" t="s">
        <v>11</v>
      </c>
      <c r="C41" t="s">
        <v>12</v>
      </c>
      <c r="D41" s="2">
        <v>45315</v>
      </c>
      <c r="E41">
        <f t="shared" si="0"/>
        <v>40</v>
      </c>
    </row>
    <row r="42" spans="1:5" x14ac:dyDescent="0.2">
      <c r="A42" t="s">
        <v>32</v>
      </c>
      <c r="B42" t="s">
        <v>11</v>
      </c>
      <c r="C42" t="s">
        <v>12</v>
      </c>
      <c r="D42" s="2">
        <v>45318</v>
      </c>
      <c r="E42">
        <f t="shared" si="0"/>
        <v>41</v>
      </c>
    </row>
    <row r="43" spans="1:5" x14ac:dyDescent="0.2">
      <c r="A43" t="s">
        <v>58</v>
      </c>
      <c r="B43" t="s">
        <v>11</v>
      </c>
      <c r="C43" t="s">
        <v>12</v>
      </c>
      <c r="D43" s="2">
        <v>45319</v>
      </c>
      <c r="E43">
        <f t="shared" si="0"/>
        <v>42</v>
      </c>
    </row>
    <row r="44" spans="1:5" x14ac:dyDescent="0.2">
      <c r="A44" t="s">
        <v>63</v>
      </c>
      <c r="B44" t="s">
        <v>11</v>
      </c>
      <c r="C44" t="s">
        <v>12</v>
      </c>
      <c r="D44" s="2">
        <v>45320</v>
      </c>
      <c r="E44">
        <f t="shared" si="0"/>
        <v>43</v>
      </c>
    </row>
    <row r="45" spans="1:5" x14ac:dyDescent="0.2">
      <c r="A45" t="s">
        <v>47</v>
      </c>
      <c r="B45" t="s">
        <v>11</v>
      </c>
      <c r="C45" t="s">
        <v>12</v>
      </c>
      <c r="D45" s="2">
        <v>45321</v>
      </c>
      <c r="E45">
        <f t="shared" si="0"/>
        <v>44</v>
      </c>
    </row>
    <row r="46" spans="1:5" x14ac:dyDescent="0.2">
      <c r="A46" t="s">
        <v>64</v>
      </c>
      <c r="B46" t="s">
        <v>11</v>
      </c>
      <c r="C46" t="s">
        <v>12</v>
      </c>
      <c r="D46" s="2">
        <v>45321</v>
      </c>
      <c r="E46">
        <f t="shared" si="0"/>
        <v>45</v>
      </c>
    </row>
    <row r="47" spans="1:5" x14ac:dyDescent="0.2">
      <c r="A47" t="s">
        <v>60</v>
      </c>
      <c r="B47" t="s">
        <v>11</v>
      </c>
      <c r="C47" t="s">
        <v>12</v>
      </c>
      <c r="D47" s="2">
        <v>45322</v>
      </c>
      <c r="E47">
        <f t="shared" si="0"/>
        <v>46</v>
      </c>
    </row>
    <row r="48" spans="1:5" x14ac:dyDescent="0.2">
      <c r="A48" t="s">
        <v>62</v>
      </c>
      <c r="B48" t="s">
        <v>11</v>
      </c>
      <c r="C48" t="s">
        <v>12</v>
      </c>
      <c r="D48" s="2">
        <v>45322</v>
      </c>
      <c r="E48">
        <f t="shared" si="0"/>
        <v>47</v>
      </c>
    </row>
    <row r="49" spans="1:5" x14ac:dyDescent="0.2">
      <c r="A49" t="s">
        <v>55</v>
      </c>
      <c r="B49" t="s">
        <v>11</v>
      </c>
      <c r="C49" t="s">
        <v>12</v>
      </c>
      <c r="D49" s="2">
        <v>45328</v>
      </c>
      <c r="E49">
        <f t="shared" si="0"/>
        <v>48</v>
      </c>
    </row>
    <row r="50" spans="1:5" x14ac:dyDescent="0.2">
      <c r="A50" t="s">
        <v>71</v>
      </c>
      <c r="B50" t="s">
        <v>11</v>
      </c>
      <c r="C50" t="s">
        <v>12</v>
      </c>
      <c r="D50" s="2">
        <v>45328</v>
      </c>
      <c r="E50">
        <f t="shared" si="0"/>
        <v>49</v>
      </c>
    </row>
    <row r="51" spans="1:5" x14ac:dyDescent="0.2">
      <c r="A51" t="s">
        <v>79</v>
      </c>
      <c r="B51" t="s">
        <v>11</v>
      </c>
      <c r="C51" t="s">
        <v>12</v>
      </c>
      <c r="D51" s="2">
        <v>45331</v>
      </c>
      <c r="E51">
        <f t="shared" si="0"/>
        <v>50</v>
      </c>
    </row>
    <row r="52" spans="1:5" x14ac:dyDescent="0.2">
      <c r="A52" t="s">
        <v>73</v>
      </c>
      <c r="B52" t="s">
        <v>11</v>
      </c>
      <c r="C52" t="s">
        <v>12</v>
      </c>
      <c r="D52" s="2">
        <v>45332</v>
      </c>
      <c r="E52">
        <f t="shared" si="0"/>
        <v>51</v>
      </c>
    </row>
    <row r="53" spans="1:5" x14ac:dyDescent="0.2">
      <c r="A53" t="s">
        <v>76</v>
      </c>
      <c r="B53" t="s">
        <v>11</v>
      </c>
      <c r="C53" t="s">
        <v>12</v>
      </c>
      <c r="D53" s="2">
        <v>45332</v>
      </c>
      <c r="E53">
        <f t="shared" si="0"/>
        <v>52</v>
      </c>
    </row>
    <row r="54" spans="1:5" x14ac:dyDescent="0.2">
      <c r="A54" t="s">
        <v>57</v>
      </c>
      <c r="B54" t="s">
        <v>11</v>
      </c>
      <c r="C54" t="s">
        <v>12</v>
      </c>
      <c r="D54" s="2">
        <v>45333</v>
      </c>
      <c r="E54">
        <f t="shared" si="0"/>
        <v>53</v>
      </c>
    </row>
    <row r="55" spans="1:5" x14ac:dyDescent="0.2">
      <c r="A55" t="s">
        <v>36</v>
      </c>
      <c r="B55" t="s">
        <v>11</v>
      </c>
      <c r="C55" t="s">
        <v>12</v>
      </c>
      <c r="D55" s="2">
        <v>45335</v>
      </c>
      <c r="E55">
        <f t="shared" si="0"/>
        <v>54</v>
      </c>
    </row>
    <row r="56" spans="1:5" x14ac:dyDescent="0.2">
      <c r="A56" t="s">
        <v>43</v>
      </c>
      <c r="B56" t="s">
        <v>11</v>
      </c>
      <c r="C56" t="s">
        <v>12</v>
      </c>
      <c r="D56" s="2">
        <v>45336</v>
      </c>
      <c r="E56">
        <f t="shared" si="0"/>
        <v>55</v>
      </c>
    </row>
    <row r="57" spans="1:5" x14ac:dyDescent="0.2">
      <c r="A57" t="s">
        <v>50</v>
      </c>
      <c r="B57" t="s">
        <v>11</v>
      </c>
      <c r="C57" t="s">
        <v>12</v>
      </c>
      <c r="D57" s="2">
        <v>45337</v>
      </c>
      <c r="E57">
        <f t="shared" si="0"/>
        <v>56</v>
      </c>
    </row>
    <row r="58" spans="1:5" x14ac:dyDescent="0.2">
      <c r="A58" t="s">
        <v>54</v>
      </c>
      <c r="B58" t="s">
        <v>11</v>
      </c>
      <c r="C58" t="s">
        <v>12</v>
      </c>
      <c r="D58" s="2">
        <v>45338</v>
      </c>
      <c r="E58">
        <f t="shared" si="0"/>
        <v>57</v>
      </c>
    </row>
    <row r="59" spans="1:5" x14ac:dyDescent="0.2">
      <c r="A59" t="s">
        <v>94</v>
      </c>
      <c r="B59" t="s">
        <v>11</v>
      </c>
      <c r="C59" t="s">
        <v>12</v>
      </c>
      <c r="D59" s="2">
        <v>45339</v>
      </c>
      <c r="E59">
        <f t="shared" si="0"/>
        <v>58</v>
      </c>
    </row>
    <row r="60" spans="1:5" x14ac:dyDescent="0.2">
      <c r="A60" t="s">
        <v>52</v>
      </c>
      <c r="B60" t="s">
        <v>11</v>
      </c>
      <c r="C60" t="s">
        <v>12</v>
      </c>
      <c r="D60" s="2">
        <v>45341</v>
      </c>
      <c r="E60">
        <f t="shared" si="0"/>
        <v>59</v>
      </c>
    </row>
    <row r="61" spans="1:5" x14ac:dyDescent="0.2">
      <c r="A61" t="s">
        <v>88</v>
      </c>
      <c r="B61" t="s">
        <v>11</v>
      </c>
      <c r="C61" t="s">
        <v>12</v>
      </c>
      <c r="D61" s="2">
        <v>45341</v>
      </c>
      <c r="E61">
        <f t="shared" si="0"/>
        <v>60</v>
      </c>
    </row>
    <row r="62" spans="1:5" x14ac:dyDescent="0.2">
      <c r="A62" t="s">
        <v>92</v>
      </c>
      <c r="B62" t="s">
        <v>11</v>
      </c>
      <c r="C62" t="s">
        <v>12</v>
      </c>
      <c r="D62" s="2">
        <v>45341</v>
      </c>
      <c r="E62">
        <f t="shared" si="0"/>
        <v>61</v>
      </c>
    </row>
    <row r="63" spans="1:5" x14ac:dyDescent="0.2">
      <c r="A63" t="s">
        <v>89</v>
      </c>
      <c r="B63" t="s">
        <v>11</v>
      </c>
      <c r="C63" t="s">
        <v>12</v>
      </c>
      <c r="D63" s="2">
        <v>45343</v>
      </c>
      <c r="E63">
        <f t="shared" si="0"/>
        <v>62</v>
      </c>
    </row>
    <row r="64" spans="1:5" x14ac:dyDescent="0.2">
      <c r="A64" t="s">
        <v>67</v>
      </c>
      <c r="B64" t="s">
        <v>11</v>
      </c>
      <c r="C64" t="s">
        <v>12</v>
      </c>
      <c r="D64" s="2">
        <v>45344</v>
      </c>
      <c r="E64">
        <f t="shared" si="0"/>
        <v>63</v>
      </c>
    </row>
    <row r="65" spans="1:5" x14ac:dyDescent="0.2">
      <c r="A65" t="s">
        <v>75</v>
      </c>
      <c r="B65" t="s">
        <v>11</v>
      </c>
      <c r="C65" t="s">
        <v>12</v>
      </c>
      <c r="D65" s="2">
        <v>45344</v>
      </c>
      <c r="E65">
        <f t="shared" si="0"/>
        <v>64</v>
      </c>
    </row>
    <row r="66" spans="1:5" x14ac:dyDescent="0.2">
      <c r="A66" t="s">
        <v>113</v>
      </c>
      <c r="B66" t="s">
        <v>11</v>
      </c>
      <c r="C66" t="s">
        <v>12</v>
      </c>
      <c r="D66" s="2">
        <v>45344</v>
      </c>
      <c r="E66">
        <f t="shared" si="0"/>
        <v>65</v>
      </c>
    </row>
    <row r="67" spans="1:5" x14ac:dyDescent="0.2">
      <c r="A67" t="s">
        <v>70</v>
      </c>
      <c r="B67" t="s">
        <v>11</v>
      </c>
      <c r="C67" t="s">
        <v>12</v>
      </c>
      <c r="D67" s="2">
        <v>45345</v>
      </c>
      <c r="E67">
        <f t="shared" si="0"/>
        <v>66</v>
      </c>
    </row>
    <row r="68" spans="1:5" x14ac:dyDescent="0.2">
      <c r="A68" t="s">
        <v>95</v>
      </c>
      <c r="B68" t="s">
        <v>11</v>
      </c>
      <c r="C68" t="s">
        <v>12</v>
      </c>
      <c r="D68" s="2">
        <v>45345</v>
      </c>
      <c r="E68">
        <f t="shared" ref="E68:E131" si="1">E67+1</f>
        <v>67</v>
      </c>
    </row>
    <row r="69" spans="1:5" x14ac:dyDescent="0.2">
      <c r="A69" t="s">
        <v>86</v>
      </c>
      <c r="B69" t="s">
        <v>11</v>
      </c>
      <c r="C69" t="s">
        <v>12</v>
      </c>
      <c r="D69" s="2">
        <v>45346</v>
      </c>
      <c r="E69">
        <f t="shared" si="1"/>
        <v>68</v>
      </c>
    </row>
    <row r="70" spans="1:5" x14ac:dyDescent="0.2">
      <c r="A70" t="s">
        <v>83</v>
      </c>
      <c r="B70" t="s">
        <v>11</v>
      </c>
      <c r="C70" t="s">
        <v>12</v>
      </c>
      <c r="D70" s="2">
        <v>45347</v>
      </c>
      <c r="E70">
        <f t="shared" si="1"/>
        <v>69</v>
      </c>
    </row>
    <row r="71" spans="1:5" x14ac:dyDescent="0.2">
      <c r="A71" t="s">
        <v>108</v>
      </c>
      <c r="B71" t="s">
        <v>11</v>
      </c>
      <c r="C71" t="s">
        <v>12</v>
      </c>
      <c r="D71" s="2">
        <v>45347</v>
      </c>
      <c r="E71">
        <f t="shared" si="1"/>
        <v>70</v>
      </c>
    </row>
    <row r="72" spans="1:5" x14ac:dyDescent="0.2">
      <c r="A72" t="s">
        <v>99</v>
      </c>
      <c r="B72" t="s">
        <v>11</v>
      </c>
      <c r="C72" t="s">
        <v>12</v>
      </c>
      <c r="D72" s="2">
        <v>45349</v>
      </c>
      <c r="E72">
        <f t="shared" si="1"/>
        <v>71</v>
      </c>
    </row>
    <row r="73" spans="1:5" x14ac:dyDescent="0.2">
      <c r="A73" t="s">
        <v>112</v>
      </c>
      <c r="B73" t="s">
        <v>11</v>
      </c>
      <c r="C73" t="s">
        <v>12</v>
      </c>
      <c r="D73" s="2">
        <v>45349</v>
      </c>
      <c r="E73">
        <f t="shared" si="1"/>
        <v>72</v>
      </c>
    </row>
    <row r="74" spans="1:5" x14ac:dyDescent="0.2">
      <c r="A74" t="s">
        <v>80</v>
      </c>
      <c r="B74" t="s">
        <v>11</v>
      </c>
      <c r="C74" t="s">
        <v>12</v>
      </c>
      <c r="D74" s="2">
        <v>45351</v>
      </c>
      <c r="E74">
        <f t="shared" si="1"/>
        <v>73</v>
      </c>
    </row>
    <row r="75" spans="1:5" x14ac:dyDescent="0.2">
      <c r="A75" t="s">
        <v>115</v>
      </c>
      <c r="B75" t="s">
        <v>11</v>
      </c>
      <c r="C75" t="s">
        <v>12</v>
      </c>
      <c r="D75" s="2">
        <v>45351</v>
      </c>
      <c r="E75">
        <f t="shared" si="1"/>
        <v>74</v>
      </c>
    </row>
    <row r="76" spans="1:5" x14ac:dyDescent="0.2">
      <c r="A76" t="s">
        <v>124</v>
      </c>
      <c r="B76" t="s">
        <v>11</v>
      </c>
      <c r="C76" t="s">
        <v>12</v>
      </c>
      <c r="D76" s="2">
        <v>45351</v>
      </c>
      <c r="E76">
        <f t="shared" si="1"/>
        <v>75</v>
      </c>
    </row>
    <row r="77" spans="1:5" x14ac:dyDescent="0.2">
      <c r="A77" t="s">
        <v>74</v>
      </c>
      <c r="B77" t="s">
        <v>11</v>
      </c>
      <c r="C77" t="s">
        <v>12</v>
      </c>
      <c r="D77" s="2">
        <v>45352</v>
      </c>
      <c r="E77">
        <f t="shared" si="1"/>
        <v>76</v>
      </c>
    </row>
    <row r="78" spans="1:5" x14ac:dyDescent="0.2">
      <c r="A78" t="s">
        <v>78</v>
      </c>
      <c r="B78" t="s">
        <v>11</v>
      </c>
      <c r="C78" t="s">
        <v>12</v>
      </c>
      <c r="D78" s="2">
        <v>45353</v>
      </c>
      <c r="E78">
        <f t="shared" si="1"/>
        <v>77</v>
      </c>
    </row>
    <row r="79" spans="1:5" x14ac:dyDescent="0.2">
      <c r="A79" t="s">
        <v>104</v>
      </c>
      <c r="B79" t="s">
        <v>11</v>
      </c>
      <c r="C79" t="s">
        <v>12</v>
      </c>
      <c r="D79" s="2">
        <v>45353</v>
      </c>
      <c r="E79">
        <f t="shared" si="1"/>
        <v>78</v>
      </c>
    </row>
    <row r="80" spans="1:5" x14ac:dyDescent="0.2">
      <c r="A80" t="s">
        <v>109</v>
      </c>
      <c r="B80" t="s">
        <v>11</v>
      </c>
      <c r="C80" t="s">
        <v>12</v>
      </c>
      <c r="D80" s="2">
        <v>45354</v>
      </c>
      <c r="E80">
        <f t="shared" si="1"/>
        <v>79</v>
      </c>
    </row>
    <row r="81" spans="1:5" x14ac:dyDescent="0.2">
      <c r="A81" t="s">
        <v>138</v>
      </c>
      <c r="B81" t="s">
        <v>11</v>
      </c>
      <c r="C81" t="s">
        <v>12</v>
      </c>
      <c r="D81" s="2">
        <v>45355</v>
      </c>
      <c r="E81">
        <f t="shared" si="1"/>
        <v>80</v>
      </c>
    </row>
    <row r="82" spans="1:5" x14ac:dyDescent="0.2">
      <c r="A82" t="s">
        <v>139</v>
      </c>
      <c r="B82" t="s">
        <v>11</v>
      </c>
      <c r="C82" t="s">
        <v>12</v>
      </c>
      <c r="D82" s="2">
        <v>45355</v>
      </c>
      <c r="E82">
        <f t="shared" si="1"/>
        <v>81</v>
      </c>
    </row>
    <row r="83" spans="1:5" x14ac:dyDescent="0.2">
      <c r="A83" t="s">
        <v>68</v>
      </c>
      <c r="B83" t="s">
        <v>11</v>
      </c>
      <c r="C83" t="s">
        <v>12</v>
      </c>
      <c r="D83" s="2">
        <v>45356</v>
      </c>
      <c r="E83">
        <f t="shared" si="1"/>
        <v>82</v>
      </c>
    </row>
    <row r="84" spans="1:5" x14ac:dyDescent="0.2">
      <c r="A84" t="s">
        <v>65</v>
      </c>
      <c r="B84" t="s">
        <v>11</v>
      </c>
      <c r="C84" t="s">
        <v>12</v>
      </c>
      <c r="D84" s="2">
        <v>45357</v>
      </c>
      <c r="E84">
        <f t="shared" si="1"/>
        <v>83</v>
      </c>
    </row>
    <row r="85" spans="1:5" x14ac:dyDescent="0.2">
      <c r="A85" t="s">
        <v>91</v>
      </c>
      <c r="B85" t="s">
        <v>11</v>
      </c>
      <c r="C85" t="s">
        <v>12</v>
      </c>
      <c r="D85" s="2">
        <v>45357</v>
      </c>
      <c r="E85">
        <f t="shared" si="1"/>
        <v>84</v>
      </c>
    </row>
    <row r="86" spans="1:5" x14ac:dyDescent="0.2">
      <c r="A86" t="s">
        <v>93</v>
      </c>
      <c r="B86" t="s">
        <v>11</v>
      </c>
      <c r="C86" t="s">
        <v>12</v>
      </c>
      <c r="D86" s="2">
        <v>45358</v>
      </c>
      <c r="E86">
        <f t="shared" si="1"/>
        <v>85</v>
      </c>
    </row>
    <row r="87" spans="1:5" x14ac:dyDescent="0.2">
      <c r="A87" t="s">
        <v>97</v>
      </c>
      <c r="B87" t="s">
        <v>11</v>
      </c>
      <c r="C87" t="s">
        <v>12</v>
      </c>
      <c r="D87" s="2">
        <v>45358</v>
      </c>
      <c r="E87">
        <f t="shared" si="1"/>
        <v>86</v>
      </c>
    </row>
    <row r="88" spans="1:5" x14ac:dyDescent="0.2">
      <c r="A88" t="s">
        <v>110</v>
      </c>
      <c r="B88" t="s">
        <v>11</v>
      </c>
      <c r="C88" t="s">
        <v>12</v>
      </c>
      <c r="D88" s="2">
        <v>45358</v>
      </c>
      <c r="E88">
        <f t="shared" si="1"/>
        <v>87</v>
      </c>
    </row>
    <row r="89" spans="1:5" x14ac:dyDescent="0.2">
      <c r="A89" t="s">
        <v>140</v>
      </c>
      <c r="B89" t="s">
        <v>11</v>
      </c>
      <c r="C89" t="s">
        <v>12</v>
      </c>
      <c r="D89" s="2">
        <v>45359</v>
      </c>
      <c r="E89">
        <f t="shared" si="1"/>
        <v>88</v>
      </c>
    </row>
    <row r="90" spans="1:5" x14ac:dyDescent="0.2">
      <c r="A90" t="s">
        <v>160</v>
      </c>
      <c r="B90" t="s">
        <v>11</v>
      </c>
      <c r="C90" t="s">
        <v>12</v>
      </c>
      <c r="D90" s="2">
        <v>45359</v>
      </c>
      <c r="E90">
        <f t="shared" si="1"/>
        <v>89</v>
      </c>
    </row>
    <row r="91" spans="1:5" x14ac:dyDescent="0.2">
      <c r="A91" t="s">
        <v>85</v>
      </c>
      <c r="B91" t="s">
        <v>11</v>
      </c>
      <c r="C91" t="s">
        <v>12</v>
      </c>
      <c r="D91" s="2">
        <v>45360</v>
      </c>
      <c r="E91">
        <f t="shared" si="1"/>
        <v>90</v>
      </c>
    </row>
    <row r="92" spans="1:5" x14ac:dyDescent="0.2">
      <c r="A92" t="s">
        <v>106</v>
      </c>
      <c r="B92" t="s">
        <v>11</v>
      </c>
      <c r="C92" t="s">
        <v>12</v>
      </c>
      <c r="D92" s="2">
        <v>45360</v>
      </c>
      <c r="E92">
        <f t="shared" si="1"/>
        <v>91</v>
      </c>
    </row>
    <row r="93" spans="1:5" x14ac:dyDescent="0.2">
      <c r="A93" t="s">
        <v>72</v>
      </c>
      <c r="B93" t="s">
        <v>11</v>
      </c>
      <c r="C93" t="s">
        <v>12</v>
      </c>
      <c r="D93" s="2">
        <v>45361</v>
      </c>
      <c r="E93">
        <f t="shared" si="1"/>
        <v>92</v>
      </c>
    </row>
    <row r="94" spans="1:5" x14ac:dyDescent="0.2">
      <c r="A94" t="s">
        <v>84</v>
      </c>
      <c r="B94" t="s">
        <v>11</v>
      </c>
      <c r="C94" t="s">
        <v>12</v>
      </c>
      <c r="D94" s="2">
        <v>45361</v>
      </c>
      <c r="E94">
        <f t="shared" si="1"/>
        <v>93</v>
      </c>
    </row>
    <row r="95" spans="1:5" x14ac:dyDescent="0.2">
      <c r="A95" t="s">
        <v>126</v>
      </c>
      <c r="B95" t="s">
        <v>11</v>
      </c>
      <c r="C95" t="s">
        <v>12</v>
      </c>
      <c r="D95" s="2">
        <v>45361</v>
      </c>
      <c r="E95">
        <f t="shared" si="1"/>
        <v>94</v>
      </c>
    </row>
    <row r="96" spans="1:5" x14ac:dyDescent="0.2">
      <c r="A96" t="s">
        <v>143</v>
      </c>
      <c r="B96" t="s">
        <v>11</v>
      </c>
      <c r="C96" t="s">
        <v>12</v>
      </c>
      <c r="D96" s="2">
        <v>45361</v>
      </c>
      <c r="E96">
        <f t="shared" si="1"/>
        <v>95</v>
      </c>
    </row>
    <row r="97" spans="1:5" x14ac:dyDescent="0.2">
      <c r="A97" t="s">
        <v>147</v>
      </c>
      <c r="B97" t="s">
        <v>11</v>
      </c>
      <c r="C97" t="s">
        <v>12</v>
      </c>
      <c r="D97" s="2">
        <v>45362</v>
      </c>
      <c r="E97">
        <f t="shared" si="1"/>
        <v>96</v>
      </c>
    </row>
    <row r="98" spans="1:5" x14ac:dyDescent="0.2">
      <c r="A98" t="s">
        <v>107</v>
      </c>
      <c r="B98" t="s">
        <v>11</v>
      </c>
      <c r="C98" t="s">
        <v>12</v>
      </c>
      <c r="D98" s="2">
        <v>45363</v>
      </c>
      <c r="E98">
        <f t="shared" si="1"/>
        <v>97</v>
      </c>
    </row>
    <row r="99" spans="1:5" x14ac:dyDescent="0.2">
      <c r="A99" t="s">
        <v>136</v>
      </c>
      <c r="B99" t="s">
        <v>11</v>
      </c>
      <c r="C99" t="s">
        <v>12</v>
      </c>
      <c r="D99" s="2">
        <v>45363</v>
      </c>
      <c r="E99">
        <f t="shared" si="1"/>
        <v>98</v>
      </c>
    </row>
    <row r="100" spans="1:5" x14ac:dyDescent="0.2">
      <c r="A100" t="s">
        <v>151</v>
      </c>
      <c r="B100" t="s">
        <v>11</v>
      </c>
      <c r="C100" t="s">
        <v>12</v>
      </c>
      <c r="D100" s="2">
        <v>45363</v>
      </c>
      <c r="E100">
        <f t="shared" si="1"/>
        <v>99</v>
      </c>
    </row>
    <row r="101" spans="1:5" x14ac:dyDescent="0.2">
      <c r="A101" t="s">
        <v>166</v>
      </c>
      <c r="B101" t="s">
        <v>11</v>
      </c>
      <c r="C101" t="s">
        <v>12</v>
      </c>
      <c r="D101" s="2">
        <v>45363</v>
      </c>
      <c r="E101">
        <f t="shared" si="1"/>
        <v>100</v>
      </c>
    </row>
    <row r="102" spans="1:5" x14ac:dyDescent="0.2">
      <c r="A102" t="s">
        <v>132</v>
      </c>
      <c r="B102" t="s">
        <v>11</v>
      </c>
      <c r="C102" t="s">
        <v>12</v>
      </c>
      <c r="D102" s="2">
        <v>45364</v>
      </c>
      <c r="E102">
        <f t="shared" si="1"/>
        <v>101</v>
      </c>
    </row>
    <row r="103" spans="1:5" x14ac:dyDescent="0.2">
      <c r="A103" t="s">
        <v>87</v>
      </c>
      <c r="B103" t="s">
        <v>11</v>
      </c>
      <c r="C103" t="s">
        <v>12</v>
      </c>
      <c r="D103" s="2">
        <v>45365</v>
      </c>
      <c r="E103">
        <f t="shared" si="1"/>
        <v>102</v>
      </c>
    </row>
    <row r="104" spans="1:5" x14ac:dyDescent="0.2">
      <c r="A104" t="s">
        <v>103</v>
      </c>
      <c r="B104" t="s">
        <v>11</v>
      </c>
      <c r="C104" t="s">
        <v>12</v>
      </c>
      <c r="D104" s="2">
        <v>45365</v>
      </c>
      <c r="E104">
        <f t="shared" si="1"/>
        <v>103</v>
      </c>
    </row>
    <row r="105" spans="1:5" x14ac:dyDescent="0.2">
      <c r="A105" t="s">
        <v>144</v>
      </c>
      <c r="B105" t="s">
        <v>11</v>
      </c>
      <c r="C105" t="s">
        <v>12</v>
      </c>
      <c r="D105" s="2">
        <v>45365</v>
      </c>
      <c r="E105">
        <f t="shared" si="1"/>
        <v>104</v>
      </c>
    </row>
    <row r="106" spans="1:5" x14ac:dyDescent="0.2">
      <c r="A106" t="s">
        <v>156</v>
      </c>
      <c r="B106" t="s">
        <v>11</v>
      </c>
      <c r="C106" t="s">
        <v>12</v>
      </c>
      <c r="D106" s="2">
        <v>45365</v>
      </c>
      <c r="E106">
        <f t="shared" si="1"/>
        <v>105</v>
      </c>
    </row>
    <row r="107" spans="1:5" x14ac:dyDescent="0.2">
      <c r="A107" t="s">
        <v>158</v>
      </c>
      <c r="B107" t="s">
        <v>11</v>
      </c>
      <c r="C107" t="s">
        <v>12</v>
      </c>
      <c r="D107" s="2">
        <v>45365</v>
      </c>
      <c r="E107">
        <f t="shared" si="1"/>
        <v>106</v>
      </c>
    </row>
    <row r="108" spans="1:5" x14ac:dyDescent="0.2">
      <c r="A108" t="s">
        <v>174</v>
      </c>
      <c r="B108" t="s">
        <v>11</v>
      </c>
      <c r="C108" t="s">
        <v>12</v>
      </c>
      <c r="D108" s="2">
        <v>45365</v>
      </c>
      <c r="E108">
        <f t="shared" si="1"/>
        <v>107</v>
      </c>
    </row>
    <row r="109" spans="1:5" x14ac:dyDescent="0.2">
      <c r="A109" t="s">
        <v>90</v>
      </c>
      <c r="B109" t="s">
        <v>11</v>
      </c>
      <c r="C109" t="s">
        <v>12</v>
      </c>
      <c r="D109" s="2">
        <v>45366</v>
      </c>
      <c r="E109">
        <f t="shared" si="1"/>
        <v>108</v>
      </c>
    </row>
    <row r="110" spans="1:5" x14ac:dyDescent="0.2">
      <c r="A110" t="s">
        <v>96</v>
      </c>
      <c r="B110" t="s">
        <v>11</v>
      </c>
      <c r="C110" t="s">
        <v>12</v>
      </c>
      <c r="D110" s="2">
        <v>45366</v>
      </c>
      <c r="E110">
        <f t="shared" si="1"/>
        <v>109</v>
      </c>
    </row>
    <row r="111" spans="1:5" x14ac:dyDescent="0.2">
      <c r="A111" t="s">
        <v>142</v>
      </c>
      <c r="B111" t="s">
        <v>11</v>
      </c>
      <c r="C111" t="s">
        <v>12</v>
      </c>
      <c r="D111" s="2">
        <v>45367</v>
      </c>
      <c r="E111">
        <f t="shared" si="1"/>
        <v>110</v>
      </c>
    </row>
    <row r="112" spans="1:5" x14ac:dyDescent="0.2">
      <c r="A112" t="s">
        <v>176</v>
      </c>
      <c r="B112" t="s">
        <v>11</v>
      </c>
      <c r="C112" t="s">
        <v>12</v>
      </c>
      <c r="D112" s="2">
        <v>45367</v>
      </c>
      <c r="E112">
        <f t="shared" si="1"/>
        <v>111</v>
      </c>
    </row>
    <row r="113" spans="1:5" x14ac:dyDescent="0.2">
      <c r="A113" t="s">
        <v>98</v>
      </c>
      <c r="B113" t="s">
        <v>11</v>
      </c>
      <c r="C113" t="s">
        <v>12</v>
      </c>
      <c r="D113" s="2">
        <v>45368</v>
      </c>
      <c r="E113">
        <f t="shared" si="1"/>
        <v>112</v>
      </c>
    </row>
    <row r="114" spans="1:5" x14ac:dyDescent="0.2">
      <c r="A114" t="s">
        <v>131</v>
      </c>
      <c r="B114" t="s">
        <v>11</v>
      </c>
      <c r="C114" t="s">
        <v>12</v>
      </c>
      <c r="D114" s="2">
        <v>45368</v>
      </c>
      <c r="E114">
        <f t="shared" si="1"/>
        <v>113</v>
      </c>
    </row>
    <row r="115" spans="1:5" x14ac:dyDescent="0.2">
      <c r="A115" t="s">
        <v>149</v>
      </c>
      <c r="B115" t="s">
        <v>11</v>
      </c>
      <c r="C115" t="s">
        <v>12</v>
      </c>
      <c r="D115" s="2">
        <v>45368</v>
      </c>
      <c r="E115">
        <f t="shared" si="1"/>
        <v>114</v>
      </c>
    </row>
    <row r="116" spans="1:5" x14ac:dyDescent="0.2">
      <c r="A116" t="s">
        <v>157</v>
      </c>
      <c r="B116" t="s">
        <v>11</v>
      </c>
      <c r="C116" t="s">
        <v>12</v>
      </c>
      <c r="D116" s="2">
        <v>45368</v>
      </c>
      <c r="E116">
        <f t="shared" si="1"/>
        <v>115</v>
      </c>
    </row>
    <row r="117" spans="1:5" x14ac:dyDescent="0.2">
      <c r="A117" t="s">
        <v>162</v>
      </c>
      <c r="B117" t="s">
        <v>5</v>
      </c>
      <c r="C117" t="s">
        <v>6</v>
      </c>
      <c r="D117" s="2">
        <v>45368</v>
      </c>
      <c r="E117">
        <f t="shared" si="1"/>
        <v>116</v>
      </c>
    </row>
    <row r="118" spans="1:5" x14ac:dyDescent="0.2">
      <c r="A118" t="s">
        <v>82</v>
      </c>
      <c r="B118" t="s">
        <v>11</v>
      </c>
      <c r="C118" t="s">
        <v>12</v>
      </c>
      <c r="D118" s="2">
        <v>45369</v>
      </c>
      <c r="E118">
        <f t="shared" si="1"/>
        <v>117</v>
      </c>
    </row>
    <row r="119" spans="1:5" x14ac:dyDescent="0.2">
      <c r="A119" t="s">
        <v>105</v>
      </c>
      <c r="B119" t="s">
        <v>11</v>
      </c>
      <c r="C119" t="s">
        <v>12</v>
      </c>
      <c r="D119" s="2">
        <v>45369</v>
      </c>
      <c r="E119">
        <f t="shared" si="1"/>
        <v>118</v>
      </c>
    </row>
    <row r="120" spans="1:5" x14ac:dyDescent="0.2">
      <c r="A120" t="s">
        <v>178</v>
      </c>
      <c r="B120" t="s">
        <v>11</v>
      </c>
      <c r="C120" t="s">
        <v>12</v>
      </c>
      <c r="D120" s="2">
        <v>45369</v>
      </c>
      <c r="E120">
        <f t="shared" si="1"/>
        <v>119</v>
      </c>
    </row>
    <row r="121" spans="1:5" x14ac:dyDescent="0.2">
      <c r="A121" t="s">
        <v>121</v>
      </c>
      <c r="B121" t="s">
        <v>11</v>
      </c>
      <c r="C121" t="s">
        <v>12</v>
      </c>
      <c r="D121" s="2">
        <v>45370</v>
      </c>
      <c r="E121">
        <f t="shared" si="1"/>
        <v>120</v>
      </c>
    </row>
    <row r="122" spans="1:5" x14ac:dyDescent="0.2">
      <c r="A122" t="s">
        <v>146</v>
      </c>
      <c r="B122" t="s">
        <v>11</v>
      </c>
      <c r="C122" t="s">
        <v>12</v>
      </c>
      <c r="D122" s="2">
        <v>45370</v>
      </c>
      <c r="E122">
        <f t="shared" si="1"/>
        <v>121</v>
      </c>
    </row>
    <row r="123" spans="1:5" x14ac:dyDescent="0.2">
      <c r="A123" t="s">
        <v>182</v>
      </c>
      <c r="B123" t="s">
        <v>11</v>
      </c>
      <c r="C123" t="s">
        <v>12</v>
      </c>
      <c r="D123" s="2">
        <v>45370</v>
      </c>
      <c r="E123">
        <f t="shared" si="1"/>
        <v>122</v>
      </c>
    </row>
    <row r="124" spans="1:5" x14ac:dyDescent="0.2">
      <c r="A124" t="s">
        <v>118</v>
      </c>
      <c r="B124" t="s">
        <v>11</v>
      </c>
      <c r="C124" t="s">
        <v>12</v>
      </c>
      <c r="D124" s="2">
        <v>45371</v>
      </c>
      <c r="E124">
        <f t="shared" si="1"/>
        <v>123</v>
      </c>
    </row>
    <row r="125" spans="1:5" x14ac:dyDescent="0.2">
      <c r="A125" t="s">
        <v>129</v>
      </c>
      <c r="B125" t="s">
        <v>11</v>
      </c>
      <c r="C125" t="s">
        <v>12</v>
      </c>
      <c r="D125" s="2">
        <v>45371</v>
      </c>
      <c r="E125">
        <f t="shared" si="1"/>
        <v>124</v>
      </c>
    </row>
    <row r="126" spans="1:5" x14ac:dyDescent="0.2">
      <c r="A126" t="s">
        <v>167</v>
      </c>
      <c r="B126" t="s">
        <v>11</v>
      </c>
      <c r="C126" t="s">
        <v>12</v>
      </c>
      <c r="D126" s="2">
        <v>45371</v>
      </c>
      <c r="E126">
        <f t="shared" si="1"/>
        <v>125</v>
      </c>
    </row>
    <row r="127" spans="1:5" x14ac:dyDescent="0.2">
      <c r="A127" t="s">
        <v>125</v>
      </c>
      <c r="B127" t="s">
        <v>11</v>
      </c>
      <c r="C127" t="s">
        <v>12</v>
      </c>
      <c r="D127" s="2">
        <v>45372</v>
      </c>
      <c r="E127">
        <f t="shared" si="1"/>
        <v>126</v>
      </c>
    </row>
    <row r="128" spans="1:5" x14ac:dyDescent="0.2">
      <c r="A128" t="s">
        <v>154</v>
      </c>
      <c r="B128" t="s">
        <v>11</v>
      </c>
      <c r="C128" t="s">
        <v>12</v>
      </c>
      <c r="D128" s="2">
        <v>45372</v>
      </c>
      <c r="E128">
        <f t="shared" si="1"/>
        <v>127</v>
      </c>
    </row>
    <row r="129" spans="1:5" x14ac:dyDescent="0.2">
      <c r="A129" t="s">
        <v>164</v>
      </c>
      <c r="B129" t="s">
        <v>11</v>
      </c>
      <c r="C129" t="s">
        <v>12</v>
      </c>
      <c r="D129" s="2">
        <v>45372</v>
      </c>
      <c r="E129">
        <f t="shared" si="1"/>
        <v>128</v>
      </c>
    </row>
    <row r="130" spans="1:5" x14ac:dyDescent="0.2">
      <c r="A130" t="s">
        <v>122</v>
      </c>
      <c r="B130" t="s">
        <v>11</v>
      </c>
      <c r="C130" t="s">
        <v>12</v>
      </c>
      <c r="D130" s="2">
        <v>45373</v>
      </c>
      <c r="E130">
        <f t="shared" si="1"/>
        <v>129</v>
      </c>
    </row>
    <row r="131" spans="1:5" x14ac:dyDescent="0.2">
      <c r="A131" t="s">
        <v>188</v>
      </c>
      <c r="B131" t="s">
        <v>11</v>
      </c>
      <c r="C131" t="s">
        <v>12</v>
      </c>
      <c r="D131" s="2">
        <v>45373</v>
      </c>
      <c r="E131">
        <f t="shared" si="1"/>
        <v>130</v>
      </c>
    </row>
    <row r="132" spans="1:5" x14ac:dyDescent="0.2">
      <c r="A132" t="s">
        <v>102</v>
      </c>
      <c r="B132" t="s">
        <v>11</v>
      </c>
      <c r="C132" t="s">
        <v>12</v>
      </c>
      <c r="D132" s="2">
        <v>45374</v>
      </c>
      <c r="E132">
        <f t="shared" ref="E132:E195" si="2">E131+1</f>
        <v>131</v>
      </c>
    </row>
    <row r="133" spans="1:5" x14ac:dyDescent="0.2">
      <c r="A133" t="s">
        <v>137</v>
      </c>
      <c r="B133" t="s">
        <v>11</v>
      </c>
      <c r="C133" t="s">
        <v>12</v>
      </c>
      <c r="D133" s="2">
        <v>45374</v>
      </c>
      <c r="E133">
        <f t="shared" si="2"/>
        <v>132</v>
      </c>
    </row>
    <row r="134" spans="1:5" x14ac:dyDescent="0.2">
      <c r="A134" t="s">
        <v>169</v>
      </c>
      <c r="B134" t="s">
        <v>11</v>
      </c>
      <c r="C134" t="s">
        <v>12</v>
      </c>
      <c r="D134" s="2">
        <v>45375</v>
      </c>
      <c r="E134">
        <f t="shared" si="2"/>
        <v>133</v>
      </c>
    </row>
    <row r="135" spans="1:5" x14ac:dyDescent="0.2">
      <c r="A135" t="s">
        <v>172</v>
      </c>
      <c r="B135" t="s">
        <v>11</v>
      </c>
      <c r="C135" t="s">
        <v>12</v>
      </c>
      <c r="D135" s="2">
        <v>45376</v>
      </c>
      <c r="E135">
        <f t="shared" si="2"/>
        <v>134</v>
      </c>
    </row>
    <row r="136" spans="1:5" x14ac:dyDescent="0.2">
      <c r="A136" t="s">
        <v>165</v>
      </c>
      <c r="B136" t="s">
        <v>11</v>
      </c>
      <c r="C136" t="s">
        <v>12</v>
      </c>
      <c r="D136" s="2">
        <v>45377</v>
      </c>
      <c r="E136">
        <f t="shared" si="2"/>
        <v>135</v>
      </c>
    </row>
    <row r="137" spans="1:5" x14ac:dyDescent="0.2">
      <c r="A137" t="s">
        <v>170</v>
      </c>
      <c r="B137" t="s">
        <v>11</v>
      </c>
      <c r="C137" t="s">
        <v>12</v>
      </c>
      <c r="D137" s="2">
        <v>45377</v>
      </c>
      <c r="E137">
        <f t="shared" si="2"/>
        <v>136</v>
      </c>
    </row>
    <row r="138" spans="1:5" x14ac:dyDescent="0.2">
      <c r="A138" t="s">
        <v>184</v>
      </c>
      <c r="B138" t="s">
        <v>11</v>
      </c>
      <c r="C138" t="s">
        <v>12</v>
      </c>
      <c r="D138" s="2">
        <v>45377</v>
      </c>
      <c r="E138">
        <f t="shared" si="2"/>
        <v>137</v>
      </c>
    </row>
    <row r="139" spans="1:5" x14ac:dyDescent="0.2">
      <c r="A139" t="s">
        <v>69</v>
      </c>
      <c r="B139" t="s">
        <v>11</v>
      </c>
      <c r="C139" t="s">
        <v>12</v>
      </c>
      <c r="D139" s="2">
        <v>45378</v>
      </c>
      <c r="E139">
        <f t="shared" si="2"/>
        <v>138</v>
      </c>
    </row>
    <row r="140" spans="1:5" x14ac:dyDescent="0.2">
      <c r="A140" t="s">
        <v>77</v>
      </c>
      <c r="B140" t="s">
        <v>11</v>
      </c>
      <c r="C140" t="s">
        <v>12</v>
      </c>
      <c r="D140" s="2">
        <v>45378</v>
      </c>
      <c r="E140">
        <f t="shared" si="2"/>
        <v>139</v>
      </c>
    </row>
    <row r="141" spans="1:5" x14ac:dyDescent="0.2">
      <c r="A141" t="s">
        <v>175</v>
      </c>
      <c r="B141" t="s">
        <v>11</v>
      </c>
      <c r="C141" t="s">
        <v>12</v>
      </c>
      <c r="D141" s="2">
        <v>45378</v>
      </c>
      <c r="E141">
        <f t="shared" si="2"/>
        <v>140</v>
      </c>
    </row>
    <row r="142" spans="1:5" x14ac:dyDescent="0.2">
      <c r="A142" t="s">
        <v>196</v>
      </c>
      <c r="B142" t="s">
        <v>11</v>
      </c>
      <c r="C142" t="s">
        <v>12</v>
      </c>
      <c r="D142" s="2">
        <v>45379</v>
      </c>
      <c r="E142">
        <f t="shared" si="2"/>
        <v>141</v>
      </c>
    </row>
    <row r="143" spans="1:5" x14ac:dyDescent="0.2">
      <c r="A143" t="s">
        <v>206</v>
      </c>
      <c r="B143" t="s">
        <v>11</v>
      </c>
      <c r="C143" t="s">
        <v>12</v>
      </c>
      <c r="D143" s="2">
        <v>45379</v>
      </c>
      <c r="E143">
        <f t="shared" si="2"/>
        <v>142</v>
      </c>
    </row>
    <row r="144" spans="1:5" x14ac:dyDescent="0.2">
      <c r="A144" t="s">
        <v>168</v>
      </c>
      <c r="B144" t="s">
        <v>11</v>
      </c>
      <c r="C144" t="s">
        <v>12</v>
      </c>
      <c r="D144" s="2">
        <v>45380</v>
      </c>
      <c r="E144">
        <f t="shared" si="2"/>
        <v>143</v>
      </c>
    </row>
    <row r="145" spans="1:5" x14ac:dyDescent="0.2">
      <c r="A145" t="s">
        <v>81</v>
      </c>
      <c r="B145" t="s">
        <v>11</v>
      </c>
      <c r="C145" t="s">
        <v>12</v>
      </c>
      <c r="D145" s="2">
        <v>45381</v>
      </c>
      <c r="E145">
        <f t="shared" si="2"/>
        <v>144</v>
      </c>
    </row>
    <row r="146" spans="1:5" x14ac:dyDescent="0.2">
      <c r="A146" t="s">
        <v>130</v>
      </c>
      <c r="B146" t="s">
        <v>11</v>
      </c>
      <c r="C146" t="s">
        <v>12</v>
      </c>
      <c r="D146" s="2">
        <v>45381</v>
      </c>
      <c r="E146">
        <f t="shared" si="2"/>
        <v>145</v>
      </c>
    </row>
    <row r="147" spans="1:5" x14ac:dyDescent="0.2">
      <c r="A147" t="s">
        <v>141</v>
      </c>
      <c r="B147" t="s">
        <v>11</v>
      </c>
      <c r="C147" t="s">
        <v>12</v>
      </c>
      <c r="D147" s="2">
        <v>45381</v>
      </c>
      <c r="E147">
        <f t="shared" si="2"/>
        <v>146</v>
      </c>
    </row>
    <row r="148" spans="1:5" x14ac:dyDescent="0.2">
      <c r="A148" t="s">
        <v>116</v>
      </c>
      <c r="B148" t="s">
        <v>11</v>
      </c>
      <c r="C148" t="s">
        <v>12</v>
      </c>
      <c r="D148" s="2">
        <v>45382</v>
      </c>
      <c r="E148">
        <f t="shared" si="2"/>
        <v>147</v>
      </c>
    </row>
    <row r="149" spans="1:5" x14ac:dyDescent="0.2">
      <c r="A149" t="s">
        <v>117</v>
      </c>
      <c r="B149" t="s">
        <v>9</v>
      </c>
      <c r="C149" t="s">
        <v>10</v>
      </c>
      <c r="D149" s="2">
        <v>45383</v>
      </c>
      <c r="E149">
        <f t="shared" si="2"/>
        <v>148</v>
      </c>
    </row>
    <row r="150" spans="1:5" x14ac:dyDescent="0.2">
      <c r="A150" t="s">
        <v>150</v>
      </c>
      <c r="B150" t="s">
        <v>11</v>
      </c>
      <c r="C150" t="s">
        <v>12</v>
      </c>
      <c r="D150" s="2">
        <v>45383</v>
      </c>
      <c r="E150">
        <f t="shared" si="2"/>
        <v>149</v>
      </c>
    </row>
    <row r="151" spans="1:5" x14ac:dyDescent="0.2">
      <c r="A151" t="s">
        <v>223</v>
      </c>
      <c r="B151" t="s">
        <v>11</v>
      </c>
      <c r="C151" t="s">
        <v>12</v>
      </c>
      <c r="D151" s="2">
        <v>45384</v>
      </c>
      <c r="E151">
        <f t="shared" si="2"/>
        <v>150</v>
      </c>
    </row>
    <row r="152" spans="1:5" x14ac:dyDescent="0.2">
      <c r="A152" t="s">
        <v>145</v>
      </c>
      <c r="B152" t="s">
        <v>11</v>
      </c>
      <c r="C152" t="s">
        <v>12</v>
      </c>
      <c r="D152" s="2">
        <v>45385</v>
      </c>
      <c r="E152">
        <f t="shared" si="2"/>
        <v>151</v>
      </c>
    </row>
    <row r="153" spans="1:5" x14ac:dyDescent="0.2">
      <c r="A153" t="s">
        <v>199</v>
      </c>
      <c r="B153" t="s">
        <v>11</v>
      </c>
      <c r="C153" t="s">
        <v>12</v>
      </c>
      <c r="D153" s="2">
        <v>45385</v>
      </c>
      <c r="E153">
        <f t="shared" si="2"/>
        <v>152</v>
      </c>
    </row>
    <row r="154" spans="1:5" x14ac:dyDescent="0.2">
      <c r="A154" t="s">
        <v>203</v>
      </c>
      <c r="B154" t="s">
        <v>11</v>
      </c>
      <c r="C154" t="s">
        <v>12</v>
      </c>
      <c r="D154" s="2">
        <v>45385</v>
      </c>
      <c r="E154">
        <f t="shared" si="2"/>
        <v>153</v>
      </c>
    </row>
    <row r="155" spans="1:5" x14ac:dyDescent="0.2">
      <c r="A155" t="s">
        <v>219</v>
      </c>
      <c r="B155" t="s">
        <v>11</v>
      </c>
      <c r="C155" t="s">
        <v>12</v>
      </c>
      <c r="D155" s="2">
        <v>45385</v>
      </c>
      <c r="E155">
        <f t="shared" si="2"/>
        <v>154</v>
      </c>
    </row>
    <row r="156" spans="1:5" x14ac:dyDescent="0.2">
      <c r="A156" t="s">
        <v>128</v>
      </c>
      <c r="B156" t="s">
        <v>11</v>
      </c>
      <c r="C156" t="s">
        <v>12</v>
      </c>
      <c r="D156" s="2">
        <v>45386</v>
      </c>
      <c r="E156">
        <f t="shared" si="2"/>
        <v>155</v>
      </c>
    </row>
    <row r="157" spans="1:5" x14ac:dyDescent="0.2">
      <c r="A157" t="s">
        <v>134</v>
      </c>
      <c r="B157" t="s">
        <v>11</v>
      </c>
      <c r="C157" t="s">
        <v>12</v>
      </c>
      <c r="D157" s="2">
        <v>45386</v>
      </c>
      <c r="E157">
        <f t="shared" si="2"/>
        <v>156</v>
      </c>
    </row>
    <row r="158" spans="1:5" x14ac:dyDescent="0.2">
      <c r="A158" t="s">
        <v>159</v>
      </c>
      <c r="B158" t="s">
        <v>11</v>
      </c>
      <c r="C158" t="s">
        <v>12</v>
      </c>
      <c r="D158" s="2">
        <v>45387</v>
      </c>
      <c r="E158">
        <f t="shared" si="2"/>
        <v>157</v>
      </c>
    </row>
    <row r="159" spans="1:5" x14ac:dyDescent="0.2">
      <c r="A159" t="s">
        <v>173</v>
      </c>
      <c r="B159" t="s">
        <v>11</v>
      </c>
      <c r="C159" t="s">
        <v>12</v>
      </c>
      <c r="D159" s="2">
        <v>45387</v>
      </c>
      <c r="E159">
        <f t="shared" si="2"/>
        <v>158</v>
      </c>
    </row>
    <row r="160" spans="1:5" x14ac:dyDescent="0.2">
      <c r="A160" t="s">
        <v>180</v>
      </c>
      <c r="B160" t="s">
        <v>11</v>
      </c>
      <c r="C160" t="s">
        <v>12</v>
      </c>
      <c r="D160" s="2">
        <v>45387</v>
      </c>
      <c r="E160">
        <f t="shared" si="2"/>
        <v>159</v>
      </c>
    </row>
    <row r="161" spans="1:5" x14ac:dyDescent="0.2">
      <c r="A161" t="s">
        <v>189</v>
      </c>
      <c r="B161" t="s">
        <v>11</v>
      </c>
      <c r="C161" t="s">
        <v>12</v>
      </c>
      <c r="D161" s="2">
        <v>45387</v>
      </c>
      <c r="E161">
        <f t="shared" si="2"/>
        <v>160</v>
      </c>
    </row>
    <row r="162" spans="1:5" x14ac:dyDescent="0.2">
      <c r="A162" t="s">
        <v>161</v>
      </c>
      <c r="B162" t="s">
        <v>11</v>
      </c>
      <c r="C162" t="s">
        <v>12</v>
      </c>
      <c r="D162" s="2">
        <v>45388</v>
      </c>
      <c r="E162">
        <f t="shared" si="2"/>
        <v>161</v>
      </c>
    </row>
    <row r="163" spans="1:5" x14ac:dyDescent="0.2">
      <c r="A163" t="s">
        <v>183</v>
      </c>
      <c r="B163" t="s">
        <v>11</v>
      </c>
      <c r="C163" t="s">
        <v>12</v>
      </c>
      <c r="D163" s="2">
        <v>45388</v>
      </c>
      <c r="E163">
        <f t="shared" si="2"/>
        <v>162</v>
      </c>
    </row>
    <row r="164" spans="1:5" x14ac:dyDescent="0.2">
      <c r="A164" t="s">
        <v>205</v>
      </c>
      <c r="B164" t="s">
        <v>11</v>
      </c>
      <c r="C164" t="s">
        <v>12</v>
      </c>
      <c r="D164" s="2">
        <v>45388</v>
      </c>
      <c r="E164">
        <f t="shared" si="2"/>
        <v>163</v>
      </c>
    </row>
    <row r="165" spans="1:5" x14ac:dyDescent="0.2">
      <c r="A165" t="s">
        <v>217</v>
      </c>
      <c r="B165" t="s">
        <v>11</v>
      </c>
      <c r="C165" t="s">
        <v>12</v>
      </c>
      <c r="D165" s="2">
        <v>45388</v>
      </c>
      <c r="E165">
        <f t="shared" si="2"/>
        <v>164</v>
      </c>
    </row>
    <row r="166" spans="1:5" x14ac:dyDescent="0.2">
      <c r="A166" t="s">
        <v>119</v>
      </c>
      <c r="B166" t="s">
        <v>11</v>
      </c>
      <c r="C166" t="s">
        <v>12</v>
      </c>
      <c r="D166" s="2">
        <v>45389</v>
      </c>
      <c r="E166">
        <f t="shared" si="2"/>
        <v>165</v>
      </c>
    </row>
    <row r="167" spans="1:5" x14ac:dyDescent="0.2">
      <c r="A167" t="s">
        <v>133</v>
      </c>
      <c r="B167" t="s">
        <v>11</v>
      </c>
      <c r="C167" t="s">
        <v>12</v>
      </c>
      <c r="D167" s="2">
        <v>45389</v>
      </c>
      <c r="E167">
        <f t="shared" si="2"/>
        <v>166</v>
      </c>
    </row>
    <row r="168" spans="1:5" x14ac:dyDescent="0.2">
      <c r="A168" t="s">
        <v>187</v>
      </c>
      <c r="B168" t="s">
        <v>11</v>
      </c>
      <c r="C168" t="s">
        <v>12</v>
      </c>
      <c r="D168" s="2">
        <v>45389</v>
      </c>
      <c r="E168">
        <f t="shared" si="2"/>
        <v>167</v>
      </c>
    </row>
    <row r="169" spans="1:5" x14ac:dyDescent="0.2">
      <c r="A169" t="s">
        <v>195</v>
      </c>
      <c r="B169" t="s">
        <v>11</v>
      </c>
      <c r="C169" t="s">
        <v>12</v>
      </c>
      <c r="D169" s="2">
        <v>45389</v>
      </c>
      <c r="E169">
        <f t="shared" si="2"/>
        <v>168</v>
      </c>
    </row>
    <row r="170" spans="1:5" x14ac:dyDescent="0.2">
      <c r="A170" t="s">
        <v>210</v>
      </c>
      <c r="B170" t="s">
        <v>11</v>
      </c>
      <c r="C170" t="s">
        <v>12</v>
      </c>
      <c r="D170" s="2">
        <v>45389</v>
      </c>
      <c r="E170">
        <f t="shared" si="2"/>
        <v>169</v>
      </c>
    </row>
    <row r="171" spans="1:5" x14ac:dyDescent="0.2">
      <c r="A171" t="s">
        <v>101</v>
      </c>
      <c r="B171" t="s">
        <v>11</v>
      </c>
      <c r="C171" t="s">
        <v>12</v>
      </c>
      <c r="D171" s="2">
        <v>45390</v>
      </c>
      <c r="E171">
        <f t="shared" si="2"/>
        <v>170</v>
      </c>
    </row>
    <row r="172" spans="1:5" x14ac:dyDescent="0.2">
      <c r="A172" t="s">
        <v>202</v>
      </c>
      <c r="B172" t="s">
        <v>11</v>
      </c>
      <c r="C172" t="s">
        <v>12</v>
      </c>
      <c r="D172" s="2">
        <v>45390</v>
      </c>
      <c r="E172">
        <f t="shared" si="2"/>
        <v>171</v>
      </c>
    </row>
    <row r="173" spans="1:5" x14ac:dyDescent="0.2">
      <c r="A173" t="s">
        <v>234</v>
      </c>
      <c r="B173" t="s">
        <v>11</v>
      </c>
      <c r="C173" t="s">
        <v>12</v>
      </c>
      <c r="D173" s="2">
        <v>45390</v>
      </c>
      <c r="E173">
        <f t="shared" si="2"/>
        <v>172</v>
      </c>
    </row>
    <row r="174" spans="1:5" x14ac:dyDescent="0.2">
      <c r="A174" t="s">
        <v>114</v>
      </c>
      <c r="B174" t="s">
        <v>11</v>
      </c>
      <c r="C174" t="s">
        <v>12</v>
      </c>
      <c r="D174" s="2">
        <v>45391</v>
      </c>
      <c r="E174">
        <f t="shared" si="2"/>
        <v>173</v>
      </c>
    </row>
    <row r="175" spans="1:5" x14ac:dyDescent="0.2">
      <c r="A175" t="s">
        <v>179</v>
      </c>
      <c r="B175" t="s">
        <v>11</v>
      </c>
      <c r="C175" t="s">
        <v>12</v>
      </c>
      <c r="D175" s="2">
        <v>45391</v>
      </c>
      <c r="E175">
        <f t="shared" si="2"/>
        <v>174</v>
      </c>
    </row>
    <row r="176" spans="1:5" x14ac:dyDescent="0.2">
      <c r="A176" t="s">
        <v>100</v>
      </c>
      <c r="B176" t="s">
        <v>11</v>
      </c>
      <c r="C176" t="s">
        <v>12</v>
      </c>
      <c r="D176" s="2">
        <v>45392</v>
      </c>
      <c r="E176">
        <f t="shared" si="2"/>
        <v>175</v>
      </c>
    </row>
    <row r="177" spans="1:5" x14ac:dyDescent="0.2">
      <c r="A177" t="s">
        <v>224</v>
      </c>
      <c r="B177" t="s">
        <v>11</v>
      </c>
      <c r="C177" t="s">
        <v>12</v>
      </c>
      <c r="D177" s="2">
        <v>45392</v>
      </c>
      <c r="E177">
        <f t="shared" si="2"/>
        <v>176</v>
      </c>
    </row>
    <row r="178" spans="1:5" x14ac:dyDescent="0.2">
      <c r="A178" t="s">
        <v>198</v>
      </c>
      <c r="B178" t="s">
        <v>11</v>
      </c>
      <c r="C178" t="s">
        <v>12</v>
      </c>
      <c r="D178" s="2">
        <v>45393</v>
      </c>
      <c r="E178">
        <f t="shared" si="2"/>
        <v>177</v>
      </c>
    </row>
    <row r="179" spans="1:5" x14ac:dyDescent="0.2">
      <c r="A179" t="s">
        <v>218</v>
      </c>
      <c r="B179" t="s">
        <v>11</v>
      </c>
      <c r="C179" t="s">
        <v>12</v>
      </c>
      <c r="D179" s="2">
        <v>45393</v>
      </c>
      <c r="E179">
        <f t="shared" si="2"/>
        <v>178</v>
      </c>
    </row>
    <row r="180" spans="1:5" x14ac:dyDescent="0.2">
      <c r="A180" t="s">
        <v>229</v>
      </c>
      <c r="B180" t="s">
        <v>11</v>
      </c>
      <c r="C180" t="s">
        <v>12</v>
      </c>
      <c r="D180" s="2">
        <v>45393</v>
      </c>
      <c r="E180">
        <f t="shared" si="2"/>
        <v>179</v>
      </c>
    </row>
    <row r="181" spans="1:5" x14ac:dyDescent="0.2">
      <c r="A181" t="s">
        <v>181</v>
      </c>
      <c r="B181" t="s">
        <v>11</v>
      </c>
      <c r="C181" t="s">
        <v>12</v>
      </c>
      <c r="D181" s="2">
        <v>45394</v>
      </c>
      <c r="E181">
        <f t="shared" si="2"/>
        <v>180</v>
      </c>
    </row>
    <row r="182" spans="1:5" x14ac:dyDescent="0.2">
      <c r="A182" t="s">
        <v>220</v>
      </c>
      <c r="B182" t="s">
        <v>11</v>
      </c>
      <c r="C182" t="s">
        <v>12</v>
      </c>
      <c r="D182" s="2">
        <v>45394</v>
      </c>
      <c r="E182">
        <f t="shared" si="2"/>
        <v>181</v>
      </c>
    </row>
    <row r="183" spans="1:5" x14ac:dyDescent="0.2">
      <c r="A183" t="s">
        <v>248</v>
      </c>
      <c r="B183" t="s">
        <v>11</v>
      </c>
      <c r="C183" t="s">
        <v>12</v>
      </c>
      <c r="D183" s="2">
        <v>45394</v>
      </c>
      <c r="E183">
        <f t="shared" si="2"/>
        <v>182</v>
      </c>
    </row>
    <row r="184" spans="1:5" x14ac:dyDescent="0.2">
      <c r="A184" t="s">
        <v>249</v>
      </c>
      <c r="B184" t="s">
        <v>11</v>
      </c>
      <c r="C184" t="s">
        <v>12</v>
      </c>
      <c r="D184" s="2">
        <v>45394</v>
      </c>
      <c r="E184">
        <f t="shared" si="2"/>
        <v>183</v>
      </c>
    </row>
    <row r="185" spans="1:5" x14ac:dyDescent="0.2">
      <c r="A185" t="s">
        <v>208</v>
      </c>
      <c r="B185" t="s">
        <v>11</v>
      </c>
      <c r="C185" t="s">
        <v>12</v>
      </c>
      <c r="D185" s="2">
        <v>45395</v>
      </c>
      <c r="E185">
        <f t="shared" si="2"/>
        <v>184</v>
      </c>
    </row>
    <row r="186" spans="1:5" x14ac:dyDescent="0.2">
      <c r="A186" t="s">
        <v>212</v>
      </c>
      <c r="B186" t="s">
        <v>11</v>
      </c>
      <c r="C186" t="s">
        <v>12</v>
      </c>
      <c r="D186" s="2">
        <v>45395</v>
      </c>
      <c r="E186">
        <f t="shared" si="2"/>
        <v>185</v>
      </c>
    </row>
    <row r="187" spans="1:5" x14ac:dyDescent="0.2">
      <c r="A187" t="s">
        <v>186</v>
      </c>
      <c r="B187" t="s">
        <v>11</v>
      </c>
      <c r="C187" t="s">
        <v>12</v>
      </c>
      <c r="D187" s="2">
        <v>45396</v>
      </c>
      <c r="E187">
        <f t="shared" si="2"/>
        <v>186</v>
      </c>
    </row>
    <row r="188" spans="1:5" x14ac:dyDescent="0.2">
      <c r="A188" t="s">
        <v>232</v>
      </c>
      <c r="B188" t="s">
        <v>11</v>
      </c>
      <c r="C188" t="s">
        <v>12</v>
      </c>
      <c r="D188" s="2">
        <v>45396</v>
      </c>
      <c r="E188">
        <f t="shared" si="2"/>
        <v>187</v>
      </c>
    </row>
    <row r="189" spans="1:5" x14ac:dyDescent="0.2">
      <c r="A189" t="s">
        <v>233</v>
      </c>
      <c r="B189" t="s">
        <v>11</v>
      </c>
      <c r="C189" t="s">
        <v>12</v>
      </c>
      <c r="D189" s="2">
        <v>45396</v>
      </c>
      <c r="E189">
        <f t="shared" si="2"/>
        <v>188</v>
      </c>
    </row>
    <row r="190" spans="1:5" x14ac:dyDescent="0.2">
      <c r="A190" t="s">
        <v>240</v>
      </c>
      <c r="B190" t="s">
        <v>11</v>
      </c>
      <c r="C190" t="s">
        <v>12</v>
      </c>
      <c r="D190" s="2">
        <v>45396</v>
      </c>
      <c r="E190">
        <f t="shared" si="2"/>
        <v>189</v>
      </c>
    </row>
    <row r="191" spans="1:5" x14ac:dyDescent="0.2">
      <c r="A191" t="s">
        <v>243</v>
      </c>
      <c r="B191" t="s">
        <v>11</v>
      </c>
      <c r="C191" t="s">
        <v>12</v>
      </c>
      <c r="D191" s="2">
        <v>45397</v>
      </c>
      <c r="E191">
        <f t="shared" si="2"/>
        <v>190</v>
      </c>
    </row>
    <row r="192" spans="1:5" x14ac:dyDescent="0.2">
      <c r="A192" t="s">
        <v>261</v>
      </c>
      <c r="B192" t="s">
        <v>11</v>
      </c>
      <c r="C192" t="s">
        <v>12</v>
      </c>
      <c r="D192" s="2">
        <v>45397</v>
      </c>
      <c r="E192">
        <f t="shared" si="2"/>
        <v>191</v>
      </c>
    </row>
    <row r="193" spans="1:5" x14ac:dyDescent="0.2">
      <c r="A193" t="s">
        <v>120</v>
      </c>
      <c r="B193" t="s">
        <v>11</v>
      </c>
      <c r="C193" t="s">
        <v>12</v>
      </c>
      <c r="D193" s="2">
        <v>45398</v>
      </c>
      <c r="E193">
        <f t="shared" si="2"/>
        <v>192</v>
      </c>
    </row>
    <row r="194" spans="1:5" x14ac:dyDescent="0.2">
      <c r="A194" t="s">
        <v>254</v>
      </c>
      <c r="B194" t="s">
        <v>11</v>
      </c>
      <c r="C194" t="s">
        <v>12</v>
      </c>
      <c r="D194" s="2">
        <v>45398</v>
      </c>
      <c r="E194">
        <f t="shared" si="2"/>
        <v>193</v>
      </c>
    </row>
    <row r="195" spans="1:5" x14ac:dyDescent="0.2">
      <c r="A195" t="s">
        <v>123</v>
      </c>
      <c r="B195" t="s">
        <v>11</v>
      </c>
      <c r="C195" t="s">
        <v>12</v>
      </c>
      <c r="D195" s="2">
        <v>45399</v>
      </c>
      <c r="E195">
        <f t="shared" si="2"/>
        <v>194</v>
      </c>
    </row>
    <row r="196" spans="1:5" x14ac:dyDescent="0.2">
      <c r="A196" t="s">
        <v>148</v>
      </c>
      <c r="B196" t="s">
        <v>11</v>
      </c>
      <c r="C196" t="s">
        <v>12</v>
      </c>
      <c r="D196" s="2">
        <v>45399</v>
      </c>
      <c r="E196">
        <f t="shared" ref="E196:E259" si="3">E195+1</f>
        <v>195</v>
      </c>
    </row>
    <row r="197" spans="1:5" x14ac:dyDescent="0.2">
      <c r="A197" t="s">
        <v>192</v>
      </c>
      <c r="B197" t="s">
        <v>11</v>
      </c>
      <c r="C197" t="s">
        <v>12</v>
      </c>
      <c r="D197" s="2">
        <v>45399</v>
      </c>
      <c r="E197">
        <f t="shared" si="3"/>
        <v>196</v>
      </c>
    </row>
    <row r="198" spans="1:5" x14ac:dyDescent="0.2">
      <c r="A198" t="s">
        <v>204</v>
      </c>
      <c r="B198" t="s">
        <v>11</v>
      </c>
      <c r="C198" t="s">
        <v>12</v>
      </c>
      <c r="D198" s="2">
        <v>45399</v>
      </c>
      <c r="E198">
        <f t="shared" si="3"/>
        <v>197</v>
      </c>
    </row>
    <row r="199" spans="1:5" x14ac:dyDescent="0.2">
      <c r="A199" t="s">
        <v>246</v>
      </c>
      <c r="B199" t="s">
        <v>11</v>
      </c>
      <c r="C199" t="s">
        <v>12</v>
      </c>
      <c r="D199" s="2">
        <v>45399</v>
      </c>
      <c r="E199">
        <f t="shared" si="3"/>
        <v>198</v>
      </c>
    </row>
    <row r="200" spans="1:5" x14ac:dyDescent="0.2">
      <c r="A200" t="s">
        <v>258</v>
      </c>
      <c r="B200" t="s">
        <v>11</v>
      </c>
      <c r="C200" t="s">
        <v>12</v>
      </c>
      <c r="D200" s="2">
        <v>45399</v>
      </c>
      <c r="E200">
        <f t="shared" si="3"/>
        <v>199</v>
      </c>
    </row>
    <row r="201" spans="1:5" x14ac:dyDescent="0.2">
      <c r="A201" t="s">
        <v>153</v>
      </c>
      <c r="B201" t="s">
        <v>11</v>
      </c>
      <c r="C201" t="s">
        <v>12</v>
      </c>
      <c r="D201" s="2">
        <v>45400</v>
      </c>
      <c r="E201">
        <f t="shared" si="3"/>
        <v>200</v>
      </c>
    </row>
    <row r="202" spans="1:5" x14ac:dyDescent="0.2">
      <c r="A202" t="s">
        <v>216</v>
      </c>
      <c r="B202" t="s">
        <v>11</v>
      </c>
      <c r="C202" t="s">
        <v>12</v>
      </c>
      <c r="D202" s="2">
        <v>45400</v>
      </c>
      <c r="E202">
        <f t="shared" si="3"/>
        <v>201</v>
      </c>
    </row>
    <row r="203" spans="1:5" x14ac:dyDescent="0.2">
      <c r="A203" t="s">
        <v>245</v>
      </c>
      <c r="B203" t="s">
        <v>5</v>
      </c>
      <c r="C203" t="s">
        <v>6</v>
      </c>
      <c r="D203" s="2">
        <v>45400</v>
      </c>
      <c r="E203">
        <f t="shared" si="3"/>
        <v>202</v>
      </c>
    </row>
    <row r="204" spans="1:5" x14ac:dyDescent="0.2">
      <c r="A204" t="s">
        <v>221</v>
      </c>
      <c r="B204" t="s">
        <v>11</v>
      </c>
      <c r="C204" t="s">
        <v>12</v>
      </c>
      <c r="D204" s="2">
        <v>45401</v>
      </c>
      <c r="E204">
        <f t="shared" si="3"/>
        <v>203</v>
      </c>
    </row>
    <row r="205" spans="1:5" x14ac:dyDescent="0.2">
      <c r="A205" t="s">
        <v>226</v>
      </c>
      <c r="B205" t="s">
        <v>11</v>
      </c>
      <c r="C205" t="s">
        <v>12</v>
      </c>
      <c r="D205" s="2">
        <v>45401</v>
      </c>
      <c r="E205">
        <f t="shared" si="3"/>
        <v>204</v>
      </c>
    </row>
    <row r="206" spans="1:5" x14ac:dyDescent="0.2">
      <c r="A206" t="s">
        <v>257</v>
      </c>
      <c r="B206" t="s">
        <v>11</v>
      </c>
      <c r="C206" t="s">
        <v>12</v>
      </c>
      <c r="D206" s="2">
        <v>45401</v>
      </c>
      <c r="E206">
        <f t="shared" si="3"/>
        <v>205</v>
      </c>
    </row>
    <row r="207" spans="1:5" x14ac:dyDescent="0.2">
      <c r="A207" t="s">
        <v>211</v>
      </c>
      <c r="B207" t="s">
        <v>11</v>
      </c>
      <c r="C207" t="s">
        <v>12</v>
      </c>
      <c r="D207" s="2">
        <v>45402</v>
      </c>
      <c r="E207">
        <f t="shared" si="3"/>
        <v>206</v>
      </c>
    </row>
    <row r="208" spans="1:5" x14ac:dyDescent="0.2">
      <c r="A208" t="s">
        <v>214</v>
      </c>
      <c r="B208" t="s">
        <v>11</v>
      </c>
      <c r="C208" t="s">
        <v>12</v>
      </c>
      <c r="D208" s="2">
        <v>45402</v>
      </c>
      <c r="E208">
        <f t="shared" si="3"/>
        <v>207</v>
      </c>
    </row>
    <row r="209" spans="1:5" x14ac:dyDescent="0.2">
      <c r="A209" t="s">
        <v>263</v>
      </c>
      <c r="B209" t="s">
        <v>11</v>
      </c>
      <c r="C209" t="s">
        <v>12</v>
      </c>
      <c r="D209" s="2">
        <v>45402</v>
      </c>
      <c r="E209">
        <f t="shared" si="3"/>
        <v>208</v>
      </c>
    </row>
    <row r="210" spans="1:5" x14ac:dyDescent="0.2">
      <c r="A210" t="s">
        <v>177</v>
      </c>
      <c r="B210" t="s">
        <v>11</v>
      </c>
      <c r="C210" t="s">
        <v>12</v>
      </c>
      <c r="D210" s="2">
        <v>45403</v>
      </c>
      <c r="E210">
        <f t="shared" si="3"/>
        <v>209</v>
      </c>
    </row>
    <row r="211" spans="1:5" x14ac:dyDescent="0.2">
      <c r="A211" t="s">
        <v>209</v>
      </c>
      <c r="B211" t="s">
        <v>11</v>
      </c>
      <c r="C211" t="s">
        <v>12</v>
      </c>
      <c r="D211" s="2">
        <v>45403</v>
      </c>
      <c r="E211">
        <f t="shared" si="3"/>
        <v>210</v>
      </c>
    </row>
    <row r="212" spans="1:5" x14ac:dyDescent="0.2">
      <c r="A212" t="s">
        <v>241</v>
      </c>
      <c r="B212" t="s">
        <v>11</v>
      </c>
      <c r="C212" t="s">
        <v>12</v>
      </c>
      <c r="D212" s="2">
        <v>45403</v>
      </c>
      <c r="E212">
        <f t="shared" si="3"/>
        <v>211</v>
      </c>
    </row>
    <row r="213" spans="1:5" x14ac:dyDescent="0.2">
      <c r="A213" t="s">
        <v>247</v>
      </c>
      <c r="B213" t="s">
        <v>11</v>
      </c>
      <c r="C213" t="s">
        <v>12</v>
      </c>
      <c r="D213" s="2">
        <v>45403</v>
      </c>
      <c r="E213">
        <f t="shared" si="3"/>
        <v>212</v>
      </c>
    </row>
    <row r="214" spans="1:5" x14ac:dyDescent="0.2">
      <c r="A214" t="s">
        <v>252</v>
      </c>
      <c r="B214" t="s">
        <v>11</v>
      </c>
      <c r="C214" t="s">
        <v>12</v>
      </c>
      <c r="D214" s="2">
        <v>45403</v>
      </c>
      <c r="E214">
        <f t="shared" si="3"/>
        <v>213</v>
      </c>
    </row>
    <row r="215" spans="1:5" x14ac:dyDescent="0.2">
      <c r="A215" t="s">
        <v>255</v>
      </c>
      <c r="B215" t="s">
        <v>11</v>
      </c>
      <c r="C215" t="s">
        <v>12</v>
      </c>
      <c r="D215" s="2">
        <v>45403</v>
      </c>
      <c r="E215">
        <f t="shared" si="3"/>
        <v>214</v>
      </c>
    </row>
    <row r="216" spans="1:5" x14ac:dyDescent="0.2">
      <c r="A216" t="s">
        <v>200</v>
      </c>
      <c r="B216" t="s">
        <v>11</v>
      </c>
      <c r="C216" t="s">
        <v>12</v>
      </c>
      <c r="D216" s="2">
        <v>45404</v>
      </c>
      <c r="E216">
        <f t="shared" si="3"/>
        <v>215</v>
      </c>
    </row>
    <row r="217" spans="1:5" x14ac:dyDescent="0.2">
      <c r="A217" t="s">
        <v>225</v>
      </c>
      <c r="B217" t="s">
        <v>11</v>
      </c>
      <c r="C217" t="s">
        <v>12</v>
      </c>
      <c r="D217" s="2">
        <v>45405</v>
      </c>
      <c r="E217">
        <f t="shared" si="3"/>
        <v>216</v>
      </c>
    </row>
    <row r="218" spans="1:5" x14ac:dyDescent="0.2">
      <c r="A218" t="s">
        <v>238</v>
      </c>
      <c r="B218" t="s">
        <v>11</v>
      </c>
      <c r="C218" t="s">
        <v>12</v>
      </c>
      <c r="D218" s="2">
        <v>45405</v>
      </c>
      <c r="E218">
        <f t="shared" si="3"/>
        <v>217</v>
      </c>
    </row>
    <row r="219" spans="1:5" x14ac:dyDescent="0.2">
      <c r="A219" t="s">
        <v>244</v>
      </c>
      <c r="B219" t="s">
        <v>11</v>
      </c>
      <c r="C219" t="s">
        <v>12</v>
      </c>
      <c r="D219" s="2">
        <v>45405</v>
      </c>
      <c r="E219">
        <f t="shared" si="3"/>
        <v>218</v>
      </c>
    </row>
    <row r="220" spans="1:5" x14ac:dyDescent="0.2">
      <c r="A220" t="s">
        <v>277</v>
      </c>
      <c r="B220" t="s">
        <v>11</v>
      </c>
      <c r="C220" t="s">
        <v>12</v>
      </c>
      <c r="D220" s="2">
        <v>45405</v>
      </c>
      <c r="E220">
        <f t="shared" si="3"/>
        <v>219</v>
      </c>
    </row>
    <row r="221" spans="1:5" x14ac:dyDescent="0.2">
      <c r="A221" t="s">
        <v>280</v>
      </c>
      <c r="B221" t="s">
        <v>11</v>
      </c>
      <c r="C221" t="s">
        <v>12</v>
      </c>
      <c r="D221" s="2">
        <v>45405</v>
      </c>
      <c r="E221">
        <f t="shared" si="3"/>
        <v>220</v>
      </c>
    </row>
    <row r="222" spans="1:5" x14ac:dyDescent="0.2">
      <c r="A222" t="s">
        <v>282</v>
      </c>
      <c r="B222" t="s">
        <v>11</v>
      </c>
      <c r="C222" t="s">
        <v>12</v>
      </c>
      <c r="D222" s="2">
        <v>45405</v>
      </c>
      <c r="E222">
        <f t="shared" si="3"/>
        <v>221</v>
      </c>
    </row>
    <row r="223" spans="1:5" x14ac:dyDescent="0.2">
      <c r="A223" t="s">
        <v>135</v>
      </c>
      <c r="B223" t="s">
        <v>11</v>
      </c>
      <c r="C223" t="s">
        <v>12</v>
      </c>
      <c r="D223" s="2">
        <v>45406</v>
      </c>
      <c r="E223">
        <f t="shared" si="3"/>
        <v>222</v>
      </c>
    </row>
    <row r="224" spans="1:5" x14ac:dyDescent="0.2">
      <c r="A224" t="s">
        <v>152</v>
      </c>
      <c r="B224" t="s">
        <v>11</v>
      </c>
      <c r="C224" t="s">
        <v>12</v>
      </c>
      <c r="D224" s="2">
        <v>45406</v>
      </c>
      <c r="E224">
        <f t="shared" si="3"/>
        <v>223</v>
      </c>
    </row>
    <row r="225" spans="1:5" x14ac:dyDescent="0.2">
      <c r="A225" t="s">
        <v>185</v>
      </c>
      <c r="B225" t="s">
        <v>11</v>
      </c>
      <c r="C225" t="s">
        <v>12</v>
      </c>
      <c r="D225" s="2">
        <v>45406</v>
      </c>
      <c r="E225">
        <f t="shared" si="3"/>
        <v>224</v>
      </c>
    </row>
    <row r="226" spans="1:5" x14ac:dyDescent="0.2">
      <c r="A226" t="s">
        <v>155</v>
      </c>
      <c r="B226" t="s">
        <v>11</v>
      </c>
      <c r="C226" t="s">
        <v>12</v>
      </c>
      <c r="D226" s="2">
        <v>45407</v>
      </c>
      <c r="E226">
        <f t="shared" si="3"/>
        <v>225</v>
      </c>
    </row>
    <row r="227" spans="1:5" x14ac:dyDescent="0.2">
      <c r="A227" t="s">
        <v>236</v>
      </c>
      <c r="B227" t="s">
        <v>11</v>
      </c>
      <c r="C227" t="s">
        <v>12</v>
      </c>
      <c r="D227" s="2">
        <v>45407</v>
      </c>
      <c r="E227">
        <f t="shared" si="3"/>
        <v>226</v>
      </c>
    </row>
    <row r="228" spans="1:5" x14ac:dyDescent="0.2">
      <c r="A228" t="s">
        <v>260</v>
      </c>
      <c r="B228" t="s">
        <v>11</v>
      </c>
      <c r="C228" t="s">
        <v>12</v>
      </c>
      <c r="D228" s="2">
        <v>45407</v>
      </c>
      <c r="E228">
        <f t="shared" si="3"/>
        <v>227</v>
      </c>
    </row>
    <row r="229" spans="1:5" x14ac:dyDescent="0.2">
      <c r="A229" t="s">
        <v>111</v>
      </c>
      <c r="B229" t="s">
        <v>11</v>
      </c>
      <c r="C229" t="s">
        <v>12</v>
      </c>
      <c r="D229" s="2">
        <v>45408</v>
      </c>
      <c r="E229">
        <f t="shared" si="3"/>
        <v>228</v>
      </c>
    </row>
    <row r="230" spans="1:5" x14ac:dyDescent="0.2">
      <c r="A230" t="s">
        <v>190</v>
      </c>
      <c r="B230" t="s">
        <v>11</v>
      </c>
      <c r="C230" t="s">
        <v>12</v>
      </c>
      <c r="D230" s="2">
        <v>45408</v>
      </c>
      <c r="E230">
        <f t="shared" si="3"/>
        <v>229</v>
      </c>
    </row>
    <row r="231" spans="1:5" x14ac:dyDescent="0.2">
      <c r="A231" t="s">
        <v>275</v>
      </c>
      <c r="B231" t="s">
        <v>11</v>
      </c>
      <c r="C231" t="s">
        <v>12</v>
      </c>
      <c r="D231" s="2">
        <v>45408</v>
      </c>
      <c r="E231">
        <f t="shared" si="3"/>
        <v>230</v>
      </c>
    </row>
    <row r="232" spans="1:5" x14ac:dyDescent="0.2">
      <c r="A232" t="s">
        <v>201</v>
      </c>
      <c r="B232" t="s">
        <v>11</v>
      </c>
      <c r="C232" t="s">
        <v>12</v>
      </c>
      <c r="D232" s="2">
        <v>45409</v>
      </c>
      <c r="E232">
        <f t="shared" si="3"/>
        <v>231</v>
      </c>
    </row>
    <row r="233" spans="1:5" x14ac:dyDescent="0.2">
      <c r="A233" t="s">
        <v>222</v>
      </c>
      <c r="B233" t="s">
        <v>11</v>
      </c>
      <c r="C233" t="s">
        <v>12</v>
      </c>
      <c r="D233" s="2">
        <v>45409</v>
      </c>
      <c r="E233">
        <f t="shared" si="3"/>
        <v>232</v>
      </c>
    </row>
    <row r="234" spans="1:5" x14ac:dyDescent="0.2">
      <c r="A234" t="s">
        <v>283</v>
      </c>
      <c r="B234" t="s">
        <v>11</v>
      </c>
      <c r="C234" t="s">
        <v>12</v>
      </c>
      <c r="D234" s="2">
        <v>45409</v>
      </c>
      <c r="E234">
        <f t="shared" si="3"/>
        <v>233</v>
      </c>
    </row>
    <row r="235" spans="1:5" x14ac:dyDescent="0.2">
      <c r="A235" t="s">
        <v>163</v>
      </c>
      <c r="B235" t="s">
        <v>11</v>
      </c>
      <c r="C235" t="s">
        <v>12</v>
      </c>
      <c r="D235" s="2">
        <v>45410</v>
      </c>
      <c r="E235">
        <f t="shared" si="3"/>
        <v>234</v>
      </c>
    </row>
    <row r="236" spans="1:5" x14ac:dyDescent="0.2">
      <c r="A236" t="s">
        <v>227</v>
      </c>
      <c r="B236" t="s">
        <v>11</v>
      </c>
      <c r="C236" t="s">
        <v>12</v>
      </c>
      <c r="D236" s="2">
        <v>45410</v>
      </c>
      <c r="E236">
        <f t="shared" si="3"/>
        <v>235</v>
      </c>
    </row>
    <row r="237" spans="1:5" x14ac:dyDescent="0.2">
      <c r="A237" t="s">
        <v>274</v>
      </c>
      <c r="B237" t="s">
        <v>11</v>
      </c>
      <c r="C237" t="s">
        <v>12</v>
      </c>
      <c r="D237" s="2">
        <v>45410</v>
      </c>
      <c r="E237">
        <f t="shared" si="3"/>
        <v>236</v>
      </c>
    </row>
    <row r="238" spans="1:5" x14ac:dyDescent="0.2">
      <c r="A238" t="s">
        <v>250</v>
      </c>
      <c r="B238" t="s">
        <v>11</v>
      </c>
      <c r="C238" t="s">
        <v>12</v>
      </c>
      <c r="D238" s="2">
        <v>45411</v>
      </c>
      <c r="E238">
        <f t="shared" si="3"/>
        <v>237</v>
      </c>
    </row>
    <row r="239" spans="1:5" x14ac:dyDescent="0.2">
      <c r="A239" t="s">
        <v>259</v>
      </c>
      <c r="B239" t="s">
        <v>11</v>
      </c>
      <c r="C239" t="s">
        <v>12</v>
      </c>
      <c r="D239" s="2">
        <v>45411</v>
      </c>
      <c r="E239">
        <f t="shared" si="3"/>
        <v>238</v>
      </c>
    </row>
    <row r="240" spans="1:5" x14ac:dyDescent="0.2">
      <c r="A240" t="s">
        <v>281</v>
      </c>
      <c r="B240" t="s">
        <v>11</v>
      </c>
      <c r="C240" t="s">
        <v>12</v>
      </c>
      <c r="D240" s="2">
        <v>45411</v>
      </c>
      <c r="E240">
        <f t="shared" si="3"/>
        <v>239</v>
      </c>
    </row>
    <row r="241" spans="1:5" x14ac:dyDescent="0.2">
      <c r="A241" t="s">
        <v>193</v>
      </c>
      <c r="B241" t="s">
        <v>11</v>
      </c>
      <c r="C241" t="s">
        <v>12</v>
      </c>
      <c r="D241" s="2">
        <v>45412</v>
      </c>
      <c r="E241">
        <f t="shared" si="3"/>
        <v>240</v>
      </c>
    </row>
    <row r="242" spans="1:5" x14ac:dyDescent="0.2">
      <c r="A242" t="s">
        <v>267</v>
      </c>
      <c r="B242" t="s">
        <v>11</v>
      </c>
      <c r="C242" t="s">
        <v>12</v>
      </c>
      <c r="D242" s="2">
        <v>45412</v>
      </c>
      <c r="E242">
        <f t="shared" si="3"/>
        <v>241</v>
      </c>
    </row>
    <row r="243" spans="1:5" x14ac:dyDescent="0.2">
      <c r="A243" t="s">
        <v>299</v>
      </c>
      <c r="B243" t="s">
        <v>11</v>
      </c>
      <c r="C243" t="s">
        <v>12</v>
      </c>
      <c r="D243" s="2">
        <v>45412</v>
      </c>
      <c r="E243">
        <f t="shared" si="3"/>
        <v>242</v>
      </c>
    </row>
    <row r="244" spans="1:5" x14ac:dyDescent="0.2">
      <c r="A244" t="s">
        <v>171</v>
      </c>
      <c r="B244" t="s">
        <v>11</v>
      </c>
      <c r="C244" t="s">
        <v>12</v>
      </c>
      <c r="D244" s="2">
        <v>45413</v>
      </c>
      <c r="E244">
        <f t="shared" si="3"/>
        <v>243</v>
      </c>
    </row>
    <row r="245" spans="1:5" x14ac:dyDescent="0.2">
      <c r="A245" t="s">
        <v>228</v>
      </c>
      <c r="B245" t="s">
        <v>11</v>
      </c>
      <c r="C245" t="s">
        <v>12</v>
      </c>
      <c r="D245" s="2">
        <v>45413</v>
      </c>
      <c r="E245">
        <f t="shared" si="3"/>
        <v>244</v>
      </c>
    </row>
    <row r="246" spans="1:5" x14ac:dyDescent="0.2">
      <c r="A246" t="s">
        <v>309</v>
      </c>
      <c r="B246" t="s">
        <v>11</v>
      </c>
      <c r="C246" t="s">
        <v>12</v>
      </c>
      <c r="D246" s="2">
        <v>45413</v>
      </c>
      <c r="E246">
        <f t="shared" si="3"/>
        <v>245</v>
      </c>
    </row>
    <row r="247" spans="1:5" x14ac:dyDescent="0.2">
      <c r="A247" t="s">
        <v>127</v>
      </c>
      <c r="B247" t="s">
        <v>11</v>
      </c>
      <c r="C247" t="s">
        <v>12</v>
      </c>
      <c r="D247" s="2">
        <v>45414</v>
      </c>
      <c r="E247">
        <f t="shared" si="3"/>
        <v>246</v>
      </c>
    </row>
    <row r="248" spans="1:5" x14ac:dyDescent="0.2">
      <c r="A248" t="s">
        <v>207</v>
      </c>
      <c r="B248" t="s">
        <v>11</v>
      </c>
      <c r="C248" t="s">
        <v>12</v>
      </c>
      <c r="D248" s="2">
        <v>45414</v>
      </c>
      <c r="E248">
        <f t="shared" si="3"/>
        <v>247</v>
      </c>
    </row>
    <row r="249" spans="1:5" x14ac:dyDescent="0.2">
      <c r="A249" t="s">
        <v>297</v>
      </c>
      <c r="B249" t="s">
        <v>11</v>
      </c>
      <c r="C249" t="s">
        <v>12</v>
      </c>
      <c r="D249" s="2">
        <v>45414</v>
      </c>
      <c r="E249">
        <f t="shared" si="3"/>
        <v>248</v>
      </c>
    </row>
    <row r="250" spans="1:5" x14ac:dyDescent="0.2">
      <c r="A250" t="s">
        <v>318</v>
      </c>
      <c r="B250" t="s">
        <v>11</v>
      </c>
      <c r="C250" t="s">
        <v>12</v>
      </c>
      <c r="D250" s="2">
        <v>45414</v>
      </c>
      <c r="E250">
        <f t="shared" si="3"/>
        <v>249</v>
      </c>
    </row>
    <row r="251" spans="1:5" x14ac:dyDescent="0.2">
      <c r="A251" t="s">
        <v>239</v>
      </c>
      <c r="B251" t="s">
        <v>11</v>
      </c>
      <c r="C251" t="s">
        <v>12</v>
      </c>
      <c r="D251" s="2">
        <v>45415</v>
      </c>
      <c r="E251">
        <f t="shared" si="3"/>
        <v>250</v>
      </c>
    </row>
    <row r="252" spans="1:5" x14ac:dyDescent="0.2">
      <c r="A252" t="s">
        <v>271</v>
      </c>
      <c r="B252" t="s">
        <v>11</v>
      </c>
      <c r="C252" t="s">
        <v>12</v>
      </c>
      <c r="D252" s="2">
        <v>45415</v>
      </c>
      <c r="E252">
        <f t="shared" si="3"/>
        <v>251</v>
      </c>
    </row>
    <row r="253" spans="1:5" x14ac:dyDescent="0.2">
      <c r="A253" t="s">
        <v>294</v>
      </c>
      <c r="B253" t="s">
        <v>11</v>
      </c>
      <c r="C253" t="s">
        <v>12</v>
      </c>
      <c r="D253" s="2">
        <v>45415</v>
      </c>
      <c r="E253">
        <f t="shared" si="3"/>
        <v>252</v>
      </c>
    </row>
    <row r="254" spans="1:5" x14ac:dyDescent="0.2">
      <c r="A254" t="s">
        <v>311</v>
      </c>
      <c r="B254" t="s">
        <v>11</v>
      </c>
      <c r="C254" t="s">
        <v>12</v>
      </c>
      <c r="D254" s="2">
        <v>45415</v>
      </c>
      <c r="E254">
        <f t="shared" si="3"/>
        <v>253</v>
      </c>
    </row>
    <row r="255" spans="1:5" x14ac:dyDescent="0.2">
      <c r="A255" t="s">
        <v>191</v>
      </c>
      <c r="B255" t="s">
        <v>11</v>
      </c>
      <c r="C255" t="s">
        <v>12</v>
      </c>
      <c r="D255" s="2">
        <v>45416</v>
      </c>
      <c r="E255">
        <f t="shared" si="3"/>
        <v>254</v>
      </c>
    </row>
    <row r="256" spans="1:5" x14ac:dyDescent="0.2">
      <c r="A256" t="s">
        <v>266</v>
      </c>
      <c r="B256" t="s">
        <v>11</v>
      </c>
      <c r="C256" t="s">
        <v>12</v>
      </c>
      <c r="D256" s="2">
        <v>45417</v>
      </c>
      <c r="E256">
        <f t="shared" si="3"/>
        <v>255</v>
      </c>
    </row>
    <row r="257" spans="1:5" x14ac:dyDescent="0.2">
      <c r="A257" t="s">
        <v>279</v>
      </c>
      <c r="B257" t="s">
        <v>11</v>
      </c>
      <c r="C257" t="s">
        <v>12</v>
      </c>
      <c r="D257" s="2">
        <v>45417</v>
      </c>
      <c r="E257">
        <f t="shared" si="3"/>
        <v>256</v>
      </c>
    </row>
    <row r="258" spans="1:5" x14ac:dyDescent="0.2">
      <c r="A258" t="s">
        <v>197</v>
      </c>
      <c r="B258" t="s">
        <v>11</v>
      </c>
      <c r="C258" t="s">
        <v>12</v>
      </c>
      <c r="D258" s="2">
        <v>45418</v>
      </c>
      <c r="E258">
        <f t="shared" si="3"/>
        <v>257</v>
      </c>
    </row>
    <row r="259" spans="1:5" x14ac:dyDescent="0.2">
      <c r="A259" t="s">
        <v>262</v>
      </c>
      <c r="B259" t="s">
        <v>11</v>
      </c>
      <c r="C259" t="s">
        <v>12</v>
      </c>
      <c r="D259" s="2">
        <v>45418</v>
      </c>
      <c r="E259">
        <f t="shared" si="3"/>
        <v>258</v>
      </c>
    </row>
    <row r="260" spans="1:5" x14ac:dyDescent="0.2">
      <c r="A260" t="s">
        <v>313</v>
      </c>
      <c r="B260" t="s">
        <v>11</v>
      </c>
      <c r="C260" t="s">
        <v>12</v>
      </c>
      <c r="D260" s="2">
        <v>45418</v>
      </c>
      <c r="E260">
        <f t="shared" ref="E260:E323" si="4">E259+1</f>
        <v>259</v>
      </c>
    </row>
    <row r="261" spans="1:5" x14ac:dyDescent="0.2">
      <c r="A261" t="s">
        <v>265</v>
      </c>
      <c r="B261" t="s">
        <v>11</v>
      </c>
      <c r="C261" t="s">
        <v>12</v>
      </c>
      <c r="D261" s="2">
        <v>45419</v>
      </c>
      <c r="E261">
        <f t="shared" si="4"/>
        <v>260</v>
      </c>
    </row>
    <row r="262" spans="1:5" x14ac:dyDescent="0.2">
      <c r="A262" t="s">
        <v>287</v>
      </c>
      <c r="B262" t="s">
        <v>11</v>
      </c>
      <c r="C262" t="s">
        <v>12</v>
      </c>
      <c r="D262" s="2">
        <v>45419</v>
      </c>
      <c r="E262">
        <f t="shared" si="4"/>
        <v>261</v>
      </c>
    </row>
    <row r="263" spans="1:5" x14ac:dyDescent="0.2">
      <c r="A263" t="s">
        <v>342</v>
      </c>
      <c r="B263" t="s">
        <v>11</v>
      </c>
      <c r="C263" t="s">
        <v>12</v>
      </c>
      <c r="D263" s="2">
        <v>45419</v>
      </c>
      <c r="E263">
        <f t="shared" si="4"/>
        <v>262</v>
      </c>
    </row>
    <row r="264" spans="1:5" x14ac:dyDescent="0.2">
      <c r="A264" t="s">
        <v>269</v>
      </c>
      <c r="B264" t="s">
        <v>11</v>
      </c>
      <c r="C264" t="s">
        <v>12</v>
      </c>
      <c r="D264" s="2">
        <v>45420</v>
      </c>
      <c r="E264">
        <f t="shared" si="4"/>
        <v>263</v>
      </c>
    </row>
    <row r="265" spans="1:5" x14ac:dyDescent="0.2">
      <c r="A265" t="s">
        <v>273</v>
      </c>
      <c r="B265" t="s">
        <v>11</v>
      </c>
      <c r="C265" t="s">
        <v>12</v>
      </c>
      <c r="D265" s="2">
        <v>45420</v>
      </c>
      <c r="E265">
        <f t="shared" si="4"/>
        <v>264</v>
      </c>
    </row>
    <row r="266" spans="1:5" x14ac:dyDescent="0.2">
      <c r="A266" t="s">
        <v>328</v>
      </c>
      <c r="B266" t="s">
        <v>11</v>
      </c>
      <c r="C266" t="s">
        <v>12</v>
      </c>
      <c r="D266" s="2">
        <v>45420</v>
      </c>
      <c r="E266">
        <f t="shared" si="4"/>
        <v>265</v>
      </c>
    </row>
    <row r="267" spans="1:5" x14ac:dyDescent="0.2">
      <c r="A267" t="s">
        <v>339</v>
      </c>
      <c r="B267" t="s">
        <v>11</v>
      </c>
      <c r="C267" t="s">
        <v>12</v>
      </c>
      <c r="D267" s="2">
        <v>45420</v>
      </c>
      <c r="E267">
        <f t="shared" si="4"/>
        <v>266</v>
      </c>
    </row>
    <row r="268" spans="1:5" x14ac:dyDescent="0.2">
      <c r="A268" t="s">
        <v>272</v>
      </c>
      <c r="B268" t="s">
        <v>11</v>
      </c>
      <c r="C268" t="s">
        <v>12</v>
      </c>
      <c r="D268" s="2">
        <v>45421</v>
      </c>
      <c r="E268">
        <f t="shared" si="4"/>
        <v>267</v>
      </c>
    </row>
    <row r="269" spans="1:5" x14ac:dyDescent="0.2">
      <c r="A269" t="s">
        <v>276</v>
      </c>
      <c r="B269" t="s">
        <v>11</v>
      </c>
      <c r="C269" t="s">
        <v>12</v>
      </c>
      <c r="D269" s="2">
        <v>45421</v>
      </c>
      <c r="E269">
        <f t="shared" si="4"/>
        <v>268</v>
      </c>
    </row>
    <row r="270" spans="1:5" x14ac:dyDescent="0.2">
      <c r="A270" t="s">
        <v>332</v>
      </c>
      <c r="B270" t="s">
        <v>11</v>
      </c>
      <c r="C270" t="s">
        <v>12</v>
      </c>
      <c r="D270" s="2">
        <v>45421</v>
      </c>
      <c r="E270">
        <f t="shared" si="4"/>
        <v>269</v>
      </c>
    </row>
    <row r="271" spans="1:5" x14ac:dyDescent="0.2">
      <c r="A271" t="s">
        <v>334</v>
      </c>
      <c r="B271" t="s">
        <v>11</v>
      </c>
      <c r="C271" t="s">
        <v>12</v>
      </c>
      <c r="D271" s="2">
        <v>45421</v>
      </c>
      <c r="E271">
        <f t="shared" si="4"/>
        <v>270</v>
      </c>
    </row>
    <row r="272" spans="1:5" x14ac:dyDescent="0.2">
      <c r="A272" t="s">
        <v>215</v>
      </c>
      <c r="B272" t="s">
        <v>11</v>
      </c>
      <c r="C272" t="s">
        <v>12</v>
      </c>
      <c r="D272" s="2">
        <v>45422</v>
      </c>
      <c r="E272">
        <f t="shared" si="4"/>
        <v>271</v>
      </c>
    </row>
    <row r="273" spans="1:5" x14ac:dyDescent="0.2">
      <c r="A273" t="s">
        <v>237</v>
      </c>
      <c r="B273" t="s">
        <v>9</v>
      </c>
      <c r="C273" t="s">
        <v>10</v>
      </c>
      <c r="D273" s="2">
        <v>45422</v>
      </c>
      <c r="E273">
        <f t="shared" si="4"/>
        <v>272</v>
      </c>
    </row>
    <row r="274" spans="1:5" x14ac:dyDescent="0.2">
      <c r="A274" t="s">
        <v>308</v>
      </c>
      <c r="B274" t="s">
        <v>5</v>
      </c>
      <c r="C274" t="s">
        <v>6</v>
      </c>
      <c r="D274" s="2">
        <v>45422</v>
      </c>
      <c r="E274">
        <f t="shared" si="4"/>
        <v>273</v>
      </c>
    </row>
    <row r="275" spans="1:5" x14ac:dyDescent="0.2">
      <c r="A275" t="s">
        <v>314</v>
      </c>
      <c r="B275" t="s">
        <v>11</v>
      </c>
      <c r="C275" t="s">
        <v>12</v>
      </c>
      <c r="D275" s="2">
        <v>45422</v>
      </c>
      <c r="E275">
        <f t="shared" si="4"/>
        <v>274</v>
      </c>
    </row>
    <row r="276" spans="1:5" x14ac:dyDescent="0.2">
      <c r="A276" t="s">
        <v>330</v>
      </c>
      <c r="B276" t="s">
        <v>11</v>
      </c>
      <c r="C276" t="s">
        <v>12</v>
      </c>
      <c r="D276" s="2">
        <v>45422</v>
      </c>
      <c r="E276">
        <f t="shared" si="4"/>
        <v>275</v>
      </c>
    </row>
    <row r="277" spans="1:5" x14ac:dyDescent="0.2">
      <c r="A277" t="s">
        <v>351</v>
      </c>
      <c r="B277" t="s">
        <v>11</v>
      </c>
      <c r="C277" t="s">
        <v>12</v>
      </c>
      <c r="D277" s="2">
        <v>45423</v>
      </c>
      <c r="E277">
        <f t="shared" si="4"/>
        <v>276</v>
      </c>
    </row>
    <row r="278" spans="1:5" x14ac:dyDescent="0.2">
      <c r="A278" t="s">
        <v>230</v>
      </c>
      <c r="B278" t="s">
        <v>11</v>
      </c>
      <c r="C278" t="s">
        <v>12</v>
      </c>
      <c r="D278" s="2">
        <v>45424</v>
      </c>
      <c r="E278">
        <f t="shared" si="4"/>
        <v>277</v>
      </c>
    </row>
    <row r="279" spans="1:5" x14ac:dyDescent="0.2">
      <c r="A279" t="s">
        <v>284</v>
      </c>
      <c r="B279" t="s">
        <v>11</v>
      </c>
      <c r="C279" t="s">
        <v>12</v>
      </c>
      <c r="D279" s="2">
        <v>45424</v>
      </c>
      <c r="E279">
        <f t="shared" si="4"/>
        <v>278</v>
      </c>
    </row>
    <row r="280" spans="1:5" x14ac:dyDescent="0.2">
      <c r="A280" t="s">
        <v>288</v>
      </c>
      <c r="B280" t="s">
        <v>11</v>
      </c>
      <c r="C280" t="s">
        <v>12</v>
      </c>
      <c r="D280" s="2">
        <v>45425</v>
      </c>
      <c r="E280">
        <f t="shared" si="4"/>
        <v>279</v>
      </c>
    </row>
    <row r="281" spans="1:5" x14ac:dyDescent="0.2">
      <c r="A281" t="s">
        <v>331</v>
      </c>
      <c r="B281" t="s">
        <v>11</v>
      </c>
      <c r="C281" t="s">
        <v>12</v>
      </c>
      <c r="D281" s="2">
        <v>45425</v>
      </c>
      <c r="E281">
        <f t="shared" si="4"/>
        <v>280</v>
      </c>
    </row>
    <row r="282" spans="1:5" x14ac:dyDescent="0.2">
      <c r="A282" t="s">
        <v>343</v>
      </c>
      <c r="B282" t="s">
        <v>11</v>
      </c>
      <c r="C282" t="s">
        <v>12</v>
      </c>
      <c r="D282" s="2">
        <v>45425</v>
      </c>
      <c r="E282">
        <f t="shared" si="4"/>
        <v>281</v>
      </c>
    </row>
    <row r="283" spans="1:5" x14ac:dyDescent="0.2">
      <c r="A283" t="s">
        <v>194</v>
      </c>
      <c r="B283" t="s">
        <v>11</v>
      </c>
      <c r="C283" t="s">
        <v>12</v>
      </c>
      <c r="D283" s="2">
        <v>45426</v>
      </c>
      <c r="E283">
        <f t="shared" si="4"/>
        <v>282</v>
      </c>
    </row>
    <row r="284" spans="1:5" x14ac:dyDescent="0.2">
      <c r="A284" t="s">
        <v>289</v>
      </c>
      <c r="B284" t="s">
        <v>11</v>
      </c>
      <c r="C284" t="s">
        <v>12</v>
      </c>
      <c r="D284" s="2">
        <v>45426</v>
      </c>
      <c r="E284">
        <f t="shared" si="4"/>
        <v>283</v>
      </c>
    </row>
    <row r="285" spans="1:5" x14ac:dyDescent="0.2">
      <c r="A285" t="s">
        <v>293</v>
      </c>
      <c r="B285" t="s">
        <v>11</v>
      </c>
      <c r="C285" t="s">
        <v>12</v>
      </c>
      <c r="D285" s="2">
        <v>45426</v>
      </c>
      <c r="E285">
        <f t="shared" si="4"/>
        <v>284</v>
      </c>
    </row>
    <row r="286" spans="1:5" x14ac:dyDescent="0.2">
      <c r="A286" t="s">
        <v>270</v>
      </c>
      <c r="B286" t="s">
        <v>11</v>
      </c>
      <c r="C286" t="s">
        <v>12</v>
      </c>
      <c r="D286" s="2">
        <v>45427</v>
      </c>
      <c r="E286">
        <f t="shared" si="4"/>
        <v>285</v>
      </c>
    </row>
    <row r="287" spans="1:5" x14ac:dyDescent="0.2">
      <c r="A287" t="s">
        <v>322</v>
      </c>
      <c r="B287" t="s">
        <v>11</v>
      </c>
      <c r="C287" t="s">
        <v>12</v>
      </c>
      <c r="D287" s="2">
        <v>45427</v>
      </c>
      <c r="E287">
        <f t="shared" si="4"/>
        <v>286</v>
      </c>
    </row>
    <row r="288" spans="1:5" x14ac:dyDescent="0.2">
      <c r="A288" t="s">
        <v>359</v>
      </c>
      <c r="B288" t="s">
        <v>11</v>
      </c>
      <c r="C288" t="s">
        <v>12</v>
      </c>
      <c r="D288" s="2">
        <v>45427</v>
      </c>
      <c r="E288">
        <f t="shared" si="4"/>
        <v>287</v>
      </c>
    </row>
    <row r="289" spans="1:5" x14ac:dyDescent="0.2">
      <c r="A289" t="s">
        <v>242</v>
      </c>
      <c r="B289" t="s">
        <v>11</v>
      </c>
      <c r="C289" t="s">
        <v>12</v>
      </c>
      <c r="D289" s="2">
        <v>45428</v>
      </c>
      <c r="E289">
        <f t="shared" si="4"/>
        <v>288</v>
      </c>
    </row>
    <row r="290" spans="1:5" x14ac:dyDescent="0.2">
      <c r="A290" t="s">
        <v>325</v>
      </c>
      <c r="B290" t="s">
        <v>11</v>
      </c>
      <c r="C290" t="s">
        <v>12</v>
      </c>
      <c r="D290" s="2">
        <v>45428</v>
      </c>
      <c r="E290">
        <f t="shared" si="4"/>
        <v>289</v>
      </c>
    </row>
    <row r="291" spans="1:5" x14ac:dyDescent="0.2">
      <c r="A291" t="s">
        <v>327</v>
      </c>
      <c r="B291" t="s">
        <v>11</v>
      </c>
      <c r="C291" t="s">
        <v>12</v>
      </c>
      <c r="D291" s="2">
        <v>45428</v>
      </c>
      <c r="E291">
        <f t="shared" si="4"/>
        <v>290</v>
      </c>
    </row>
    <row r="292" spans="1:5" x14ac:dyDescent="0.2">
      <c r="A292" t="s">
        <v>360</v>
      </c>
      <c r="B292" t="s">
        <v>11</v>
      </c>
      <c r="C292" t="s">
        <v>12</v>
      </c>
      <c r="D292" s="2">
        <v>45428</v>
      </c>
      <c r="E292">
        <f t="shared" si="4"/>
        <v>291</v>
      </c>
    </row>
    <row r="293" spans="1:5" x14ac:dyDescent="0.2">
      <c r="A293" t="s">
        <v>307</v>
      </c>
      <c r="B293" t="s">
        <v>11</v>
      </c>
      <c r="C293" t="s">
        <v>12</v>
      </c>
      <c r="D293" s="2">
        <v>45429</v>
      </c>
      <c r="E293">
        <f t="shared" si="4"/>
        <v>292</v>
      </c>
    </row>
    <row r="294" spans="1:5" x14ac:dyDescent="0.2">
      <c r="A294" t="s">
        <v>213</v>
      </c>
      <c r="B294" t="s">
        <v>11</v>
      </c>
      <c r="C294" t="s">
        <v>12</v>
      </c>
      <c r="D294" s="2">
        <v>45430</v>
      </c>
      <c r="E294">
        <f t="shared" si="4"/>
        <v>293</v>
      </c>
    </row>
    <row r="295" spans="1:5" x14ac:dyDescent="0.2">
      <c r="A295" t="s">
        <v>231</v>
      </c>
      <c r="B295" t="s">
        <v>11</v>
      </c>
      <c r="C295" t="s">
        <v>12</v>
      </c>
      <c r="D295" s="2">
        <v>45430</v>
      </c>
      <c r="E295">
        <f t="shared" si="4"/>
        <v>294</v>
      </c>
    </row>
    <row r="296" spans="1:5" x14ac:dyDescent="0.2">
      <c r="A296" t="s">
        <v>312</v>
      </c>
      <c r="B296" t="s">
        <v>11</v>
      </c>
      <c r="C296" t="s">
        <v>12</v>
      </c>
      <c r="D296" s="2">
        <v>45430</v>
      </c>
      <c r="E296">
        <f t="shared" si="4"/>
        <v>295</v>
      </c>
    </row>
    <row r="297" spans="1:5" x14ac:dyDescent="0.2">
      <c r="A297" t="s">
        <v>324</v>
      </c>
      <c r="B297" t="s">
        <v>11</v>
      </c>
      <c r="C297" t="s">
        <v>12</v>
      </c>
      <c r="D297" s="2">
        <v>45430</v>
      </c>
      <c r="E297">
        <f t="shared" si="4"/>
        <v>296</v>
      </c>
    </row>
    <row r="298" spans="1:5" x14ac:dyDescent="0.2">
      <c r="A298" t="s">
        <v>337</v>
      </c>
      <c r="B298" t="s">
        <v>11</v>
      </c>
      <c r="C298" t="s">
        <v>12</v>
      </c>
      <c r="D298" s="2">
        <v>45430</v>
      </c>
      <c r="E298">
        <f t="shared" si="4"/>
        <v>297</v>
      </c>
    </row>
    <row r="299" spans="1:5" x14ac:dyDescent="0.2">
      <c r="A299" t="s">
        <v>251</v>
      </c>
      <c r="B299" t="s">
        <v>11</v>
      </c>
      <c r="C299" t="s">
        <v>12</v>
      </c>
      <c r="D299" s="2">
        <v>45431</v>
      </c>
      <c r="E299">
        <f t="shared" si="4"/>
        <v>298</v>
      </c>
    </row>
    <row r="300" spans="1:5" x14ac:dyDescent="0.2">
      <c r="A300" t="s">
        <v>374</v>
      </c>
      <c r="B300" t="s">
        <v>11</v>
      </c>
      <c r="C300" t="s">
        <v>12</v>
      </c>
      <c r="D300" s="2">
        <v>45431</v>
      </c>
      <c r="E300">
        <f t="shared" si="4"/>
        <v>299</v>
      </c>
    </row>
    <row r="301" spans="1:5" x14ac:dyDescent="0.2">
      <c r="A301" t="s">
        <v>256</v>
      </c>
      <c r="B301" t="s">
        <v>11</v>
      </c>
      <c r="C301" t="s">
        <v>12</v>
      </c>
      <c r="D301" s="2">
        <v>45432</v>
      </c>
      <c r="E301">
        <f t="shared" si="4"/>
        <v>300</v>
      </c>
    </row>
    <row r="302" spans="1:5" x14ac:dyDescent="0.2">
      <c r="A302" t="s">
        <v>278</v>
      </c>
      <c r="B302" t="s">
        <v>11</v>
      </c>
      <c r="C302" t="s">
        <v>12</v>
      </c>
      <c r="D302" s="2">
        <v>45432</v>
      </c>
      <c r="E302">
        <f t="shared" si="4"/>
        <v>301</v>
      </c>
    </row>
    <row r="303" spans="1:5" x14ac:dyDescent="0.2">
      <c r="A303" t="s">
        <v>301</v>
      </c>
      <c r="B303" t="s">
        <v>11</v>
      </c>
      <c r="C303" t="s">
        <v>12</v>
      </c>
      <c r="D303" s="2">
        <v>45432</v>
      </c>
      <c r="E303">
        <f t="shared" si="4"/>
        <v>302</v>
      </c>
    </row>
    <row r="304" spans="1:5" x14ac:dyDescent="0.2">
      <c r="A304" t="s">
        <v>310</v>
      </c>
      <c r="B304" t="s">
        <v>11</v>
      </c>
      <c r="C304" t="s">
        <v>12</v>
      </c>
      <c r="D304" s="2">
        <v>45432</v>
      </c>
      <c r="E304">
        <f t="shared" si="4"/>
        <v>303</v>
      </c>
    </row>
    <row r="305" spans="1:5" x14ac:dyDescent="0.2">
      <c r="A305" t="s">
        <v>321</v>
      </c>
      <c r="B305" t="s">
        <v>11</v>
      </c>
      <c r="C305" t="s">
        <v>12</v>
      </c>
      <c r="D305" s="2">
        <v>45432</v>
      </c>
      <c r="E305">
        <f t="shared" si="4"/>
        <v>304</v>
      </c>
    </row>
    <row r="306" spans="1:5" x14ac:dyDescent="0.2">
      <c r="A306" t="s">
        <v>285</v>
      </c>
      <c r="B306" t="s">
        <v>11</v>
      </c>
      <c r="C306" t="s">
        <v>12</v>
      </c>
      <c r="D306" s="2">
        <v>45433</v>
      </c>
      <c r="E306">
        <f t="shared" si="4"/>
        <v>305</v>
      </c>
    </row>
    <row r="307" spans="1:5" x14ac:dyDescent="0.2">
      <c r="A307" t="s">
        <v>333</v>
      </c>
      <c r="B307" t="s">
        <v>11</v>
      </c>
      <c r="C307" t="s">
        <v>12</v>
      </c>
      <c r="D307" s="2">
        <v>45433</v>
      </c>
      <c r="E307">
        <f t="shared" si="4"/>
        <v>306</v>
      </c>
    </row>
    <row r="308" spans="1:5" x14ac:dyDescent="0.2">
      <c r="A308" t="s">
        <v>290</v>
      </c>
      <c r="B308" t="s">
        <v>11</v>
      </c>
      <c r="C308" t="s">
        <v>12</v>
      </c>
      <c r="D308" s="2">
        <v>45434</v>
      </c>
      <c r="E308">
        <f t="shared" si="4"/>
        <v>307</v>
      </c>
    </row>
    <row r="309" spans="1:5" x14ac:dyDescent="0.2">
      <c r="A309" t="s">
        <v>303</v>
      </c>
      <c r="B309" t="s">
        <v>11</v>
      </c>
      <c r="C309" t="s">
        <v>12</v>
      </c>
      <c r="D309" s="2">
        <v>45434</v>
      </c>
      <c r="E309">
        <f t="shared" si="4"/>
        <v>308</v>
      </c>
    </row>
    <row r="310" spans="1:5" x14ac:dyDescent="0.2">
      <c r="A310" t="s">
        <v>320</v>
      </c>
      <c r="B310" t="s">
        <v>11</v>
      </c>
      <c r="C310" t="s">
        <v>12</v>
      </c>
      <c r="D310" s="2">
        <v>45434</v>
      </c>
      <c r="E310">
        <f t="shared" si="4"/>
        <v>309</v>
      </c>
    </row>
    <row r="311" spans="1:5" x14ac:dyDescent="0.2">
      <c r="A311" t="s">
        <v>253</v>
      </c>
      <c r="B311" t="s">
        <v>11</v>
      </c>
      <c r="C311" t="s">
        <v>12</v>
      </c>
      <c r="D311" s="2">
        <v>45435</v>
      </c>
      <c r="E311">
        <f t="shared" si="4"/>
        <v>310</v>
      </c>
    </row>
    <row r="312" spans="1:5" x14ac:dyDescent="0.2">
      <c r="A312" t="s">
        <v>286</v>
      </c>
      <c r="B312" t="s">
        <v>11</v>
      </c>
      <c r="C312" t="s">
        <v>12</v>
      </c>
      <c r="D312" s="2">
        <v>45435</v>
      </c>
      <c r="E312">
        <f t="shared" si="4"/>
        <v>311</v>
      </c>
    </row>
    <row r="313" spans="1:5" x14ac:dyDescent="0.2">
      <c r="A313" t="s">
        <v>295</v>
      </c>
      <c r="B313" t="s">
        <v>11</v>
      </c>
      <c r="C313" t="s">
        <v>12</v>
      </c>
      <c r="D313" s="2">
        <v>45435</v>
      </c>
      <c r="E313">
        <f t="shared" si="4"/>
        <v>312</v>
      </c>
    </row>
    <row r="314" spans="1:5" x14ac:dyDescent="0.2">
      <c r="A314" t="s">
        <v>306</v>
      </c>
      <c r="B314" t="s">
        <v>11</v>
      </c>
      <c r="C314" t="s">
        <v>12</v>
      </c>
      <c r="D314" s="2">
        <v>45435</v>
      </c>
      <c r="E314">
        <f t="shared" si="4"/>
        <v>313</v>
      </c>
    </row>
    <row r="315" spans="1:5" x14ac:dyDescent="0.2">
      <c r="A315" t="s">
        <v>373</v>
      </c>
      <c r="B315" t="s">
        <v>11</v>
      </c>
      <c r="C315" t="s">
        <v>12</v>
      </c>
      <c r="D315" s="2">
        <v>45435</v>
      </c>
      <c r="E315">
        <f t="shared" si="4"/>
        <v>314</v>
      </c>
    </row>
    <row r="316" spans="1:5" x14ac:dyDescent="0.2">
      <c r="A316" t="s">
        <v>375</v>
      </c>
      <c r="B316" t="s">
        <v>11</v>
      </c>
      <c r="C316" t="s">
        <v>12</v>
      </c>
      <c r="D316" s="2">
        <v>45435</v>
      </c>
      <c r="E316">
        <f t="shared" si="4"/>
        <v>315</v>
      </c>
    </row>
    <row r="317" spans="1:5" x14ac:dyDescent="0.2">
      <c r="A317" t="s">
        <v>319</v>
      </c>
      <c r="B317" t="s">
        <v>11</v>
      </c>
      <c r="C317" t="s">
        <v>12</v>
      </c>
      <c r="D317" s="2">
        <v>45436</v>
      </c>
      <c r="E317">
        <f t="shared" si="4"/>
        <v>316</v>
      </c>
    </row>
    <row r="318" spans="1:5" x14ac:dyDescent="0.2">
      <c r="A318" t="s">
        <v>349</v>
      </c>
      <c r="B318" t="s">
        <v>11</v>
      </c>
      <c r="C318" t="s">
        <v>12</v>
      </c>
      <c r="D318" s="2">
        <v>45436</v>
      </c>
      <c r="E318">
        <f t="shared" si="4"/>
        <v>317</v>
      </c>
    </row>
    <row r="319" spans="1:5" x14ac:dyDescent="0.2">
      <c r="A319" t="s">
        <v>368</v>
      </c>
      <c r="B319" t="s">
        <v>11</v>
      </c>
      <c r="C319" t="s">
        <v>12</v>
      </c>
      <c r="D319" s="2">
        <v>45436</v>
      </c>
      <c r="E319">
        <f t="shared" si="4"/>
        <v>318</v>
      </c>
    </row>
    <row r="320" spans="1:5" x14ac:dyDescent="0.2">
      <c r="A320" t="s">
        <v>363</v>
      </c>
      <c r="B320" t="s">
        <v>11</v>
      </c>
      <c r="C320" t="s">
        <v>12</v>
      </c>
      <c r="D320" s="2">
        <v>45437</v>
      </c>
      <c r="E320">
        <f t="shared" si="4"/>
        <v>319</v>
      </c>
    </row>
    <row r="321" spans="1:5" x14ac:dyDescent="0.2">
      <c r="A321" t="s">
        <v>411</v>
      </c>
      <c r="B321" t="s">
        <v>11</v>
      </c>
      <c r="C321" t="s">
        <v>12</v>
      </c>
      <c r="D321" s="2">
        <v>45437</v>
      </c>
      <c r="E321">
        <f t="shared" si="4"/>
        <v>320</v>
      </c>
    </row>
    <row r="322" spans="1:5" x14ac:dyDescent="0.2">
      <c r="A322" t="s">
        <v>235</v>
      </c>
      <c r="B322" t="s">
        <v>9</v>
      </c>
      <c r="C322" t="s">
        <v>10</v>
      </c>
      <c r="D322" s="2">
        <v>45438</v>
      </c>
      <c r="E322">
        <f t="shared" si="4"/>
        <v>321</v>
      </c>
    </row>
    <row r="323" spans="1:5" x14ac:dyDescent="0.2">
      <c r="A323" t="s">
        <v>345</v>
      </c>
      <c r="B323" t="s">
        <v>11</v>
      </c>
      <c r="C323" t="s">
        <v>12</v>
      </c>
      <c r="D323" s="2">
        <v>45439</v>
      </c>
      <c r="E323">
        <f t="shared" si="4"/>
        <v>322</v>
      </c>
    </row>
    <row r="324" spans="1:5" x14ac:dyDescent="0.2">
      <c r="A324" t="s">
        <v>376</v>
      </c>
      <c r="B324" t="s">
        <v>11</v>
      </c>
      <c r="C324" t="s">
        <v>12</v>
      </c>
      <c r="D324" s="2">
        <v>45439</v>
      </c>
      <c r="E324">
        <f t="shared" ref="E324:E387" si="5">E323+1</f>
        <v>323</v>
      </c>
    </row>
    <row r="325" spans="1:5" x14ac:dyDescent="0.2">
      <c r="A325" t="s">
        <v>391</v>
      </c>
      <c r="B325" t="s">
        <v>11</v>
      </c>
      <c r="C325" t="s">
        <v>12</v>
      </c>
      <c r="D325" s="2">
        <v>45439</v>
      </c>
      <c r="E325">
        <f t="shared" si="5"/>
        <v>324</v>
      </c>
    </row>
    <row r="326" spans="1:5" x14ac:dyDescent="0.2">
      <c r="A326" t="s">
        <v>398</v>
      </c>
      <c r="B326" t="s">
        <v>11</v>
      </c>
      <c r="C326" t="s">
        <v>12</v>
      </c>
      <c r="D326" s="2">
        <v>45439</v>
      </c>
      <c r="E326">
        <f t="shared" si="5"/>
        <v>325</v>
      </c>
    </row>
    <row r="327" spans="1:5" x14ac:dyDescent="0.2">
      <c r="A327" t="s">
        <v>404</v>
      </c>
      <c r="B327" t="s">
        <v>11</v>
      </c>
      <c r="C327" t="s">
        <v>12</v>
      </c>
      <c r="D327" s="2">
        <v>45439</v>
      </c>
      <c r="E327">
        <f t="shared" si="5"/>
        <v>326</v>
      </c>
    </row>
    <row r="328" spans="1:5" x14ac:dyDescent="0.2">
      <c r="A328" t="s">
        <v>317</v>
      </c>
      <c r="B328" t="s">
        <v>11</v>
      </c>
      <c r="C328" t="s">
        <v>12</v>
      </c>
      <c r="D328" s="2">
        <v>45440</v>
      </c>
      <c r="E328">
        <f t="shared" si="5"/>
        <v>327</v>
      </c>
    </row>
    <row r="329" spans="1:5" x14ac:dyDescent="0.2">
      <c r="A329" t="s">
        <v>344</v>
      </c>
      <c r="B329" t="s">
        <v>7</v>
      </c>
      <c r="C329" t="s">
        <v>8</v>
      </c>
      <c r="D329" s="2">
        <v>45440</v>
      </c>
      <c r="E329">
        <f t="shared" si="5"/>
        <v>328</v>
      </c>
    </row>
    <row r="330" spans="1:5" x14ac:dyDescent="0.2">
      <c r="A330" t="s">
        <v>357</v>
      </c>
      <c r="B330" t="s">
        <v>11</v>
      </c>
      <c r="C330" t="s">
        <v>12</v>
      </c>
      <c r="D330" s="2">
        <v>45440</v>
      </c>
      <c r="E330">
        <f t="shared" si="5"/>
        <v>329</v>
      </c>
    </row>
    <row r="331" spans="1:5" x14ac:dyDescent="0.2">
      <c r="A331" t="s">
        <v>371</v>
      </c>
      <c r="B331" t="s">
        <v>11</v>
      </c>
      <c r="C331" t="s">
        <v>12</v>
      </c>
      <c r="D331" s="2">
        <v>45440</v>
      </c>
      <c r="E331">
        <f t="shared" si="5"/>
        <v>330</v>
      </c>
    </row>
    <row r="332" spans="1:5" x14ac:dyDescent="0.2">
      <c r="A332" t="s">
        <v>409</v>
      </c>
      <c r="B332" t="s">
        <v>11</v>
      </c>
      <c r="C332" t="s">
        <v>12</v>
      </c>
      <c r="D332" s="2">
        <v>45440</v>
      </c>
      <c r="E332">
        <f t="shared" si="5"/>
        <v>331</v>
      </c>
    </row>
    <row r="333" spans="1:5" x14ac:dyDescent="0.2">
      <c r="A333" t="s">
        <v>426</v>
      </c>
      <c r="B333" t="s">
        <v>11</v>
      </c>
      <c r="C333" t="s">
        <v>12</v>
      </c>
      <c r="D333" s="2">
        <v>45440</v>
      </c>
      <c r="E333">
        <f t="shared" si="5"/>
        <v>332</v>
      </c>
    </row>
    <row r="334" spans="1:5" x14ac:dyDescent="0.2">
      <c r="A334" t="s">
        <v>427</v>
      </c>
      <c r="B334" t="s">
        <v>11</v>
      </c>
      <c r="C334" t="s">
        <v>12</v>
      </c>
      <c r="D334" s="2">
        <v>45440</v>
      </c>
      <c r="E334">
        <f t="shared" si="5"/>
        <v>333</v>
      </c>
    </row>
    <row r="335" spans="1:5" x14ac:dyDescent="0.2">
      <c r="A335" t="s">
        <v>291</v>
      </c>
      <c r="B335" t="s">
        <v>11</v>
      </c>
      <c r="C335" t="s">
        <v>12</v>
      </c>
      <c r="D335" s="2">
        <v>45441</v>
      </c>
      <c r="E335">
        <f t="shared" si="5"/>
        <v>334</v>
      </c>
    </row>
    <row r="336" spans="1:5" x14ac:dyDescent="0.2">
      <c r="A336" t="s">
        <v>384</v>
      </c>
      <c r="B336" t="s">
        <v>11</v>
      </c>
      <c r="C336" t="s">
        <v>12</v>
      </c>
      <c r="D336" s="2">
        <v>45441</v>
      </c>
      <c r="E336">
        <f t="shared" si="5"/>
        <v>335</v>
      </c>
    </row>
    <row r="337" spans="1:5" x14ac:dyDescent="0.2">
      <c r="A337" t="s">
        <v>388</v>
      </c>
      <c r="B337" t="s">
        <v>11</v>
      </c>
      <c r="C337" t="s">
        <v>12</v>
      </c>
      <c r="D337" s="2">
        <v>45441</v>
      </c>
      <c r="E337">
        <f t="shared" si="5"/>
        <v>336</v>
      </c>
    </row>
    <row r="338" spans="1:5" x14ac:dyDescent="0.2">
      <c r="A338" t="s">
        <v>431</v>
      </c>
      <c r="B338" t="s">
        <v>11</v>
      </c>
      <c r="C338" t="s">
        <v>12</v>
      </c>
      <c r="D338" s="2">
        <v>45441</v>
      </c>
      <c r="E338">
        <f t="shared" si="5"/>
        <v>337</v>
      </c>
    </row>
    <row r="339" spans="1:5" x14ac:dyDescent="0.2">
      <c r="A339" t="s">
        <v>264</v>
      </c>
      <c r="B339" t="s">
        <v>11</v>
      </c>
      <c r="C339" t="s">
        <v>12</v>
      </c>
      <c r="D339" s="2">
        <v>45442</v>
      </c>
      <c r="E339">
        <f t="shared" si="5"/>
        <v>338</v>
      </c>
    </row>
    <row r="340" spans="1:5" x14ac:dyDescent="0.2">
      <c r="A340" t="s">
        <v>292</v>
      </c>
      <c r="B340" t="s">
        <v>11</v>
      </c>
      <c r="C340" t="s">
        <v>12</v>
      </c>
      <c r="D340" s="2">
        <v>45442</v>
      </c>
      <c r="E340">
        <f t="shared" si="5"/>
        <v>339</v>
      </c>
    </row>
    <row r="341" spans="1:5" x14ac:dyDescent="0.2">
      <c r="A341" t="s">
        <v>387</v>
      </c>
      <c r="B341" t="s">
        <v>11</v>
      </c>
      <c r="C341" t="s">
        <v>12</v>
      </c>
      <c r="D341" s="2">
        <v>45442</v>
      </c>
      <c r="E341">
        <f t="shared" si="5"/>
        <v>340</v>
      </c>
    </row>
    <row r="342" spans="1:5" x14ac:dyDescent="0.2">
      <c r="A342" t="s">
        <v>268</v>
      </c>
      <c r="B342" t="s">
        <v>11</v>
      </c>
      <c r="C342" t="s">
        <v>12</v>
      </c>
      <c r="D342" s="2">
        <v>45443</v>
      </c>
      <c r="E342">
        <f t="shared" si="5"/>
        <v>341</v>
      </c>
    </row>
    <row r="343" spans="1:5" x14ac:dyDescent="0.2">
      <c r="A343" t="s">
        <v>296</v>
      </c>
      <c r="B343" t="s">
        <v>11</v>
      </c>
      <c r="C343" t="s">
        <v>12</v>
      </c>
      <c r="D343" s="2">
        <v>45443</v>
      </c>
      <c r="E343">
        <f t="shared" si="5"/>
        <v>342</v>
      </c>
    </row>
    <row r="344" spans="1:5" x14ac:dyDescent="0.2">
      <c r="A344" t="s">
        <v>395</v>
      </c>
      <c r="B344" t="s">
        <v>11</v>
      </c>
      <c r="C344" t="s">
        <v>12</v>
      </c>
      <c r="D344" s="2">
        <v>45443</v>
      </c>
      <c r="E344">
        <f t="shared" si="5"/>
        <v>343</v>
      </c>
    </row>
    <row r="345" spans="1:5" x14ac:dyDescent="0.2">
      <c r="A345" t="s">
        <v>428</v>
      </c>
      <c r="B345" t="s">
        <v>11</v>
      </c>
      <c r="C345" t="s">
        <v>12</v>
      </c>
      <c r="D345" s="2">
        <v>45443</v>
      </c>
      <c r="E345">
        <f t="shared" si="5"/>
        <v>344</v>
      </c>
    </row>
    <row r="346" spans="1:5" x14ac:dyDescent="0.2">
      <c r="A346" t="s">
        <v>346</v>
      </c>
      <c r="B346" t="s">
        <v>11</v>
      </c>
      <c r="C346" t="s">
        <v>12</v>
      </c>
      <c r="D346" s="2">
        <v>45444</v>
      </c>
      <c r="E346">
        <f t="shared" si="5"/>
        <v>345</v>
      </c>
    </row>
    <row r="347" spans="1:5" x14ac:dyDescent="0.2">
      <c r="A347" t="s">
        <v>354</v>
      </c>
      <c r="B347" t="s">
        <v>11</v>
      </c>
      <c r="C347" t="s">
        <v>12</v>
      </c>
      <c r="D347" s="2">
        <v>45444</v>
      </c>
      <c r="E347">
        <f t="shared" si="5"/>
        <v>346</v>
      </c>
    </row>
    <row r="348" spans="1:5" x14ac:dyDescent="0.2">
      <c r="A348" t="s">
        <v>323</v>
      </c>
      <c r="B348" t="s">
        <v>11</v>
      </c>
      <c r="C348" t="s">
        <v>12</v>
      </c>
      <c r="D348" s="2">
        <v>45445</v>
      </c>
      <c r="E348">
        <f t="shared" si="5"/>
        <v>347</v>
      </c>
    </row>
    <row r="349" spans="1:5" x14ac:dyDescent="0.2">
      <c r="A349" t="s">
        <v>329</v>
      </c>
      <c r="B349" t="s">
        <v>11</v>
      </c>
      <c r="C349" t="s">
        <v>12</v>
      </c>
      <c r="D349" s="2">
        <v>45445</v>
      </c>
      <c r="E349">
        <f t="shared" si="5"/>
        <v>348</v>
      </c>
    </row>
    <row r="350" spans="1:5" x14ac:dyDescent="0.2">
      <c r="A350" t="s">
        <v>356</v>
      </c>
      <c r="B350" t="s">
        <v>11</v>
      </c>
      <c r="C350" t="s">
        <v>12</v>
      </c>
      <c r="D350" s="2">
        <v>45445</v>
      </c>
      <c r="E350">
        <f t="shared" si="5"/>
        <v>349</v>
      </c>
    </row>
    <row r="351" spans="1:5" x14ac:dyDescent="0.2">
      <c r="A351" t="s">
        <v>372</v>
      </c>
      <c r="B351" t="s">
        <v>11</v>
      </c>
      <c r="C351" t="s">
        <v>12</v>
      </c>
      <c r="D351" s="2">
        <v>45445</v>
      </c>
      <c r="E351">
        <f t="shared" si="5"/>
        <v>350</v>
      </c>
    </row>
    <row r="352" spans="1:5" x14ac:dyDescent="0.2">
      <c r="A352" t="s">
        <v>412</v>
      </c>
      <c r="B352" t="s">
        <v>11</v>
      </c>
      <c r="C352" t="s">
        <v>12</v>
      </c>
      <c r="D352" s="2">
        <v>45445</v>
      </c>
      <c r="E352">
        <f t="shared" si="5"/>
        <v>351</v>
      </c>
    </row>
    <row r="353" spans="1:5" x14ac:dyDescent="0.2">
      <c r="A353" t="s">
        <v>352</v>
      </c>
      <c r="B353" t="s">
        <v>11</v>
      </c>
      <c r="C353" t="s">
        <v>12</v>
      </c>
      <c r="D353" s="2">
        <v>45446</v>
      </c>
      <c r="E353">
        <f t="shared" si="5"/>
        <v>352</v>
      </c>
    </row>
    <row r="354" spans="1:5" x14ac:dyDescent="0.2">
      <c r="A354" t="s">
        <v>361</v>
      </c>
      <c r="B354" t="s">
        <v>11</v>
      </c>
      <c r="C354" t="s">
        <v>12</v>
      </c>
      <c r="D354" s="2">
        <v>45446</v>
      </c>
      <c r="E354">
        <f t="shared" si="5"/>
        <v>353</v>
      </c>
    </row>
    <row r="355" spans="1:5" x14ac:dyDescent="0.2">
      <c r="A355" t="s">
        <v>347</v>
      </c>
      <c r="B355" t="s">
        <v>11</v>
      </c>
      <c r="C355" t="s">
        <v>12</v>
      </c>
      <c r="D355" s="2">
        <v>45447</v>
      </c>
      <c r="E355">
        <f t="shared" si="5"/>
        <v>354</v>
      </c>
    </row>
    <row r="356" spans="1:5" x14ac:dyDescent="0.2">
      <c r="A356" t="s">
        <v>390</v>
      </c>
      <c r="B356" t="s">
        <v>11</v>
      </c>
      <c r="C356" t="s">
        <v>12</v>
      </c>
      <c r="D356" s="2">
        <v>45447</v>
      </c>
      <c r="E356">
        <f t="shared" si="5"/>
        <v>355</v>
      </c>
    </row>
    <row r="357" spans="1:5" x14ac:dyDescent="0.2">
      <c r="A357" t="s">
        <v>305</v>
      </c>
      <c r="B357" t="s">
        <v>11</v>
      </c>
      <c r="C357" t="s">
        <v>12</v>
      </c>
      <c r="D357" s="2">
        <v>45448</v>
      </c>
      <c r="E357">
        <f t="shared" si="5"/>
        <v>356</v>
      </c>
    </row>
    <row r="358" spans="1:5" x14ac:dyDescent="0.2">
      <c r="A358" t="s">
        <v>424</v>
      </c>
      <c r="B358" t="s">
        <v>5</v>
      </c>
      <c r="C358" t="s">
        <v>6</v>
      </c>
      <c r="D358" s="2">
        <v>45448</v>
      </c>
      <c r="E358">
        <f t="shared" si="5"/>
        <v>357</v>
      </c>
    </row>
    <row r="359" spans="1:5" x14ac:dyDescent="0.2">
      <c r="A359" t="s">
        <v>444</v>
      </c>
      <c r="B359" t="s">
        <v>11</v>
      </c>
      <c r="C359" t="s">
        <v>12</v>
      </c>
      <c r="D359" s="2">
        <v>45448</v>
      </c>
      <c r="E359">
        <f t="shared" si="5"/>
        <v>358</v>
      </c>
    </row>
    <row r="360" spans="1:5" x14ac:dyDescent="0.2">
      <c r="A360" t="s">
        <v>451</v>
      </c>
      <c r="B360" t="s">
        <v>11</v>
      </c>
      <c r="C360" t="s">
        <v>12</v>
      </c>
      <c r="D360" s="2">
        <v>45448</v>
      </c>
      <c r="E360">
        <f t="shared" si="5"/>
        <v>359</v>
      </c>
    </row>
    <row r="361" spans="1:5" x14ac:dyDescent="0.2">
      <c r="A361" t="s">
        <v>463</v>
      </c>
      <c r="B361" t="s">
        <v>11</v>
      </c>
      <c r="C361" t="s">
        <v>12</v>
      </c>
      <c r="D361" s="2">
        <v>45448</v>
      </c>
      <c r="E361">
        <f t="shared" si="5"/>
        <v>360</v>
      </c>
    </row>
    <row r="362" spans="1:5" x14ac:dyDescent="0.2">
      <c r="A362" t="s">
        <v>302</v>
      </c>
      <c r="B362" t="s">
        <v>11</v>
      </c>
      <c r="C362" t="s">
        <v>12</v>
      </c>
      <c r="D362" s="2">
        <v>45449</v>
      </c>
      <c r="E362">
        <f t="shared" si="5"/>
        <v>361</v>
      </c>
    </row>
    <row r="363" spans="1:5" x14ac:dyDescent="0.2">
      <c r="A363" t="s">
        <v>340</v>
      </c>
      <c r="B363" t="s">
        <v>11</v>
      </c>
      <c r="C363" t="s">
        <v>12</v>
      </c>
      <c r="D363" s="2">
        <v>45449</v>
      </c>
      <c r="E363">
        <f t="shared" si="5"/>
        <v>362</v>
      </c>
    </row>
    <row r="364" spans="1:5" x14ac:dyDescent="0.2">
      <c r="A364" t="s">
        <v>355</v>
      </c>
      <c r="B364" t="s">
        <v>11</v>
      </c>
      <c r="C364" t="s">
        <v>12</v>
      </c>
      <c r="D364" s="2">
        <v>45449</v>
      </c>
      <c r="E364">
        <f t="shared" si="5"/>
        <v>363</v>
      </c>
    </row>
    <row r="365" spans="1:5" x14ac:dyDescent="0.2">
      <c r="A365" t="s">
        <v>413</v>
      </c>
      <c r="B365" t="s">
        <v>11</v>
      </c>
      <c r="C365" t="s">
        <v>12</v>
      </c>
      <c r="D365" s="2">
        <v>45449</v>
      </c>
      <c r="E365">
        <f t="shared" si="5"/>
        <v>364</v>
      </c>
    </row>
    <row r="366" spans="1:5" x14ac:dyDescent="0.2">
      <c r="A366" t="s">
        <v>416</v>
      </c>
      <c r="B366" t="s">
        <v>11</v>
      </c>
      <c r="C366" t="s">
        <v>12</v>
      </c>
      <c r="D366" s="2">
        <v>45449</v>
      </c>
      <c r="E366">
        <f t="shared" si="5"/>
        <v>365</v>
      </c>
    </row>
    <row r="367" spans="1:5" x14ac:dyDescent="0.2">
      <c r="A367" t="s">
        <v>437</v>
      </c>
      <c r="B367" t="s">
        <v>11</v>
      </c>
      <c r="C367" t="s">
        <v>12</v>
      </c>
      <c r="D367" s="2">
        <v>45449</v>
      </c>
      <c r="E367">
        <f t="shared" si="5"/>
        <v>366</v>
      </c>
    </row>
    <row r="368" spans="1:5" x14ac:dyDescent="0.2">
      <c r="A368" t="s">
        <v>353</v>
      </c>
      <c r="B368" t="s">
        <v>11</v>
      </c>
      <c r="C368" t="s">
        <v>12</v>
      </c>
      <c r="D368" s="2">
        <v>45450</v>
      </c>
      <c r="E368">
        <f t="shared" si="5"/>
        <v>367</v>
      </c>
    </row>
    <row r="369" spans="1:5" x14ac:dyDescent="0.2">
      <c r="A369" t="s">
        <v>362</v>
      </c>
      <c r="B369" t="s">
        <v>11</v>
      </c>
      <c r="C369" t="s">
        <v>12</v>
      </c>
      <c r="D369" s="2">
        <v>45450</v>
      </c>
      <c r="E369">
        <f t="shared" si="5"/>
        <v>368</v>
      </c>
    </row>
    <row r="370" spans="1:5" x14ac:dyDescent="0.2">
      <c r="A370" t="s">
        <v>418</v>
      </c>
      <c r="B370" t="s">
        <v>11</v>
      </c>
      <c r="C370" t="s">
        <v>12</v>
      </c>
      <c r="D370" s="2">
        <v>45451</v>
      </c>
      <c r="E370">
        <f t="shared" si="5"/>
        <v>369</v>
      </c>
    </row>
    <row r="371" spans="1:5" x14ac:dyDescent="0.2">
      <c r="A371" t="s">
        <v>458</v>
      </c>
      <c r="B371" t="s">
        <v>11</v>
      </c>
      <c r="C371" t="s">
        <v>12</v>
      </c>
      <c r="D371" s="2">
        <v>45451</v>
      </c>
      <c r="E371">
        <f t="shared" si="5"/>
        <v>370</v>
      </c>
    </row>
    <row r="372" spans="1:5" x14ac:dyDescent="0.2">
      <c r="A372" t="s">
        <v>470</v>
      </c>
      <c r="B372" t="s">
        <v>11</v>
      </c>
      <c r="C372" t="s">
        <v>12</v>
      </c>
      <c r="D372" s="2">
        <v>45451</v>
      </c>
      <c r="E372">
        <f t="shared" si="5"/>
        <v>371</v>
      </c>
    </row>
    <row r="373" spans="1:5" x14ac:dyDescent="0.2">
      <c r="A373" t="s">
        <v>370</v>
      </c>
      <c r="B373" t="s">
        <v>11</v>
      </c>
      <c r="C373" t="s">
        <v>12</v>
      </c>
      <c r="D373" s="2">
        <v>45452</v>
      </c>
      <c r="E373">
        <f t="shared" si="5"/>
        <v>372</v>
      </c>
    </row>
    <row r="374" spans="1:5" x14ac:dyDescent="0.2">
      <c r="A374" t="s">
        <v>381</v>
      </c>
      <c r="B374" t="s">
        <v>11</v>
      </c>
      <c r="C374" t="s">
        <v>12</v>
      </c>
      <c r="D374" s="2">
        <v>45452</v>
      </c>
      <c r="E374">
        <f t="shared" si="5"/>
        <v>373</v>
      </c>
    </row>
    <row r="375" spans="1:5" x14ac:dyDescent="0.2">
      <c r="A375" t="s">
        <v>405</v>
      </c>
      <c r="B375" t="s">
        <v>11</v>
      </c>
      <c r="C375" t="s">
        <v>12</v>
      </c>
      <c r="D375" s="2">
        <v>45452</v>
      </c>
      <c r="E375">
        <f t="shared" si="5"/>
        <v>374</v>
      </c>
    </row>
    <row r="376" spans="1:5" x14ac:dyDescent="0.2">
      <c r="A376" t="s">
        <v>410</v>
      </c>
      <c r="B376" t="s">
        <v>11</v>
      </c>
      <c r="C376" t="s">
        <v>12</v>
      </c>
      <c r="D376" s="2">
        <v>45452</v>
      </c>
      <c r="E376">
        <f t="shared" si="5"/>
        <v>375</v>
      </c>
    </row>
    <row r="377" spans="1:5" x14ac:dyDescent="0.2">
      <c r="A377" t="s">
        <v>442</v>
      </c>
      <c r="B377" t="s">
        <v>11</v>
      </c>
      <c r="C377" t="s">
        <v>12</v>
      </c>
      <c r="D377" s="2">
        <v>45452</v>
      </c>
      <c r="E377">
        <f t="shared" si="5"/>
        <v>376</v>
      </c>
    </row>
    <row r="378" spans="1:5" x14ac:dyDescent="0.2">
      <c r="A378" t="s">
        <v>464</v>
      </c>
      <c r="B378" t="s">
        <v>11</v>
      </c>
      <c r="C378" t="s">
        <v>12</v>
      </c>
      <c r="D378" s="2">
        <v>45452</v>
      </c>
      <c r="E378">
        <f t="shared" si="5"/>
        <v>377</v>
      </c>
    </row>
    <row r="379" spans="1:5" x14ac:dyDescent="0.2">
      <c r="A379" t="s">
        <v>367</v>
      </c>
      <c r="B379" t="s">
        <v>11</v>
      </c>
      <c r="C379" t="s">
        <v>12</v>
      </c>
      <c r="D379" s="2">
        <v>45453</v>
      </c>
      <c r="E379">
        <f t="shared" si="5"/>
        <v>378</v>
      </c>
    </row>
    <row r="380" spans="1:5" x14ac:dyDescent="0.2">
      <c r="A380" t="s">
        <v>394</v>
      </c>
      <c r="B380" t="s">
        <v>11</v>
      </c>
      <c r="C380" t="s">
        <v>12</v>
      </c>
      <c r="D380" s="2">
        <v>45453</v>
      </c>
      <c r="E380">
        <f t="shared" si="5"/>
        <v>379</v>
      </c>
    </row>
    <row r="381" spans="1:5" x14ac:dyDescent="0.2">
      <c r="A381" t="s">
        <v>425</v>
      </c>
      <c r="B381" t="s">
        <v>11</v>
      </c>
      <c r="C381" t="s">
        <v>12</v>
      </c>
      <c r="D381" s="2">
        <v>45453</v>
      </c>
      <c r="E381">
        <f t="shared" si="5"/>
        <v>380</v>
      </c>
    </row>
    <row r="382" spans="1:5" x14ac:dyDescent="0.2">
      <c r="A382" t="s">
        <v>348</v>
      </c>
      <c r="B382" t="s">
        <v>11</v>
      </c>
      <c r="C382" t="s">
        <v>12</v>
      </c>
      <c r="D382" s="2">
        <v>45454</v>
      </c>
      <c r="E382">
        <f t="shared" si="5"/>
        <v>381</v>
      </c>
    </row>
    <row r="383" spans="1:5" x14ac:dyDescent="0.2">
      <c r="A383" t="s">
        <v>379</v>
      </c>
      <c r="B383" t="s">
        <v>11</v>
      </c>
      <c r="C383" t="s">
        <v>12</v>
      </c>
      <c r="D383" s="2">
        <v>45454</v>
      </c>
      <c r="E383">
        <f t="shared" si="5"/>
        <v>382</v>
      </c>
    </row>
    <row r="384" spans="1:5" x14ac:dyDescent="0.2">
      <c r="A384" t="s">
        <v>449</v>
      </c>
      <c r="B384" t="s">
        <v>11</v>
      </c>
      <c r="C384" t="s">
        <v>12</v>
      </c>
      <c r="D384" s="2">
        <v>45454</v>
      </c>
      <c r="E384">
        <f t="shared" si="5"/>
        <v>383</v>
      </c>
    </row>
    <row r="385" spans="1:5" x14ac:dyDescent="0.2">
      <c r="A385" t="s">
        <v>478</v>
      </c>
      <c r="B385" t="s">
        <v>11</v>
      </c>
      <c r="C385" t="s">
        <v>12</v>
      </c>
      <c r="D385" s="2">
        <v>45454</v>
      </c>
      <c r="E385">
        <f t="shared" si="5"/>
        <v>384</v>
      </c>
    </row>
    <row r="386" spans="1:5" x14ac:dyDescent="0.2">
      <c r="A386" t="s">
        <v>298</v>
      </c>
      <c r="B386" t="s">
        <v>11</v>
      </c>
      <c r="C386" t="s">
        <v>12</v>
      </c>
      <c r="D386" s="2">
        <v>45455</v>
      </c>
      <c r="E386">
        <f t="shared" si="5"/>
        <v>385</v>
      </c>
    </row>
    <row r="387" spans="1:5" x14ac:dyDescent="0.2">
      <c r="A387" t="s">
        <v>400</v>
      </c>
      <c r="B387" t="s">
        <v>11</v>
      </c>
      <c r="C387" t="s">
        <v>12</v>
      </c>
      <c r="D387" s="2">
        <v>45455</v>
      </c>
      <c r="E387">
        <f t="shared" si="5"/>
        <v>386</v>
      </c>
    </row>
    <row r="388" spans="1:5" x14ac:dyDescent="0.2">
      <c r="A388" t="s">
        <v>408</v>
      </c>
      <c r="B388" t="s">
        <v>11</v>
      </c>
      <c r="C388" t="s">
        <v>12</v>
      </c>
      <c r="D388" s="2">
        <v>45455</v>
      </c>
      <c r="E388">
        <f t="shared" ref="E388:E451" si="6">E387+1</f>
        <v>387</v>
      </c>
    </row>
    <row r="389" spans="1:5" x14ac:dyDescent="0.2">
      <c r="A389" t="s">
        <v>420</v>
      </c>
      <c r="B389" t="s">
        <v>11</v>
      </c>
      <c r="C389" t="s">
        <v>12</v>
      </c>
      <c r="D389" s="2">
        <v>45455</v>
      </c>
      <c r="E389">
        <f t="shared" si="6"/>
        <v>388</v>
      </c>
    </row>
    <row r="390" spans="1:5" x14ac:dyDescent="0.2">
      <c r="A390" t="s">
        <v>467</v>
      </c>
      <c r="B390" t="s">
        <v>11</v>
      </c>
      <c r="C390" t="s">
        <v>12</v>
      </c>
      <c r="D390" s="2">
        <v>45455</v>
      </c>
      <c r="E390">
        <f t="shared" si="6"/>
        <v>389</v>
      </c>
    </row>
    <row r="391" spans="1:5" x14ac:dyDescent="0.2">
      <c r="A391" t="s">
        <v>475</v>
      </c>
      <c r="B391" t="s">
        <v>11</v>
      </c>
      <c r="C391" t="s">
        <v>12</v>
      </c>
      <c r="D391" s="2">
        <v>45455</v>
      </c>
      <c r="E391">
        <f t="shared" si="6"/>
        <v>390</v>
      </c>
    </row>
    <row r="392" spans="1:5" x14ac:dyDescent="0.2">
      <c r="A392" t="s">
        <v>488</v>
      </c>
      <c r="B392" t="s">
        <v>11</v>
      </c>
      <c r="C392" t="s">
        <v>12</v>
      </c>
      <c r="D392" s="2">
        <v>45455</v>
      </c>
      <c r="E392">
        <f t="shared" si="6"/>
        <v>391</v>
      </c>
    </row>
    <row r="393" spans="1:5" x14ac:dyDescent="0.2">
      <c r="A393" t="s">
        <v>365</v>
      </c>
      <c r="B393" t="s">
        <v>11</v>
      </c>
      <c r="C393" t="s">
        <v>12</v>
      </c>
      <c r="D393" s="2">
        <v>45456</v>
      </c>
      <c r="E393">
        <f t="shared" si="6"/>
        <v>392</v>
      </c>
    </row>
    <row r="394" spans="1:5" x14ac:dyDescent="0.2">
      <c r="A394" t="s">
        <v>443</v>
      </c>
      <c r="B394" t="s">
        <v>11</v>
      </c>
      <c r="C394" t="s">
        <v>12</v>
      </c>
      <c r="D394" s="2">
        <v>45456</v>
      </c>
      <c r="E394">
        <f t="shared" si="6"/>
        <v>393</v>
      </c>
    </row>
    <row r="395" spans="1:5" x14ac:dyDescent="0.2">
      <c r="A395" t="s">
        <v>468</v>
      </c>
      <c r="B395" t="s">
        <v>11</v>
      </c>
      <c r="C395" t="s">
        <v>12</v>
      </c>
      <c r="D395" s="2">
        <v>45456</v>
      </c>
      <c r="E395">
        <f t="shared" si="6"/>
        <v>394</v>
      </c>
    </row>
    <row r="396" spans="1:5" x14ac:dyDescent="0.2">
      <c r="A396" t="s">
        <v>326</v>
      </c>
      <c r="B396" t="s">
        <v>11</v>
      </c>
      <c r="C396" t="s">
        <v>12</v>
      </c>
      <c r="D396" s="2">
        <v>45457</v>
      </c>
      <c r="E396">
        <f t="shared" si="6"/>
        <v>395</v>
      </c>
    </row>
    <row r="397" spans="1:5" x14ac:dyDescent="0.2">
      <c r="A397" t="s">
        <v>419</v>
      </c>
      <c r="B397" t="s">
        <v>11</v>
      </c>
      <c r="C397" t="s">
        <v>12</v>
      </c>
      <c r="D397" s="2">
        <v>45457</v>
      </c>
      <c r="E397">
        <f t="shared" si="6"/>
        <v>396</v>
      </c>
    </row>
    <row r="398" spans="1:5" x14ac:dyDescent="0.2">
      <c r="A398" t="s">
        <v>436</v>
      </c>
      <c r="B398" t="s">
        <v>11</v>
      </c>
      <c r="C398" t="s">
        <v>12</v>
      </c>
      <c r="D398" s="2">
        <v>45457</v>
      </c>
      <c r="E398">
        <f t="shared" si="6"/>
        <v>397</v>
      </c>
    </row>
    <row r="399" spans="1:5" x14ac:dyDescent="0.2">
      <c r="A399" t="s">
        <v>474</v>
      </c>
      <c r="B399" t="s">
        <v>11</v>
      </c>
      <c r="C399" t="s">
        <v>12</v>
      </c>
      <c r="D399" s="2">
        <v>45457</v>
      </c>
      <c r="E399">
        <f t="shared" si="6"/>
        <v>398</v>
      </c>
    </row>
    <row r="400" spans="1:5" x14ac:dyDescent="0.2">
      <c r="A400" t="s">
        <v>382</v>
      </c>
      <c r="B400" t="s">
        <v>11</v>
      </c>
      <c r="C400" t="s">
        <v>12</v>
      </c>
      <c r="D400" s="2">
        <v>45458</v>
      </c>
      <c r="E400">
        <f t="shared" si="6"/>
        <v>399</v>
      </c>
    </row>
    <row r="401" spans="1:5" x14ac:dyDescent="0.2">
      <c r="A401" t="s">
        <v>415</v>
      </c>
      <c r="B401" t="s">
        <v>11</v>
      </c>
      <c r="C401" t="s">
        <v>12</v>
      </c>
      <c r="D401" s="2">
        <v>45458</v>
      </c>
      <c r="E401">
        <f t="shared" si="6"/>
        <v>400</v>
      </c>
    </row>
    <row r="402" spans="1:5" x14ac:dyDescent="0.2">
      <c r="A402" t="s">
        <v>469</v>
      </c>
      <c r="B402" t="s">
        <v>11</v>
      </c>
      <c r="C402" t="s">
        <v>12</v>
      </c>
      <c r="D402" s="2">
        <v>45458</v>
      </c>
      <c r="E402">
        <f t="shared" si="6"/>
        <v>401</v>
      </c>
    </row>
    <row r="403" spans="1:5" x14ac:dyDescent="0.2">
      <c r="A403" t="s">
        <v>335</v>
      </c>
      <c r="B403" t="s">
        <v>11</v>
      </c>
      <c r="C403" t="s">
        <v>12</v>
      </c>
      <c r="D403" s="2">
        <v>45460</v>
      </c>
      <c r="E403">
        <f t="shared" si="6"/>
        <v>402</v>
      </c>
    </row>
    <row r="404" spans="1:5" x14ac:dyDescent="0.2">
      <c r="A404" t="s">
        <v>378</v>
      </c>
      <c r="B404" t="s">
        <v>11</v>
      </c>
      <c r="C404" t="s">
        <v>12</v>
      </c>
      <c r="D404" s="2">
        <v>45460</v>
      </c>
      <c r="E404">
        <f t="shared" si="6"/>
        <v>403</v>
      </c>
    </row>
    <row r="405" spans="1:5" x14ac:dyDescent="0.2">
      <c r="A405" t="s">
        <v>396</v>
      </c>
      <c r="B405" t="s">
        <v>11</v>
      </c>
      <c r="C405" t="s">
        <v>12</v>
      </c>
      <c r="D405" s="2">
        <v>45460</v>
      </c>
      <c r="E405">
        <f t="shared" si="6"/>
        <v>404</v>
      </c>
    </row>
    <row r="406" spans="1:5" x14ac:dyDescent="0.2">
      <c r="A406" t="s">
        <v>401</v>
      </c>
      <c r="B406" t="s">
        <v>11</v>
      </c>
      <c r="C406" t="s">
        <v>12</v>
      </c>
      <c r="D406" s="2">
        <v>45460</v>
      </c>
      <c r="E406">
        <f t="shared" si="6"/>
        <v>405</v>
      </c>
    </row>
    <row r="407" spans="1:5" x14ac:dyDescent="0.2">
      <c r="A407" t="s">
        <v>446</v>
      </c>
      <c r="B407" t="s">
        <v>11</v>
      </c>
      <c r="C407" t="s">
        <v>12</v>
      </c>
      <c r="D407" s="2">
        <v>45460</v>
      </c>
      <c r="E407">
        <f t="shared" si="6"/>
        <v>406</v>
      </c>
    </row>
    <row r="408" spans="1:5" x14ac:dyDescent="0.2">
      <c r="A408" t="s">
        <v>389</v>
      </c>
      <c r="B408" t="s">
        <v>11</v>
      </c>
      <c r="C408" t="s">
        <v>12</v>
      </c>
      <c r="D408" s="2">
        <v>45462</v>
      </c>
      <c r="E408">
        <f t="shared" si="6"/>
        <v>407</v>
      </c>
    </row>
    <row r="409" spans="1:5" x14ac:dyDescent="0.2">
      <c r="A409" t="s">
        <v>447</v>
      </c>
      <c r="B409" t="s">
        <v>11</v>
      </c>
      <c r="C409" t="s">
        <v>12</v>
      </c>
      <c r="D409" s="2">
        <v>45462</v>
      </c>
      <c r="E409">
        <f t="shared" si="6"/>
        <v>408</v>
      </c>
    </row>
    <row r="410" spans="1:5" x14ac:dyDescent="0.2">
      <c r="A410" t="s">
        <v>457</v>
      </c>
      <c r="B410" t="s">
        <v>11</v>
      </c>
      <c r="C410" t="s">
        <v>12</v>
      </c>
      <c r="D410" s="2">
        <v>45462</v>
      </c>
      <c r="E410">
        <f t="shared" si="6"/>
        <v>409</v>
      </c>
    </row>
    <row r="411" spans="1:5" x14ac:dyDescent="0.2">
      <c r="A411" t="s">
        <v>483</v>
      </c>
      <c r="B411" t="s">
        <v>11</v>
      </c>
      <c r="C411" t="s">
        <v>12</v>
      </c>
      <c r="D411" s="2">
        <v>45462</v>
      </c>
      <c r="E411">
        <f t="shared" si="6"/>
        <v>410</v>
      </c>
    </row>
    <row r="412" spans="1:5" x14ac:dyDescent="0.2">
      <c r="A412" t="s">
        <v>495</v>
      </c>
      <c r="B412" t="s">
        <v>11</v>
      </c>
      <c r="C412" t="s">
        <v>12</v>
      </c>
      <c r="D412" s="2">
        <v>45462</v>
      </c>
      <c r="E412">
        <f t="shared" si="6"/>
        <v>411</v>
      </c>
    </row>
    <row r="413" spans="1:5" x14ac:dyDescent="0.2">
      <c r="A413" t="s">
        <v>517</v>
      </c>
      <c r="B413" t="s">
        <v>11</v>
      </c>
      <c r="C413" t="s">
        <v>12</v>
      </c>
      <c r="D413" s="2">
        <v>45462</v>
      </c>
      <c r="E413">
        <f t="shared" si="6"/>
        <v>412</v>
      </c>
    </row>
    <row r="414" spans="1:5" x14ac:dyDescent="0.2">
      <c r="A414" t="s">
        <v>341</v>
      </c>
      <c r="B414" t="s">
        <v>11</v>
      </c>
      <c r="C414" t="s">
        <v>12</v>
      </c>
      <c r="D414" s="2">
        <v>45463</v>
      </c>
      <c r="E414">
        <f t="shared" si="6"/>
        <v>413</v>
      </c>
    </row>
    <row r="415" spans="1:5" x14ac:dyDescent="0.2">
      <c r="A415" t="s">
        <v>392</v>
      </c>
      <c r="B415" t="s">
        <v>11</v>
      </c>
      <c r="C415" t="s">
        <v>12</v>
      </c>
      <c r="D415" s="2">
        <v>45463</v>
      </c>
      <c r="E415">
        <f t="shared" si="6"/>
        <v>414</v>
      </c>
    </row>
    <row r="416" spans="1:5" x14ac:dyDescent="0.2">
      <c r="A416" t="s">
        <v>407</v>
      </c>
      <c r="B416" t="s">
        <v>11</v>
      </c>
      <c r="C416" t="s">
        <v>12</v>
      </c>
      <c r="D416" s="2">
        <v>45463</v>
      </c>
      <c r="E416">
        <f t="shared" si="6"/>
        <v>415</v>
      </c>
    </row>
    <row r="417" spans="1:5" x14ac:dyDescent="0.2">
      <c r="A417" t="s">
        <v>471</v>
      </c>
      <c r="B417" t="s">
        <v>11</v>
      </c>
      <c r="C417" t="s">
        <v>12</v>
      </c>
      <c r="D417" s="2">
        <v>45463</v>
      </c>
      <c r="E417">
        <f t="shared" si="6"/>
        <v>416</v>
      </c>
    </row>
    <row r="418" spans="1:5" x14ac:dyDescent="0.2">
      <c r="A418" t="s">
        <v>527</v>
      </c>
      <c r="B418" t="s">
        <v>11</v>
      </c>
      <c r="C418" t="s">
        <v>12</v>
      </c>
      <c r="D418" s="2">
        <v>45463</v>
      </c>
      <c r="E418">
        <f t="shared" si="6"/>
        <v>417</v>
      </c>
    </row>
    <row r="419" spans="1:5" x14ac:dyDescent="0.2">
      <c r="A419" t="s">
        <v>528</v>
      </c>
      <c r="B419" t="s">
        <v>11</v>
      </c>
      <c r="C419" t="s">
        <v>12</v>
      </c>
      <c r="D419" s="2">
        <v>45463</v>
      </c>
      <c r="E419">
        <f t="shared" si="6"/>
        <v>418</v>
      </c>
    </row>
    <row r="420" spans="1:5" x14ac:dyDescent="0.2">
      <c r="A420" t="s">
        <v>484</v>
      </c>
      <c r="B420" t="s">
        <v>11</v>
      </c>
      <c r="C420" t="s">
        <v>12</v>
      </c>
      <c r="D420" s="2">
        <v>45464</v>
      </c>
      <c r="E420">
        <f t="shared" si="6"/>
        <v>419</v>
      </c>
    </row>
    <row r="421" spans="1:5" x14ac:dyDescent="0.2">
      <c r="A421" t="s">
        <v>499</v>
      </c>
      <c r="B421" t="s">
        <v>11</v>
      </c>
      <c r="C421" t="s">
        <v>12</v>
      </c>
      <c r="D421" s="2">
        <v>45464</v>
      </c>
      <c r="E421">
        <f t="shared" si="6"/>
        <v>420</v>
      </c>
    </row>
    <row r="422" spans="1:5" x14ac:dyDescent="0.2">
      <c r="A422" t="s">
        <v>501</v>
      </c>
      <c r="B422" t="s">
        <v>11</v>
      </c>
      <c r="C422" t="s">
        <v>12</v>
      </c>
      <c r="D422" s="2">
        <v>45464</v>
      </c>
      <c r="E422">
        <f t="shared" si="6"/>
        <v>421</v>
      </c>
    </row>
    <row r="423" spans="1:5" x14ac:dyDescent="0.2">
      <c r="A423" t="s">
        <v>364</v>
      </c>
      <c r="B423" t="s">
        <v>11</v>
      </c>
      <c r="C423" t="s">
        <v>12</v>
      </c>
      <c r="D423" s="2">
        <v>45465</v>
      </c>
      <c r="E423">
        <f t="shared" si="6"/>
        <v>422</v>
      </c>
    </row>
    <row r="424" spans="1:5" x14ac:dyDescent="0.2">
      <c r="A424" t="s">
        <v>403</v>
      </c>
      <c r="B424" t="s">
        <v>11</v>
      </c>
      <c r="C424" t="s">
        <v>12</v>
      </c>
      <c r="D424" s="2">
        <v>45465</v>
      </c>
      <c r="E424">
        <f t="shared" si="6"/>
        <v>423</v>
      </c>
    </row>
    <row r="425" spans="1:5" x14ac:dyDescent="0.2">
      <c r="A425" t="s">
        <v>434</v>
      </c>
      <c r="B425" t="s">
        <v>11</v>
      </c>
      <c r="C425" t="s">
        <v>12</v>
      </c>
      <c r="D425" s="2">
        <v>45465</v>
      </c>
      <c r="E425">
        <f t="shared" si="6"/>
        <v>424</v>
      </c>
    </row>
    <row r="426" spans="1:5" x14ac:dyDescent="0.2">
      <c r="A426" t="s">
        <v>441</v>
      </c>
      <c r="B426" t="s">
        <v>11</v>
      </c>
      <c r="C426" t="s">
        <v>12</v>
      </c>
      <c r="D426" s="2">
        <v>45465</v>
      </c>
      <c r="E426">
        <f t="shared" si="6"/>
        <v>425</v>
      </c>
    </row>
    <row r="427" spans="1:5" x14ac:dyDescent="0.2">
      <c r="A427" t="s">
        <v>461</v>
      </c>
      <c r="B427" t="s">
        <v>11</v>
      </c>
      <c r="C427" t="s">
        <v>12</v>
      </c>
      <c r="D427" s="2">
        <v>45465</v>
      </c>
      <c r="E427">
        <f t="shared" si="6"/>
        <v>426</v>
      </c>
    </row>
    <row r="428" spans="1:5" x14ac:dyDescent="0.2">
      <c r="A428" t="s">
        <v>465</v>
      </c>
      <c r="B428" t="s">
        <v>11</v>
      </c>
      <c r="C428" t="s">
        <v>12</v>
      </c>
      <c r="D428" s="2">
        <v>45465</v>
      </c>
      <c r="E428">
        <f t="shared" si="6"/>
        <v>427</v>
      </c>
    </row>
    <row r="429" spans="1:5" x14ac:dyDescent="0.2">
      <c r="A429" t="s">
        <v>502</v>
      </c>
      <c r="B429" t="s">
        <v>11</v>
      </c>
      <c r="C429" t="s">
        <v>12</v>
      </c>
      <c r="D429" s="2">
        <v>45465</v>
      </c>
      <c r="E429">
        <f t="shared" si="6"/>
        <v>428</v>
      </c>
    </row>
    <row r="430" spans="1:5" x14ac:dyDescent="0.2">
      <c r="A430" t="s">
        <v>531</v>
      </c>
      <c r="B430" t="s">
        <v>11</v>
      </c>
      <c r="C430" t="s">
        <v>12</v>
      </c>
      <c r="D430" s="2">
        <v>45465</v>
      </c>
      <c r="E430">
        <f t="shared" si="6"/>
        <v>429</v>
      </c>
    </row>
    <row r="431" spans="1:5" x14ac:dyDescent="0.2">
      <c r="A431" t="s">
        <v>350</v>
      </c>
      <c r="B431" t="s">
        <v>11</v>
      </c>
      <c r="C431" t="s">
        <v>12</v>
      </c>
      <c r="D431" s="2">
        <v>45466</v>
      </c>
      <c r="E431">
        <f t="shared" si="6"/>
        <v>430</v>
      </c>
    </row>
    <row r="432" spans="1:5" x14ac:dyDescent="0.2">
      <c r="A432" t="s">
        <v>380</v>
      </c>
      <c r="B432" t="s">
        <v>11</v>
      </c>
      <c r="C432" t="s">
        <v>12</v>
      </c>
      <c r="D432" s="2">
        <v>45466</v>
      </c>
      <c r="E432">
        <f t="shared" si="6"/>
        <v>431</v>
      </c>
    </row>
    <row r="433" spans="1:5" x14ac:dyDescent="0.2">
      <c r="A433" t="s">
        <v>399</v>
      </c>
      <c r="B433" t="s">
        <v>11</v>
      </c>
      <c r="C433" t="s">
        <v>12</v>
      </c>
      <c r="D433" s="2">
        <v>45466</v>
      </c>
      <c r="E433">
        <f t="shared" si="6"/>
        <v>432</v>
      </c>
    </row>
    <row r="434" spans="1:5" x14ac:dyDescent="0.2">
      <c r="A434" t="s">
        <v>421</v>
      </c>
      <c r="B434" t="s">
        <v>11</v>
      </c>
      <c r="C434" t="s">
        <v>12</v>
      </c>
      <c r="D434" s="2">
        <v>45466</v>
      </c>
      <c r="E434">
        <f t="shared" si="6"/>
        <v>433</v>
      </c>
    </row>
    <row r="435" spans="1:5" x14ac:dyDescent="0.2">
      <c r="A435" t="s">
        <v>439</v>
      </c>
      <c r="B435" t="s">
        <v>11</v>
      </c>
      <c r="C435" t="s">
        <v>12</v>
      </c>
      <c r="D435" s="2">
        <v>45466</v>
      </c>
      <c r="E435">
        <f t="shared" si="6"/>
        <v>434</v>
      </c>
    </row>
    <row r="436" spans="1:5" x14ac:dyDescent="0.2">
      <c r="A436" t="s">
        <v>490</v>
      </c>
      <c r="B436" t="s">
        <v>11</v>
      </c>
      <c r="C436" t="s">
        <v>12</v>
      </c>
      <c r="D436" s="2">
        <v>45466</v>
      </c>
      <c r="E436">
        <f t="shared" si="6"/>
        <v>435</v>
      </c>
    </row>
    <row r="437" spans="1:5" x14ac:dyDescent="0.2">
      <c r="A437" t="s">
        <v>519</v>
      </c>
      <c r="B437" t="s">
        <v>11</v>
      </c>
      <c r="C437" t="s">
        <v>12</v>
      </c>
      <c r="D437" s="2">
        <v>45466</v>
      </c>
      <c r="E437">
        <f t="shared" si="6"/>
        <v>436</v>
      </c>
    </row>
    <row r="438" spans="1:5" x14ac:dyDescent="0.2">
      <c r="A438" t="s">
        <v>315</v>
      </c>
      <c r="B438" t="s">
        <v>11</v>
      </c>
      <c r="C438" t="s">
        <v>12</v>
      </c>
      <c r="D438" s="2">
        <v>45467</v>
      </c>
      <c r="E438">
        <f t="shared" si="6"/>
        <v>437</v>
      </c>
    </row>
    <row r="439" spans="1:5" x14ac:dyDescent="0.2">
      <c r="A439" t="s">
        <v>385</v>
      </c>
      <c r="B439" t="s">
        <v>11</v>
      </c>
      <c r="C439" t="s">
        <v>12</v>
      </c>
      <c r="D439" s="2">
        <v>45467</v>
      </c>
      <c r="E439">
        <f t="shared" si="6"/>
        <v>438</v>
      </c>
    </row>
    <row r="440" spans="1:5" x14ac:dyDescent="0.2">
      <c r="A440" t="s">
        <v>417</v>
      </c>
      <c r="B440" t="s">
        <v>11</v>
      </c>
      <c r="C440" t="s">
        <v>12</v>
      </c>
      <c r="D440" s="2">
        <v>45467</v>
      </c>
      <c r="E440">
        <f t="shared" si="6"/>
        <v>439</v>
      </c>
    </row>
    <row r="441" spans="1:5" x14ac:dyDescent="0.2">
      <c r="A441" t="s">
        <v>433</v>
      </c>
      <c r="B441" t="s">
        <v>11</v>
      </c>
      <c r="C441" t="s">
        <v>12</v>
      </c>
      <c r="D441" s="2">
        <v>45467</v>
      </c>
      <c r="E441">
        <f t="shared" si="6"/>
        <v>440</v>
      </c>
    </row>
    <row r="442" spans="1:5" x14ac:dyDescent="0.2">
      <c r="A442" t="s">
        <v>506</v>
      </c>
      <c r="B442" t="s">
        <v>11</v>
      </c>
      <c r="C442" t="s">
        <v>12</v>
      </c>
      <c r="D442" s="2">
        <v>45467</v>
      </c>
      <c r="E442">
        <f t="shared" si="6"/>
        <v>441</v>
      </c>
    </row>
    <row r="443" spans="1:5" x14ac:dyDescent="0.2">
      <c r="A443" t="s">
        <v>508</v>
      </c>
      <c r="B443" t="s">
        <v>11</v>
      </c>
      <c r="C443" t="s">
        <v>12</v>
      </c>
      <c r="D443" s="2">
        <v>45467</v>
      </c>
      <c r="E443">
        <f t="shared" si="6"/>
        <v>442</v>
      </c>
    </row>
    <row r="444" spans="1:5" x14ac:dyDescent="0.2">
      <c r="A444" t="s">
        <v>514</v>
      </c>
      <c r="B444" t="s">
        <v>11</v>
      </c>
      <c r="C444" t="s">
        <v>12</v>
      </c>
      <c r="D444" s="2">
        <v>45467</v>
      </c>
      <c r="E444">
        <f t="shared" si="6"/>
        <v>443</v>
      </c>
    </row>
    <row r="445" spans="1:5" x14ac:dyDescent="0.2">
      <c r="A445" t="s">
        <v>369</v>
      </c>
      <c r="B445" t="s">
        <v>11</v>
      </c>
      <c r="C445" t="s">
        <v>12</v>
      </c>
      <c r="D445" s="2">
        <v>45468</v>
      </c>
      <c r="E445">
        <f t="shared" si="6"/>
        <v>444</v>
      </c>
    </row>
    <row r="446" spans="1:5" x14ac:dyDescent="0.2">
      <c r="A446" t="s">
        <v>480</v>
      </c>
      <c r="B446" t="s">
        <v>11</v>
      </c>
      <c r="C446" t="s">
        <v>12</v>
      </c>
      <c r="D446" s="2">
        <v>45468</v>
      </c>
      <c r="E446">
        <f t="shared" si="6"/>
        <v>445</v>
      </c>
    </row>
    <row r="447" spans="1:5" x14ac:dyDescent="0.2">
      <c r="A447" t="s">
        <v>518</v>
      </c>
      <c r="B447" t="s">
        <v>11</v>
      </c>
      <c r="C447" t="s">
        <v>12</v>
      </c>
      <c r="D447" s="2">
        <v>45468</v>
      </c>
      <c r="E447">
        <f t="shared" si="6"/>
        <v>446</v>
      </c>
    </row>
    <row r="448" spans="1:5" x14ac:dyDescent="0.2">
      <c r="A448" t="s">
        <v>377</v>
      </c>
      <c r="B448" t="s">
        <v>11</v>
      </c>
      <c r="C448" t="s">
        <v>12</v>
      </c>
      <c r="D448" s="2">
        <v>45469</v>
      </c>
      <c r="E448">
        <f t="shared" si="6"/>
        <v>447</v>
      </c>
    </row>
    <row r="449" spans="1:5" x14ac:dyDescent="0.2">
      <c r="A449" t="s">
        <v>440</v>
      </c>
      <c r="B449" t="s">
        <v>11</v>
      </c>
      <c r="C449" t="s">
        <v>12</v>
      </c>
      <c r="D449" s="2">
        <v>45469</v>
      </c>
      <c r="E449">
        <f t="shared" si="6"/>
        <v>448</v>
      </c>
    </row>
    <row r="450" spans="1:5" x14ac:dyDescent="0.2">
      <c r="A450" t="s">
        <v>476</v>
      </c>
      <c r="B450" t="s">
        <v>11</v>
      </c>
      <c r="C450" t="s">
        <v>12</v>
      </c>
      <c r="D450" s="2">
        <v>45469</v>
      </c>
      <c r="E450">
        <f t="shared" si="6"/>
        <v>449</v>
      </c>
    </row>
    <row r="451" spans="1:5" x14ac:dyDescent="0.2">
      <c r="A451" t="s">
        <v>366</v>
      </c>
      <c r="B451" t="s">
        <v>11</v>
      </c>
      <c r="C451" t="s">
        <v>12</v>
      </c>
      <c r="D451" s="2">
        <v>45470</v>
      </c>
      <c r="E451">
        <f t="shared" si="6"/>
        <v>450</v>
      </c>
    </row>
    <row r="452" spans="1:5" x14ac:dyDescent="0.2">
      <c r="A452" t="s">
        <v>397</v>
      </c>
      <c r="B452" t="s">
        <v>11</v>
      </c>
      <c r="C452" t="s">
        <v>12</v>
      </c>
      <c r="D452" s="2">
        <v>45470</v>
      </c>
      <c r="E452">
        <f t="shared" ref="E452:E515" si="7">E451+1</f>
        <v>451</v>
      </c>
    </row>
    <row r="453" spans="1:5" x14ac:dyDescent="0.2">
      <c r="A453" t="s">
        <v>456</v>
      </c>
      <c r="B453" t="s">
        <v>11</v>
      </c>
      <c r="C453" t="s">
        <v>12</v>
      </c>
      <c r="D453" s="2">
        <v>45470</v>
      </c>
      <c r="E453">
        <f t="shared" si="7"/>
        <v>452</v>
      </c>
    </row>
    <row r="454" spans="1:5" x14ac:dyDescent="0.2">
      <c r="A454" t="s">
        <v>482</v>
      </c>
      <c r="B454" t="s">
        <v>11</v>
      </c>
      <c r="C454" t="s">
        <v>12</v>
      </c>
      <c r="D454" s="2">
        <v>45470</v>
      </c>
      <c r="E454">
        <f t="shared" si="7"/>
        <v>453</v>
      </c>
    </row>
    <row r="455" spans="1:5" x14ac:dyDescent="0.2">
      <c r="A455" t="s">
        <v>504</v>
      </c>
      <c r="B455" t="s">
        <v>11</v>
      </c>
      <c r="C455" t="s">
        <v>12</v>
      </c>
      <c r="D455" s="2">
        <v>45470</v>
      </c>
      <c r="E455">
        <f t="shared" si="7"/>
        <v>454</v>
      </c>
    </row>
    <row r="456" spans="1:5" x14ac:dyDescent="0.2">
      <c r="A456" t="s">
        <v>555</v>
      </c>
      <c r="B456" t="s">
        <v>11</v>
      </c>
      <c r="C456" t="s">
        <v>12</v>
      </c>
      <c r="D456" s="2">
        <v>45470</v>
      </c>
      <c r="E456">
        <f t="shared" si="7"/>
        <v>455</v>
      </c>
    </row>
    <row r="457" spans="1:5" x14ac:dyDescent="0.2">
      <c r="A457" t="s">
        <v>316</v>
      </c>
      <c r="B457" t="s">
        <v>11</v>
      </c>
      <c r="C457" t="s">
        <v>12</v>
      </c>
      <c r="D457" s="2">
        <v>45471</v>
      </c>
      <c r="E457">
        <f t="shared" si="7"/>
        <v>456</v>
      </c>
    </row>
    <row r="458" spans="1:5" x14ac:dyDescent="0.2">
      <c r="A458" t="s">
        <v>500</v>
      </c>
      <c r="B458" t="s">
        <v>11</v>
      </c>
      <c r="C458" t="s">
        <v>12</v>
      </c>
      <c r="D458" s="2">
        <v>45471</v>
      </c>
      <c r="E458">
        <f t="shared" si="7"/>
        <v>457</v>
      </c>
    </row>
    <row r="459" spans="1:5" x14ac:dyDescent="0.2">
      <c r="A459" t="s">
        <v>513</v>
      </c>
      <c r="B459" t="s">
        <v>11</v>
      </c>
      <c r="C459" t="s">
        <v>12</v>
      </c>
      <c r="D459" s="2">
        <v>45471</v>
      </c>
      <c r="E459">
        <f t="shared" si="7"/>
        <v>458</v>
      </c>
    </row>
    <row r="460" spans="1:5" x14ac:dyDescent="0.2">
      <c r="A460" t="s">
        <v>539</v>
      </c>
      <c r="B460" t="s">
        <v>11</v>
      </c>
      <c r="C460" t="s">
        <v>12</v>
      </c>
      <c r="D460" s="2">
        <v>45471</v>
      </c>
      <c r="E460">
        <f t="shared" si="7"/>
        <v>459</v>
      </c>
    </row>
    <row r="461" spans="1:5" x14ac:dyDescent="0.2">
      <c r="A461" t="s">
        <v>549</v>
      </c>
      <c r="B461" t="s">
        <v>11</v>
      </c>
      <c r="C461" t="s">
        <v>12</v>
      </c>
      <c r="D461" s="2">
        <v>45471</v>
      </c>
      <c r="E461">
        <f t="shared" si="7"/>
        <v>460</v>
      </c>
    </row>
    <row r="462" spans="1:5" x14ac:dyDescent="0.2">
      <c r="A462" t="s">
        <v>336</v>
      </c>
      <c r="B462" t="s">
        <v>11</v>
      </c>
      <c r="C462" t="s">
        <v>12</v>
      </c>
      <c r="D462" s="2">
        <v>45472</v>
      </c>
      <c r="E462">
        <f t="shared" si="7"/>
        <v>461</v>
      </c>
    </row>
    <row r="463" spans="1:5" x14ac:dyDescent="0.2">
      <c r="A463" t="s">
        <v>393</v>
      </c>
      <c r="B463" t="s">
        <v>11</v>
      </c>
      <c r="C463" t="s">
        <v>12</v>
      </c>
      <c r="D463" s="2">
        <v>45472</v>
      </c>
      <c r="E463">
        <f t="shared" si="7"/>
        <v>462</v>
      </c>
    </row>
    <row r="464" spans="1:5" x14ac:dyDescent="0.2">
      <c r="A464" t="s">
        <v>459</v>
      </c>
      <c r="B464" t="s">
        <v>11</v>
      </c>
      <c r="C464" t="s">
        <v>12</v>
      </c>
      <c r="D464" s="2">
        <v>45472</v>
      </c>
      <c r="E464">
        <f t="shared" si="7"/>
        <v>463</v>
      </c>
    </row>
    <row r="465" spans="1:5" x14ac:dyDescent="0.2">
      <c r="A465" t="s">
        <v>511</v>
      </c>
      <c r="B465" t="s">
        <v>11</v>
      </c>
      <c r="C465" t="s">
        <v>12</v>
      </c>
      <c r="D465" s="2">
        <v>45472</v>
      </c>
      <c r="E465">
        <f t="shared" si="7"/>
        <v>464</v>
      </c>
    </row>
    <row r="466" spans="1:5" x14ac:dyDescent="0.2">
      <c r="A466" t="s">
        <v>524</v>
      </c>
      <c r="B466" t="s">
        <v>11</v>
      </c>
      <c r="C466" t="s">
        <v>12</v>
      </c>
      <c r="D466" s="2">
        <v>45472</v>
      </c>
      <c r="E466">
        <f t="shared" si="7"/>
        <v>465</v>
      </c>
    </row>
    <row r="467" spans="1:5" x14ac:dyDescent="0.2">
      <c r="A467" t="s">
        <v>525</v>
      </c>
      <c r="B467" t="s">
        <v>11</v>
      </c>
      <c r="C467" t="s">
        <v>12</v>
      </c>
      <c r="D467" s="2">
        <v>45472</v>
      </c>
      <c r="E467">
        <f t="shared" si="7"/>
        <v>466</v>
      </c>
    </row>
    <row r="468" spans="1:5" x14ac:dyDescent="0.2">
      <c r="A468" t="s">
        <v>386</v>
      </c>
      <c r="B468" t="s">
        <v>11</v>
      </c>
      <c r="C468" t="s">
        <v>12</v>
      </c>
      <c r="D468" s="2">
        <v>45473</v>
      </c>
      <c r="E468">
        <f t="shared" si="7"/>
        <v>467</v>
      </c>
    </row>
    <row r="469" spans="1:5" x14ac:dyDescent="0.2">
      <c r="A469" t="s">
        <v>466</v>
      </c>
      <c r="B469" t="s">
        <v>11</v>
      </c>
      <c r="C469" t="s">
        <v>12</v>
      </c>
      <c r="D469" s="2">
        <v>45473</v>
      </c>
      <c r="E469">
        <f t="shared" si="7"/>
        <v>468</v>
      </c>
    </row>
    <row r="470" spans="1:5" x14ac:dyDescent="0.2">
      <c r="A470" t="s">
        <v>497</v>
      </c>
      <c r="B470" t="s">
        <v>11</v>
      </c>
      <c r="C470" t="s">
        <v>12</v>
      </c>
      <c r="D470" s="2">
        <v>45473</v>
      </c>
      <c r="E470">
        <f t="shared" si="7"/>
        <v>469</v>
      </c>
    </row>
    <row r="471" spans="1:5" x14ac:dyDescent="0.2">
      <c r="A471" t="s">
        <v>510</v>
      </c>
      <c r="B471" t="s">
        <v>11</v>
      </c>
      <c r="C471" t="s">
        <v>12</v>
      </c>
      <c r="D471" s="2">
        <v>45473</v>
      </c>
      <c r="E471">
        <f t="shared" si="7"/>
        <v>470</v>
      </c>
    </row>
    <row r="472" spans="1:5" x14ac:dyDescent="0.2">
      <c r="A472" t="s">
        <v>430</v>
      </c>
      <c r="B472" t="s">
        <v>11</v>
      </c>
      <c r="C472" t="s">
        <v>12</v>
      </c>
      <c r="D472" s="2">
        <v>45474</v>
      </c>
      <c r="E472">
        <f t="shared" si="7"/>
        <v>471</v>
      </c>
    </row>
    <row r="473" spans="1:5" x14ac:dyDescent="0.2">
      <c r="A473" t="s">
        <v>448</v>
      </c>
      <c r="B473" t="s">
        <v>11</v>
      </c>
      <c r="C473" t="s">
        <v>12</v>
      </c>
      <c r="D473" s="2">
        <v>45474</v>
      </c>
      <c r="E473">
        <f t="shared" si="7"/>
        <v>472</v>
      </c>
    </row>
    <row r="474" spans="1:5" x14ac:dyDescent="0.2">
      <c r="A474" t="s">
        <v>477</v>
      </c>
      <c r="B474" t="s">
        <v>11</v>
      </c>
      <c r="C474" t="s">
        <v>12</v>
      </c>
      <c r="D474" s="2">
        <v>45474</v>
      </c>
      <c r="E474">
        <f t="shared" si="7"/>
        <v>473</v>
      </c>
    </row>
    <row r="475" spans="1:5" x14ac:dyDescent="0.2">
      <c r="A475" t="s">
        <v>540</v>
      </c>
      <c r="B475" t="s">
        <v>11</v>
      </c>
      <c r="C475" t="s">
        <v>12</v>
      </c>
      <c r="D475" s="2">
        <v>45474</v>
      </c>
      <c r="E475">
        <f t="shared" si="7"/>
        <v>474</v>
      </c>
    </row>
    <row r="476" spans="1:5" x14ac:dyDescent="0.2">
      <c r="A476" t="s">
        <v>562</v>
      </c>
      <c r="B476" t="s">
        <v>11</v>
      </c>
      <c r="C476" t="s">
        <v>12</v>
      </c>
      <c r="D476" s="2">
        <v>45474</v>
      </c>
      <c r="E476">
        <f t="shared" si="7"/>
        <v>475</v>
      </c>
    </row>
    <row r="477" spans="1:5" x14ac:dyDescent="0.2">
      <c r="A477" t="s">
        <v>300</v>
      </c>
      <c r="B477" t="s">
        <v>11</v>
      </c>
      <c r="C477" t="s">
        <v>12</v>
      </c>
      <c r="D477" s="2">
        <v>45475</v>
      </c>
      <c r="E477">
        <f t="shared" si="7"/>
        <v>476</v>
      </c>
    </row>
    <row r="478" spans="1:5" x14ac:dyDescent="0.2">
      <c r="A478" t="s">
        <v>358</v>
      </c>
      <c r="B478" t="s">
        <v>11</v>
      </c>
      <c r="C478" t="s">
        <v>12</v>
      </c>
      <c r="D478" s="2">
        <v>45475</v>
      </c>
      <c r="E478">
        <f t="shared" si="7"/>
        <v>477</v>
      </c>
    </row>
    <row r="479" spans="1:5" x14ac:dyDescent="0.2">
      <c r="A479" t="s">
        <v>383</v>
      </c>
      <c r="B479" t="s">
        <v>11</v>
      </c>
      <c r="C479" t="s">
        <v>12</v>
      </c>
      <c r="D479" s="2">
        <v>45475</v>
      </c>
      <c r="E479">
        <f t="shared" si="7"/>
        <v>478</v>
      </c>
    </row>
    <row r="480" spans="1:5" x14ac:dyDescent="0.2">
      <c r="A480" t="s">
        <v>489</v>
      </c>
      <c r="B480" t="s">
        <v>11</v>
      </c>
      <c r="C480" t="s">
        <v>12</v>
      </c>
      <c r="D480" s="2">
        <v>45475</v>
      </c>
      <c r="E480">
        <f t="shared" si="7"/>
        <v>479</v>
      </c>
    </row>
    <row r="481" spans="1:5" x14ac:dyDescent="0.2">
      <c r="A481" t="s">
        <v>556</v>
      </c>
      <c r="B481" t="s">
        <v>11</v>
      </c>
      <c r="C481" t="s">
        <v>12</v>
      </c>
      <c r="D481" s="2">
        <v>45475</v>
      </c>
      <c r="E481">
        <f t="shared" si="7"/>
        <v>480</v>
      </c>
    </row>
    <row r="482" spans="1:5" x14ac:dyDescent="0.2">
      <c r="A482" t="s">
        <v>472</v>
      </c>
      <c r="B482" t="s">
        <v>11</v>
      </c>
      <c r="C482" t="s">
        <v>12</v>
      </c>
      <c r="D482" s="2">
        <v>45476</v>
      </c>
      <c r="E482">
        <f t="shared" si="7"/>
        <v>481</v>
      </c>
    </row>
    <row r="483" spans="1:5" x14ac:dyDescent="0.2">
      <c r="A483" t="s">
        <v>481</v>
      </c>
      <c r="B483" t="s">
        <v>11</v>
      </c>
      <c r="C483" t="s">
        <v>12</v>
      </c>
      <c r="D483" s="2">
        <v>45476</v>
      </c>
      <c r="E483">
        <f t="shared" si="7"/>
        <v>482</v>
      </c>
    </row>
    <row r="484" spans="1:5" x14ac:dyDescent="0.2">
      <c r="A484" t="s">
        <v>494</v>
      </c>
      <c r="B484" t="s">
        <v>11</v>
      </c>
      <c r="C484" t="s">
        <v>12</v>
      </c>
      <c r="D484" s="2">
        <v>45476</v>
      </c>
      <c r="E484">
        <f t="shared" si="7"/>
        <v>483</v>
      </c>
    </row>
    <row r="485" spans="1:5" x14ac:dyDescent="0.2">
      <c r="A485" t="s">
        <v>521</v>
      </c>
      <c r="B485" t="s">
        <v>5</v>
      </c>
      <c r="C485" t="s">
        <v>6</v>
      </c>
      <c r="D485" s="2">
        <v>45476</v>
      </c>
      <c r="E485">
        <f t="shared" si="7"/>
        <v>484</v>
      </c>
    </row>
    <row r="486" spans="1:5" x14ac:dyDescent="0.2">
      <c r="A486" t="s">
        <v>547</v>
      </c>
      <c r="B486" t="s">
        <v>11</v>
      </c>
      <c r="C486" t="s">
        <v>12</v>
      </c>
      <c r="D486" s="2">
        <v>45476</v>
      </c>
      <c r="E486">
        <f t="shared" si="7"/>
        <v>485</v>
      </c>
    </row>
    <row r="487" spans="1:5" x14ac:dyDescent="0.2">
      <c r="A487" t="s">
        <v>423</v>
      </c>
      <c r="B487" t="s">
        <v>11</v>
      </c>
      <c r="C487" t="s">
        <v>12</v>
      </c>
      <c r="D487" s="2">
        <v>45477</v>
      </c>
      <c r="E487">
        <f t="shared" si="7"/>
        <v>486</v>
      </c>
    </row>
    <row r="488" spans="1:5" x14ac:dyDescent="0.2">
      <c r="A488" t="s">
        <v>432</v>
      </c>
      <c r="B488" t="s">
        <v>11</v>
      </c>
      <c r="C488" t="s">
        <v>12</v>
      </c>
      <c r="D488" s="2">
        <v>45477</v>
      </c>
      <c r="E488">
        <f t="shared" si="7"/>
        <v>487</v>
      </c>
    </row>
    <row r="489" spans="1:5" x14ac:dyDescent="0.2">
      <c r="A489" t="s">
        <v>496</v>
      </c>
      <c r="B489" t="s">
        <v>11</v>
      </c>
      <c r="C489" t="s">
        <v>12</v>
      </c>
      <c r="D489" s="2">
        <v>45477</v>
      </c>
      <c r="E489">
        <f t="shared" si="7"/>
        <v>488</v>
      </c>
    </row>
    <row r="490" spans="1:5" x14ac:dyDescent="0.2">
      <c r="A490" t="s">
        <v>548</v>
      </c>
      <c r="B490" t="s">
        <v>11</v>
      </c>
      <c r="C490" t="s">
        <v>12</v>
      </c>
      <c r="D490" s="2">
        <v>45477</v>
      </c>
      <c r="E490">
        <f t="shared" si="7"/>
        <v>489</v>
      </c>
    </row>
    <row r="491" spans="1:5" x14ac:dyDescent="0.2">
      <c r="A491" t="s">
        <v>338</v>
      </c>
      <c r="B491" t="s">
        <v>11</v>
      </c>
      <c r="C491" t="s">
        <v>12</v>
      </c>
      <c r="D491" s="2">
        <v>45478</v>
      </c>
      <c r="E491">
        <f t="shared" si="7"/>
        <v>490</v>
      </c>
    </row>
    <row r="492" spans="1:5" x14ac:dyDescent="0.2">
      <c r="A492" t="s">
        <v>422</v>
      </c>
      <c r="B492" t="s">
        <v>11</v>
      </c>
      <c r="C492" t="s">
        <v>12</v>
      </c>
      <c r="D492" s="2">
        <v>45478</v>
      </c>
      <c r="E492">
        <f t="shared" si="7"/>
        <v>491</v>
      </c>
    </row>
    <row r="493" spans="1:5" x14ac:dyDescent="0.2">
      <c r="A493" t="s">
        <v>452</v>
      </c>
      <c r="B493" t="s">
        <v>11</v>
      </c>
      <c r="C493" t="s">
        <v>12</v>
      </c>
      <c r="D493" s="2">
        <v>45478</v>
      </c>
      <c r="E493">
        <f t="shared" si="7"/>
        <v>492</v>
      </c>
    </row>
    <row r="494" spans="1:5" x14ac:dyDescent="0.2">
      <c r="A494" t="s">
        <v>455</v>
      </c>
      <c r="B494" t="s">
        <v>11</v>
      </c>
      <c r="C494" t="s">
        <v>12</v>
      </c>
      <c r="D494" s="2">
        <v>45478</v>
      </c>
      <c r="E494">
        <f t="shared" si="7"/>
        <v>493</v>
      </c>
    </row>
    <row r="495" spans="1:5" x14ac:dyDescent="0.2">
      <c r="A495" t="s">
        <v>503</v>
      </c>
      <c r="B495" t="s">
        <v>11</v>
      </c>
      <c r="C495" t="s">
        <v>12</v>
      </c>
      <c r="D495" s="2">
        <v>45478</v>
      </c>
      <c r="E495">
        <f t="shared" si="7"/>
        <v>494</v>
      </c>
    </row>
    <row r="496" spans="1:5" x14ac:dyDescent="0.2">
      <c r="A496" t="s">
        <v>512</v>
      </c>
      <c r="B496" t="s">
        <v>11</v>
      </c>
      <c r="C496" t="s">
        <v>12</v>
      </c>
      <c r="D496" s="2">
        <v>45478</v>
      </c>
      <c r="E496">
        <f t="shared" si="7"/>
        <v>495</v>
      </c>
    </row>
    <row r="497" spans="1:5" x14ac:dyDescent="0.2">
      <c r="A497" t="s">
        <v>560</v>
      </c>
      <c r="B497" t="s">
        <v>11</v>
      </c>
      <c r="C497" t="s">
        <v>12</v>
      </c>
      <c r="D497" s="2">
        <v>45478</v>
      </c>
      <c r="E497">
        <f t="shared" si="7"/>
        <v>496</v>
      </c>
    </row>
    <row r="498" spans="1:5" x14ac:dyDescent="0.2">
      <c r="A498" t="s">
        <v>568</v>
      </c>
      <c r="B498" t="s">
        <v>11</v>
      </c>
      <c r="C498" t="s">
        <v>12</v>
      </c>
      <c r="D498" s="2">
        <v>45478</v>
      </c>
      <c r="E498">
        <f t="shared" si="7"/>
        <v>497</v>
      </c>
    </row>
    <row r="499" spans="1:5" x14ac:dyDescent="0.2">
      <c r="A499" t="s">
        <v>577</v>
      </c>
      <c r="B499" t="s">
        <v>11</v>
      </c>
      <c r="C499" t="s">
        <v>12</v>
      </c>
      <c r="D499" s="2">
        <v>45478</v>
      </c>
      <c r="E499">
        <f t="shared" si="7"/>
        <v>498</v>
      </c>
    </row>
    <row r="500" spans="1:5" x14ac:dyDescent="0.2">
      <c r="A500" t="s">
        <v>595</v>
      </c>
      <c r="B500" t="s">
        <v>11</v>
      </c>
      <c r="C500" t="s">
        <v>12</v>
      </c>
      <c r="D500" s="2">
        <v>45478</v>
      </c>
      <c r="E500">
        <f t="shared" si="7"/>
        <v>499</v>
      </c>
    </row>
    <row r="501" spans="1:5" x14ac:dyDescent="0.2">
      <c r="A501" t="s">
        <v>402</v>
      </c>
      <c r="B501" t="s">
        <v>11</v>
      </c>
      <c r="C501" t="s">
        <v>12</v>
      </c>
      <c r="D501" s="2">
        <v>45479</v>
      </c>
      <c r="E501">
        <f t="shared" si="7"/>
        <v>500</v>
      </c>
    </row>
    <row r="502" spans="1:5" x14ac:dyDescent="0.2">
      <c r="A502" t="s">
        <v>479</v>
      </c>
      <c r="B502" t="s">
        <v>11</v>
      </c>
      <c r="C502" t="s">
        <v>12</v>
      </c>
      <c r="D502" s="2">
        <v>45479</v>
      </c>
      <c r="E502">
        <f t="shared" si="7"/>
        <v>501</v>
      </c>
    </row>
    <row r="503" spans="1:5" x14ac:dyDescent="0.2">
      <c r="A503" t="s">
        <v>493</v>
      </c>
      <c r="B503" t="s">
        <v>11</v>
      </c>
      <c r="C503" t="s">
        <v>12</v>
      </c>
      <c r="D503" s="2">
        <v>45479</v>
      </c>
      <c r="E503">
        <f t="shared" si="7"/>
        <v>502</v>
      </c>
    </row>
    <row r="504" spans="1:5" x14ac:dyDescent="0.2">
      <c r="A504" t="s">
        <v>571</v>
      </c>
      <c r="B504" t="s">
        <v>11</v>
      </c>
      <c r="C504" t="s">
        <v>12</v>
      </c>
      <c r="D504" s="2">
        <v>45479</v>
      </c>
      <c r="E504">
        <f t="shared" si="7"/>
        <v>503</v>
      </c>
    </row>
    <row r="505" spans="1:5" x14ac:dyDescent="0.2">
      <c r="A505" t="s">
        <v>304</v>
      </c>
      <c r="B505" t="s">
        <v>11</v>
      </c>
      <c r="C505" t="s">
        <v>12</v>
      </c>
      <c r="D505" s="2">
        <v>45480</v>
      </c>
      <c r="E505">
        <f t="shared" si="7"/>
        <v>504</v>
      </c>
    </row>
    <row r="506" spans="1:5" x14ac:dyDescent="0.2">
      <c r="A506" t="s">
        <v>454</v>
      </c>
      <c r="B506" t="s">
        <v>11</v>
      </c>
      <c r="C506" t="s">
        <v>12</v>
      </c>
      <c r="D506" s="2">
        <v>45480</v>
      </c>
      <c r="E506">
        <f t="shared" si="7"/>
        <v>505</v>
      </c>
    </row>
    <row r="507" spans="1:5" x14ac:dyDescent="0.2">
      <c r="A507" t="s">
        <v>473</v>
      </c>
      <c r="B507" t="s">
        <v>11</v>
      </c>
      <c r="C507" t="s">
        <v>12</v>
      </c>
      <c r="D507" s="2">
        <v>45480</v>
      </c>
      <c r="E507">
        <f t="shared" si="7"/>
        <v>506</v>
      </c>
    </row>
    <row r="508" spans="1:5" x14ac:dyDescent="0.2">
      <c r="A508" t="s">
        <v>507</v>
      </c>
      <c r="B508" t="s">
        <v>11</v>
      </c>
      <c r="C508" t="s">
        <v>12</v>
      </c>
      <c r="D508" s="2">
        <v>45480</v>
      </c>
      <c r="E508">
        <f t="shared" si="7"/>
        <v>507</v>
      </c>
    </row>
    <row r="509" spans="1:5" x14ac:dyDescent="0.2">
      <c r="A509" t="s">
        <v>559</v>
      </c>
      <c r="B509" t="s">
        <v>11</v>
      </c>
      <c r="C509" t="s">
        <v>12</v>
      </c>
      <c r="D509" s="2">
        <v>45480</v>
      </c>
      <c r="E509">
        <f t="shared" si="7"/>
        <v>508</v>
      </c>
    </row>
    <row r="510" spans="1:5" x14ac:dyDescent="0.2">
      <c r="A510" t="s">
        <v>565</v>
      </c>
      <c r="B510" t="s">
        <v>11</v>
      </c>
      <c r="C510" t="s">
        <v>12</v>
      </c>
      <c r="D510" s="2">
        <v>45480</v>
      </c>
      <c r="E510">
        <f t="shared" si="7"/>
        <v>509</v>
      </c>
    </row>
    <row r="511" spans="1:5" x14ac:dyDescent="0.2">
      <c r="A511" t="s">
        <v>604</v>
      </c>
      <c r="B511" t="s">
        <v>11</v>
      </c>
      <c r="C511" t="s">
        <v>12</v>
      </c>
      <c r="D511" s="2">
        <v>45481</v>
      </c>
      <c r="E511">
        <f t="shared" si="7"/>
        <v>510</v>
      </c>
    </row>
    <row r="512" spans="1:5" x14ac:dyDescent="0.2">
      <c r="A512" t="s">
        <v>606</v>
      </c>
      <c r="B512" t="s">
        <v>11</v>
      </c>
      <c r="C512" t="s">
        <v>12</v>
      </c>
      <c r="D512" s="2">
        <v>45481</v>
      </c>
      <c r="E512">
        <f t="shared" si="7"/>
        <v>511</v>
      </c>
    </row>
    <row r="513" spans="1:5" x14ac:dyDescent="0.2">
      <c r="A513" t="s">
        <v>515</v>
      </c>
      <c r="B513" t="s">
        <v>11</v>
      </c>
      <c r="C513" t="s">
        <v>12</v>
      </c>
      <c r="D513" s="2">
        <v>45482</v>
      </c>
      <c r="E513">
        <f t="shared" si="7"/>
        <v>512</v>
      </c>
    </row>
    <row r="514" spans="1:5" x14ac:dyDescent="0.2">
      <c r="A514" t="s">
        <v>460</v>
      </c>
      <c r="B514" t="s">
        <v>11</v>
      </c>
      <c r="C514" t="s">
        <v>12</v>
      </c>
      <c r="D514" s="2">
        <v>45483</v>
      </c>
      <c r="E514">
        <f t="shared" si="7"/>
        <v>513</v>
      </c>
    </row>
    <row r="515" spans="1:5" x14ac:dyDescent="0.2">
      <c r="A515" t="s">
        <v>550</v>
      </c>
      <c r="B515" t="s">
        <v>11</v>
      </c>
      <c r="C515" t="s">
        <v>12</v>
      </c>
      <c r="D515" s="2">
        <v>45483</v>
      </c>
      <c r="E515">
        <f t="shared" si="7"/>
        <v>514</v>
      </c>
    </row>
    <row r="516" spans="1:5" x14ac:dyDescent="0.2">
      <c r="A516" t="s">
        <v>598</v>
      </c>
      <c r="B516" t="s">
        <v>11</v>
      </c>
      <c r="C516" t="s">
        <v>12</v>
      </c>
      <c r="D516" s="2">
        <v>45483</v>
      </c>
      <c r="E516">
        <f t="shared" ref="E516:E579" si="8">E515+1</f>
        <v>515</v>
      </c>
    </row>
    <row r="517" spans="1:5" x14ac:dyDescent="0.2">
      <c r="A517" t="s">
        <v>610</v>
      </c>
      <c r="B517" t="s">
        <v>11</v>
      </c>
      <c r="C517" t="s">
        <v>12</v>
      </c>
      <c r="D517" s="2">
        <v>45483</v>
      </c>
      <c r="E517">
        <f t="shared" si="8"/>
        <v>516</v>
      </c>
    </row>
    <row r="518" spans="1:5" x14ac:dyDescent="0.2">
      <c r="A518" t="s">
        <v>462</v>
      </c>
      <c r="B518" t="s">
        <v>11</v>
      </c>
      <c r="C518" t="s">
        <v>12</v>
      </c>
      <c r="D518" s="2">
        <v>45484</v>
      </c>
      <c r="E518">
        <f t="shared" si="8"/>
        <v>517</v>
      </c>
    </row>
    <row r="519" spans="1:5" x14ac:dyDescent="0.2">
      <c r="A519" t="s">
        <v>532</v>
      </c>
      <c r="B519" t="s">
        <v>11</v>
      </c>
      <c r="C519" t="s">
        <v>12</v>
      </c>
      <c r="D519" s="2">
        <v>45484</v>
      </c>
      <c r="E519">
        <f t="shared" si="8"/>
        <v>518</v>
      </c>
    </row>
    <row r="520" spans="1:5" x14ac:dyDescent="0.2">
      <c r="A520" t="s">
        <v>537</v>
      </c>
      <c r="B520" t="s">
        <v>11</v>
      </c>
      <c r="C520" t="s">
        <v>12</v>
      </c>
      <c r="D520" s="2">
        <v>45484</v>
      </c>
      <c r="E520">
        <f t="shared" si="8"/>
        <v>519</v>
      </c>
    </row>
    <row r="521" spans="1:5" x14ac:dyDescent="0.2">
      <c r="A521" t="s">
        <v>596</v>
      </c>
      <c r="B521" t="s">
        <v>11</v>
      </c>
      <c r="C521" t="s">
        <v>12</v>
      </c>
      <c r="D521" s="2">
        <v>45484</v>
      </c>
      <c r="E521">
        <f t="shared" si="8"/>
        <v>520</v>
      </c>
    </row>
    <row r="522" spans="1:5" x14ac:dyDescent="0.2">
      <c r="A522" t="s">
        <v>608</v>
      </c>
      <c r="B522" t="s">
        <v>11</v>
      </c>
      <c r="C522" t="s">
        <v>12</v>
      </c>
      <c r="D522" s="2">
        <v>45484</v>
      </c>
      <c r="E522">
        <f t="shared" si="8"/>
        <v>521</v>
      </c>
    </row>
    <row r="523" spans="1:5" x14ac:dyDescent="0.2">
      <c r="A523" t="s">
        <v>611</v>
      </c>
      <c r="B523" t="s">
        <v>11</v>
      </c>
      <c r="C523" t="s">
        <v>12</v>
      </c>
      <c r="D523" s="2">
        <v>45484</v>
      </c>
      <c r="E523">
        <f t="shared" si="8"/>
        <v>522</v>
      </c>
    </row>
    <row r="524" spans="1:5" x14ac:dyDescent="0.2">
      <c r="A524" t="s">
        <v>450</v>
      </c>
      <c r="B524" t="s">
        <v>11</v>
      </c>
      <c r="C524" t="s">
        <v>12</v>
      </c>
      <c r="D524" s="2">
        <v>45485</v>
      </c>
      <c r="E524">
        <f t="shared" si="8"/>
        <v>523</v>
      </c>
    </row>
    <row r="525" spans="1:5" x14ac:dyDescent="0.2">
      <c r="A525" t="s">
        <v>491</v>
      </c>
      <c r="B525" t="s">
        <v>11</v>
      </c>
      <c r="C525" t="s">
        <v>12</v>
      </c>
      <c r="D525" s="2">
        <v>45485</v>
      </c>
      <c r="E525">
        <f t="shared" si="8"/>
        <v>524</v>
      </c>
    </row>
    <row r="526" spans="1:5" x14ac:dyDescent="0.2">
      <c r="A526" t="s">
        <v>522</v>
      </c>
      <c r="B526" t="s">
        <v>11</v>
      </c>
      <c r="C526" t="s">
        <v>12</v>
      </c>
      <c r="D526" s="2">
        <v>45485</v>
      </c>
      <c r="E526">
        <f t="shared" si="8"/>
        <v>525</v>
      </c>
    </row>
    <row r="527" spans="1:5" x14ac:dyDescent="0.2">
      <c r="A527" t="s">
        <v>435</v>
      </c>
      <c r="B527" t="s">
        <v>11</v>
      </c>
      <c r="C527" t="s">
        <v>12</v>
      </c>
      <c r="D527" s="2">
        <v>45486</v>
      </c>
      <c r="E527">
        <f t="shared" si="8"/>
        <v>526</v>
      </c>
    </row>
    <row r="528" spans="1:5" x14ac:dyDescent="0.2">
      <c r="A528" t="s">
        <v>534</v>
      </c>
      <c r="B528" t="s">
        <v>11</v>
      </c>
      <c r="C528" t="s">
        <v>12</v>
      </c>
      <c r="D528" s="2">
        <v>45486</v>
      </c>
      <c r="E528">
        <f t="shared" si="8"/>
        <v>527</v>
      </c>
    </row>
    <row r="529" spans="1:5" x14ac:dyDescent="0.2">
      <c r="A529" t="s">
        <v>536</v>
      </c>
      <c r="B529" t="s">
        <v>11</v>
      </c>
      <c r="C529" t="s">
        <v>12</v>
      </c>
      <c r="D529" s="2">
        <v>45486</v>
      </c>
      <c r="E529">
        <f t="shared" si="8"/>
        <v>528</v>
      </c>
    </row>
    <row r="530" spans="1:5" x14ac:dyDescent="0.2">
      <c r="A530" t="s">
        <v>492</v>
      </c>
      <c r="B530" t="s">
        <v>11</v>
      </c>
      <c r="C530" t="s">
        <v>12</v>
      </c>
      <c r="D530" s="2">
        <v>45487</v>
      </c>
      <c r="E530">
        <f t="shared" si="8"/>
        <v>529</v>
      </c>
    </row>
    <row r="531" spans="1:5" x14ac:dyDescent="0.2">
      <c r="A531" t="s">
        <v>509</v>
      </c>
      <c r="B531" t="s">
        <v>11</v>
      </c>
      <c r="C531" t="s">
        <v>12</v>
      </c>
      <c r="D531" s="2">
        <v>45487</v>
      </c>
      <c r="E531">
        <f t="shared" si="8"/>
        <v>530</v>
      </c>
    </row>
    <row r="532" spans="1:5" x14ac:dyDescent="0.2">
      <c r="A532" t="s">
        <v>541</v>
      </c>
      <c r="B532" t="s">
        <v>11</v>
      </c>
      <c r="C532" t="s">
        <v>12</v>
      </c>
      <c r="D532" s="2">
        <v>45487</v>
      </c>
      <c r="E532">
        <f t="shared" si="8"/>
        <v>531</v>
      </c>
    </row>
    <row r="533" spans="1:5" x14ac:dyDescent="0.2">
      <c r="A533" t="s">
        <v>617</v>
      </c>
      <c r="B533" t="s">
        <v>11</v>
      </c>
      <c r="C533" t="s">
        <v>12</v>
      </c>
      <c r="D533" s="2">
        <v>45487</v>
      </c>
      <c r="E533">
        <f t="shared" si="8"/>
        <v>532</v>
      </c>
    </row>
    <row r="534" spans="1:5" x14ac:dyDescent="0.2">
      <c r="A534" t="s">
        <v>625</v>
      </c>
      <c r="B534" t="s">
        <v>11</v>
      </c>
      <c r="C534" t="s">
        <v>12</v>
      </c>
      <c r="D534" s="2">
        <v>45487</v>
      </c>
      <c r="E534">
        <f t="shared" si="8"/>
        <v>533</v>
      </c>
    </row>
    <row r="535" spans="1:5" x14ac:dyDescent="0.2">
      <c r="A535" t="s">
        <v>538</v>
      </c>
      <c r="B535" t="s">
        <v>11</v>
      </c>
      <c r="C535" t="s">
        <v>12</v>
      </c>
      <c r="D535" s="2">
        <v>45488</v>
      </c>
      <c r="E535">
        <f t="shared" si="8"/>
        <v>534</v>
      </c>
    </row>
    <row r="536" spans="1:5" x14ac:dyDescent="0.2">
      <c r="A536" t="s">
        <v>554</v>
      </c>
      <c r="B536" t="s">
        <v>5</v>
      </c>
      <c r="C536" t="s">
        <v>6</v>
      </c>
      <c r="D536" s="2">
        <v>45488</v>
      </c>
      <c r="E536">
        <f t="shared" si="8"/>
        <v>535</v>
      </c>
    </row>
    <row r="537" spans="1:5" x14ac:dyDescent="0.2">
      <c r="A537" t="s">
        <v>561</v>
      </c>
      <c r="B537" t="s">
        <v>11</v>
      </c>
      <c r="C537" t="s">
        <v>12</v>
      </c>
      <c r="D537" s="2">
        <v>45488</v>
      </c>
      <c r="E537">
        <f t="shared" si="8"/>
        <v>536</v>
      </c>
    </row>
    <row r="538" spans="1:5" x14ac:dyDescent="0.2">
      <c r="A538" t="s">
        <v>573</v>
      </c>
      <c r="B538" t="s">
        <v>11</v>
      </c>
      <c r="C538" t="s">
        <v>12</v>
      </c>
      <c r="D538" s="2">
        <v>45488</v>
      </c>
      <c r="E538">
        <f t="shared" si="8"/>
        <v>537</v>
      </c>
    </row>
    <row r="539" spans="1:5" x14ac:dyDescent="0.2">
      <c r="A539" t="s">
        <v>569</v>
      </c>
      <c r="B539" t="s">
        <v>11</v>
      </c>
      <c r="C539" t="s">
        <v>12</v>
      </c>
      <c r="D539" s="2">
        <v>45489</v>
      </c>
      <c r="E539">
        <f t="shared" si="8"/>
        <v>538</v>
      </c>
    </row>
    <row r="540" spans="1:5" x14ac:dyDescent="0.2">
      <c r="A540" t="s">
        <v>580</v>
      </c>
      <c r="B540" t="s">
        <v>11</v>
      </c>
      <c r="C540" t="s">
        <v>12</v>
      </c>
      <c r="D540" s="2">
        <v>45489</v>
      </c>
      <c r="E540">
        <f t="shared" si="8"/>
        <v>539</v>
      </c>
    </row>
    <row r="541" spans="1:5" x14ac:dyDescent="0.2">
      <c r="A541" t="s">
        <v>582</v>
      </c>
      <c r="B541" t="s">
        <v>11</v>
      </c>
      <c r="C541" t="s">
        <v>12</v>
      </c>
      <c r="D541" s="2">
        <v>45489</v>
      </c>
      <c r="E541">
        <f t="shared" si="8"/>
        <v>540</v>
      </c>
    </row>
    <row r="542" spans="1:5" x14ac:dyDescent="0.2">
      <c r="A542" t="s">
        <v>487</v>
      </c>
      <c r="B542" t="s">
        <v>11</v>
      </c>
      <c r="C542" t="s">
        <v>12</v>
      </c>
      <c r="D542" s="2">
        <v>45490</v>
      </c>
      <c r="E542">
        <f t="shared" si="8"/>
        <v>541</v>
      </c>
    </row>
    <row r="543" spans="1:5" x14ac:dyDescent="0.2">
      <c r="A543" t="s">
        <v>544</v>
      </c>
      <c r="B543" t="s">
        <v>11</v>
      </c>
      <c r="C543" t="s">
        <v>12</v>
      </c>
      <c r="D543" s="2">
        <v>45490</v>
      </c>
      <c r="E543">
        <f t="shared" si="8"/>
        <v>542</v>
      </c>
    </row>
    <row r="544" spans="1:5" x14ac:dyDescent="0.2">
      <c r="A544" t="s">
        <v>579</v>
      </c>
      <c r="B544" t="s">
        <v>11</v>
      </c>
      <c r="C544" t="s">
        <v>12</v>
      </c>
      <c r="D544" s="2">
        <v>45491</v>
      </c>
      <c r="E544">
        <f t="shared" si="8"/>
        <v>543</v>
      </c>
    </row>
    <row r="545" spans="1:5" x14ac:dyDescent="0.2">
      <c r="A545" t="s">
        <v>585</v>
      </c>
      <c r="B545" t="s">
        <v>11</v>
      </c>
      <c r="C545" t="s">
        <v>12</v>
      </c>
      <c r="D545" s="2">
        <v>45491</v>
      </c>
      <c r="E545">
        <f t="shared" si="8"/>
        <v>544</v>
      </c>
    </row>
    <row r="546" spans="1:5" x14ac:dyDescent="0.2">
      <c r="A546" t="s">
        <v>593</v>
      </c>
      <c r="B546" t="s">
        <v>5</v>
      </c>
      <c r="C546" t="s">
        <v>6</v>
      </c>
      <c r="D546" s="2">
        <v>45491</v>
      </c>
      <c r="E546">
        <f t="shared" si="8"/>
        <v>545</v>
      </c>
    </row>
    <row r="547" spans="1:5" x14ac:dyDescent="0.2">
      <c r="A547" t="s">
        <v>620</v>
      </c>
      <c r="B547" t="s">
        <v>11</v>
      </c>
      <c r="C547" t="s">
        <v>12</v>
      </c>
      <c r="D547" s="2">
        <v>45491</v>
      </c>
      <c r="E547">
        <f t="shared" si="8"/>
        <v>546</v>
      </c>
    </row>
    <row r="548" spans="1:5" x14ac:dyDescent="0.2">
      <c r="A548" t="s">
        <v>429</v>
      </c>
      <c r="B548" t="s">
        <v>11</v>
      </c>
      <c r="C548" t="s">
        <v>12</v>
      </c>
      <c r="D548" s="2">
        <v>45492</v>
      </c>
      <c r="E548">
        <f t="shared" si="8"/>
        <v>547</v>
      </c>
    </row>
    <row r="549" spans="1:5" x14ac:dyDescent="0.2">
      <c r="A549" t="s">
        <v>597</v>
      </c>
      <c r="B549" t="s">
        <v>11</v>
      </c>
      <c r="C549" t="s">
        <v>12</v>
      </c>
      <c r="D549" s="2">
        <v>45492</v>
      </c>
      <c r="E549">
        <f t="shared" si="8"/>
        <v>548</v>
      </c>
    </row>
    <row r="550" spans="1:5" x14ac:dyDescent="0.2">
      <c r="A550" t="s">
        <v>619</v>
      </c>
      <c r="B550" t="s">
        <v>11</v>
      </c>
      <c r="C550" t="s">
        <v>12</v>
      </c>
      <c r="D550" s="2">
        <v>45492</v>
      </c>
      <c r="E550">
        <f t="shared" si="8"/>
        <v>549</v>
      </c>
    </row>
    <row r="551" spans="1:5" x14ac:dyDescent="0.2">
      <c r="A551" t="s">
        <v>626</v>
      </c>
      <c r="B551" t="s">
        <v>11</v>
      </c>
      <c r="C551" t="s">
        <v>12</v>
      </c>
      <c r="D551" s="2">
        <v>45492</v>
      </c>
      <c r="E551">
        <f t="shared" si="8"/>
        <v>550</v>
      </c>
    </row>
    <row r="552" spans="1:5" x14ac:dyDescent="0.2">
      <c r="A552" t="s">
        <v>628</v>
      </c>
      <c r="B552" t="s">
        <v>11</v>
      </c>
      <c r="C552" t="s">
        <v>12</v>
      </c>
      <c r="D552" s="2">
        <v>45492</v>
      </c>
      <c r="E552">
        <f t="shared" si="8"/>
        <v>551</v>
      </c>
    </row>
    <row r="553" spans="1:5" x14ac:dyDescent="0.2">
      <c r="A553" t="s">
        <v>642</v>
      </c>
      <c r="B553" t="s">
        <v>11</v>
      </c>
      <c r="C553" t="s">
        <v>12</v>
      </c>
      <c r="D553" s="2">
        <v>45492</v>
      </c>
      <c r="E553">
        <f t="shared" si="8"/>
        <v>552</v>
      </c>
    </row>
    <row r="554" spans="1:5" x14ac:dyDescent="0.2">
      <c r="A554" t="s">
        <v>533</v>
      </c>
      <c r="B554" t="s">
        <v>11</v>
      </c>
      <c r="C554" t="s">
        <v>12</v>
      </c>
      <c r="D554" s="2">
        <v>45493</v>
      </c>
      <c r="E554">
        <f t="shared" si="8"/>
        <v>553</v>
      </c>
    </row>
    <row r="555" spans="1:5" x14ac:dyDescent="0.2">
      <c r="A555" t="s">
        <v>563</v>
      </c>
      <c r="B555" t="s">
        <v>11</v>
      </c>
      <c r="C555" t="s">
        <v>12</v>
      </c>
      <c r="D555" s="2">
        <v>45493</v>
      </c>
      <c r="E555">
        <f t="shared" si="8"/>
        <v>554</v>
      </c>
    </row>
    <row r="556" spans="1:5" x14ac:dyDescent="0.2">
      <c r="A556" t="s">
        <v>605</v>
      </c>
      <c r="B556" t="s">
        <v>11</v>
      </c>
      <c r="C556" t="s">
        <v>12</v>
      </c>
      <c r="D556" s="2">
        <v>45493</v>
      </c>
      <c r="E556">
        <f t="shared" si="8"/>
        <v>555</v>
      </c>
    </row>
    <row r="557" spans="1:5" x14ac:dyDescent="0.2">
      <c r="A557" t="s">
        <v>614</v>
      </c>
      <c r="B557" t="s">
        <v>11</v>
      </c>
      <c r="C557" t="s">
        <v>12</v>
      </c>
      <c r="D557" s="2">
        <v>45493</v>
      </c>
      <c r="E557">
        <f t="shared" si="8"/>
        <v>556</v>
      </c>
    </row>
    <row r="558" spans="1:5" x14ac:dyDescent="0.2">
      <c r="A558" t="s">
        <v>637</v>
      </c>
      <c r="B558" t="s">
        <v>11</v>
      </c>
      <c r="C558" t="s">
        <v>12</v>
      </c>
      <c r="D558" s="2">
        <v>45493</v>
      </c>
      <c r="E558">
        <f t="shared" si="8"/>
        <v>557</v>
      </c>
    </row>
    <row r="559" spans="1:5" x14ac:dyDescent="0.2">
      <c r="A559" t="s">
        <v>516</v>
      </c>
      <c r="B559" t="s">
        <v>11</v>
      </c>
      <c r="C559" t="s">
        <v>12</v>
      </c>
      <c r="D559" s="2">
        <v>45494</v>
      </c>
      <c r="E559">
        <f t="shared" si="8"/>
        <v>558</v>
      </c>
    </row>
    <row r="560" spans="1:5" x14ac:dyDescent="0.2">
      <c r="A560" t="s">
        <v>575</v>
      </c>
      <c r="B560" t="s">
        <v>11</v>
      </c>
      <c r="C560" t="s">
        <v>12</v>
      </c>
      <c r="D560" s="2">
        <v>45494</v>
      </c>
      <c r="E560">
        <f t="shared" si="8"/>
        <v>559</v>
      </c>
    </row>
    <row r="561" spans="1:5" x14ac:dyDescent="0.2">
      <c r="A561" t="s">
        <v>633</v>
      </c>
      <c r="B561" t="s">
        <v>11</v>
      </c>
      <c r="C561" t="s">
        <v>12</v>
      </c>
      <c r="D561" s="2">
        <v>45494</v>
      </c>
      <c r="E561">
        <f t="shared" si="8"/>
        <v>560</v>
      </c>
    </row>
    <row r="562" spans="1:5" x14ac:dyDescent="0.2">
      <c r="A562" t="s">
        <v>641</v>
      </c>
      <c r="B562" t="s">
        <v>11</v>
      </c>
      <c r="C562" t="s">
        <v>12</v>
      </c>
      <c r="D562" s="2">
        <v>45494</v>
      </c>
      <c r="E562">
        <f t="shared" si="8"/>
        <v>561</v>
      </c>
    </row>
    <row r="563" spans="1:5" x14ac:dyDescent="0.2">
      <c r="A563" t="s">
        <v>445</v>
      </c>
      <c r="B563" t="s">
        <v>11</v>
      </c>
      <c r="C563" t="s">
        <v>12</v>
      </c>
      <c r="D563" s="2">
        <v>45495</v>
      </c>
      <c r="E563">
        <f t="shared" si="8"/>
        <v>562</v>
      </c>
    </row>
    <row r="564" spans="1:5" x14ac:dyDescent="0.2">
      <c r="A564" t="s">
        <v>498</v>
      </c>
      <c r="B564" t="s">
        <v>11</v>
      </c>
      <c r="C564" t="s">
        <v>12</v>
      </c>
      <c r="D564" s="2">
        <v>45495</v>
      </c>
      <c r="E564">
        <f t="shared" si="8"/>
        <v>563</v>
      </c>
    </row>
    <row r="565" spans="1:5" x14ac:dyDescent="0.2">
      <c r="A565" t="s">
        <v>406</v>
      </c>
      <c r="B565" t="s">
        <v>11</v>
      </c>
      <c r="C565" t="s">
        <v>12</v>
      </c>
      <c r="D565" s="2">
        <v>45496</v>
      </c>
      <c r="E565">
        <f t="shared" si="8"/>
        <v>564</v>
      </c>
    </row>
    <row r="566" spans="1:5" x14ac:dyDescent="0.2">
      <c r="A566" t="s">
        <v>438</v>
      </c>
      <c r="B566" t="s">
        <v>11</v>
      </c>
      <c r="C566" t="s">
        <v>12</v>
      </c>
      <c r="D566" s="2">
        <v>45496</v>
      </c>
      <c r="E566">
        <f t="shared" si="8"/>
        <v>565</v>
      </c>
    </row>
    <row r="567" spans="1:5" x14ac:dyDescent="0.2">
      <c r="A567" t="s">
        <v>631</v>
      </c>
      <c r="B567" t="s">
        <v>11</v>
      </c>
      <c r="C567" t="s">
        <v>12</v>
      </c>
      <c r="D567" s="2">
        <v>45496</v>
      </c>
      <c r="E567">
        <f t="shared" si="8"/>
        <v>566</v>
      </c>
    </row>
    <row r="568" spans="1:5" x14ac:dyDescent="0.2">
      <c r="A568" t="s">
        <v>523</v>
      </c>
      <c r="B568" t="s">
        <v>11</v>
      </c>
      <c r="C568" t="s">
        <v>12</v>
      </c>
      <c r="D568" s="2">
        <v>45497</v>
      </c>
      <c r="E568">
        <f t="shared" si="8"/>
        <v>567</v>
      </c>
    </row>
    <row r="569" spans="1:5" x14ac:dyDescent="0.2">
      <c r="A569" t="s">
        <v>542</v>
      </c>
      <c r="B569" t="s">
        <v>11</v>
      </c>
      <c r="C569" t="s">
        <v>12</v>
      </c>
      <c r="D569" s="2">
        <v>45497</v>
      </c>
      <c r="E569">
        <f t="shared" si="8"/>
        <v>568</v>
      </c>
    </row>
    <row r="570" spans="1:5" x14ac:dyDescent="0.2">
      <c r="A570" t="s">
        <v>546</v>
      </c>
      <c r="B570" t="s">
        <v>11</v>
      </c>
      <c r="C570" t="s">
        <v>12</v>
      </c>
      <c r="D570" s="2">
        <v>45497</v>
      </c>
      <c r="E570">
        <f t="shared" si="8"/>
        <v>569</v>
      </c>
    </row>
    <row r="571" spans="1:5" x14ac:dyDescent="0.2">
      <c r="A571" t="s">
        <v>603</v>
      </c>
      <c r="B571" t="s">
        <v>11</v>
      </c>
      <c r="C571" t="s">
        <v>12</v>
      </c>
      <c r="D571" s="2">
        <v>45497</v>
      </c>
      <c r="E571">
        <f t="shared" si="8"/>
        <v>570</v>
      </c>
    </row>
    <row r="572" spans="1:5" x14ac:dyDescent="0.2">
      <c r="A572" t="s">
        <v>485</v>
      </c>
      <c r="B572" t="s">
        <v>11</v>
      </c>
      <c r="C572" t="s">
        <v>12</v>
      </c>
      <c r="D572" s="2">
        <v>45498</v>
      </c>
      <c r="E572">
        <f t="shared" si="8"/>
        <v>571</v>
      </c>
    </row>
    <row r="573" spans="1:5" x14ac:dyDescent="0.2">
      <c r="A573" t="s">
        <v>552</v>
      </c>
      <c r="B573" t="s">
        <v>11</v>
      </c>
      <c r="C573" t="s">
        <v>12</v>
      </c>
      <c r="D573" s="2">
        <v>45498</v>
      </c>
      <c r="E573">
        <f t="shared" si="8"/>
        <v>572</v>
      </c>
    </row>
    <row r="574" spans="1:5" x14ac:dyDescent="0.2">
      <c r="A574" t="s">
        <v>601</v>
      </c>
      <c r="B574" t="s">
        <v>11</v>
      </c>
      <c r="C574" t="s">
        <v>12</v>
      </c>
      <c r="D574" s="2">
        <v>45498</v>
      </c>
      <c r="E574">
        <f t="shared" si="8"/>
        <v>573</v>
      </c>
    </row>
    <row r="575" spans="1:5" x14ac:dyDescent="0.2">
      <c r="A575" t="s">
        <v>618</v>
      </c>
      <c r="B575" t="s">
        <v>11</v>
      </c>
      <c r="C575" t="s">
        <v>12</v>
      </c>
      <c r="D575" s="2">
        <v>45498</v>
      </c>
      <c r="E575">
        <f t="shared" si="8"/>
        <v>574</v>
      </c>
    </row>
    <row r="576" spans="1:5" x14ac:dyDescent="0.2">
      <c r="A576" t="s">
        <v>638</v>
      </c>
      <c r="B576" t="s">
        <v>11</v>
      </c>
      <c r="C576" t="s">
        <v>12</v>
      </c>
      <c r="D576" s="2">
        <v>45498</v>
      </c>
      <c r="E576">
        <f t="shared" si="8"/>
        <v>575</v>
      </c>
    </row>
    <row r="577" spans="1:5" x14ac:dyDescent="0.2">
      <c r="A577" t="s">
        <v>558</v>
      </c>
      <c r="B577" t="s">
        <v>11</v>
      </c>
      <c r="C577" t="s">
        <v>12</v>
      </c>
      <c r="D577" s="2">
        <v>45499</v>
      </c>
      <c r="E577">
        <f t="shared" si="8"/>
        <v>576</v>
      </c>
    </row>
    <row r="578" spans="1:5" x14ac:dyDescent="0.2">
      <c r="A578" t="s">
        <v>648</v>
      </c>
      <c r="B578" t="s">
        <v>11</v>
      </c>
      <c r="C578" t="s">
        <v>12</v>
      </c>
      <c r="D578" s="2">
        <v>45499</v>
      </c>
      <c r="E578">
        <f t="shared" si="8"/>
        <v>577</v>
      </c>
    </row>
    <row r="579" spans="1:5" x14ac:dyDescent="0.2">
      <c r="A579" t="s">
        <v>679</v>
      </c>
      <c r="B579" t="s">
        <v>11</v>
      </c>
      <c r="C579" t="s">
        <v>12</v>
      </c>
      <c r="D579" s="2">
        <v>45499</v>
      </c>
      <c r="E579">
        <f t="shared" si="8"/>
        <v>578</v>
      </c>
    </row>
    <row r="580" spans="1:5" x14ac:dyDescent="0.2">
      <c r="A580" t="s">
        <v>543</v>
      </c>
      <c r="B580" t="s">
        <v>5</v>
      </c>
      <c r="C580" t="s">
        <v>6</v>
      </c>
      <c r="D580" s="2">
        <v>45500</v>
      </c>
      <c r="E580">
        <f t="shared" ref="E580:E643" si="9">E579+1</f>
        <v>579</v>
      </c>
    </row>
    <row r="581" spans="1:5" x14ac:dyDescent="0.2">
      <c r="A581" t="s">
        <v>616</v>
      </c>
      <c r="B581" t="s">
        <v>11</v>
      </c>
      <c r="C581" t="s">
        <v>12</v>
      </c>
      <c r="D581" s="2">
        <v>45500</v>
      </c>
      <c r="E581">
        <f t="shared" si="9"/>
        <v>580</v>
      </c>
    </row>
    <row r="582" spans="1:5" x14ac:dyDescent="0.2">
      <c r="A582" t="s">
        <v>636</v>
      </c>
      <c r="B582" t="s">
        <v>11</v>
      </c>
      <c r="C582" t="s">
        <v>12</v>
      </c>
      <c r="D582" s="2">
        <v>45500</v>
      </c>
      <c r="E582">
        <f t="shared" si="9"/>
        <v>581</v>
      </c>
    </row>
    <row r="583" spans="1:5" x14ac:dyDescent="0.2">
      <c r="A583" t="s">
        <v>651</v>
      </c>
      <c r="B583" t="s">
        <v>11</v>
      </c>
      <c r="C583" t="s">
        <v>12</v>
      </c>
      <c r="D583" s="2">
        <v>45500</v>
      </c>
      <c r="E583">
        <f t="shared" si="9"/>
        <v>582</v>
      </c>
    </row>
    <row r="584" spans="1:5" x14ac:dyDescent="0.2">
      <c r="A584" t="s">
        <v>659</v>
      </c>
      <c r="B584" t="s">
        <v>11</v>
      </c>
      <c r="C584" t="s">
        <v>12</v>
      </c>
      <c r="D584" s="2">
        <v>45500</v>
      </c>
      <c r="E584">
        <f t="shared" si="9"/>
        <v>583</v>
      </c>
    </row>
    <row r="585" spans="1:5" x14ac:dyDescent="0.2">
      <c r="A585" t="s">
        <v>526</v>
      </c>
      <c r="B585" t="s">
        <v>11</v>
      </c>
      <c r="C585" t="s">
        <v>12</v>
      </c>
      <c r="D585" s="2">
        <v>45501</v>
      </c>
      <c r="E585">
        <f t="shared" si="9"/>
        <v>584</v>
      </c>
    </row>
    <row r="586" spans="1:5" x14ac:dyDescent="0.2">
      <c r="A586" t="s">
        <v>535</v>
      </c>
      <c r="B586" t="s">
        <v>11</v>
      </c>
      <c r="C586" t="s">
        <v>12</v>
      </c>
      <c r="D586" s="2">
        <v>45501</v>
      </c>
      <c r="E586">
        <f t="shared" si="9"/>
        <v>585</v>
      </c>
    </row>
    <row r="587" spans="1:5" x14ac:dyDescent="0.2">
      <c r="A587" t="s">
        <v>545</v>
      </c>
      <c r="B587" t="s">
        <v>11</v>
      </c>
      <c r="C587" t="s">
        <v>12</v>
      </c>
      <c r="D587" s="2">
        <v>45501</v>
      </c>
      <c r="E587">
        <f t="shared" si="9"/>
        <v>586</v>
      </c>
    </row>
    <row r="588" spans="1:5" x14ac:dyDescent="0.2">
      <c r="A588" t="s">
        <v>551</v>
      </c>
      <c r="B588" t="s">
        <v>11</v>
      </c>
      <c r="C588" t="s">
        <v>12</v>
      </c>
      <c r="D588" s="2">
        <v>45501</v>
      </c>
      <c r="E588">
        <f t="shared" si="9"/>
        <v>587</v>
      </c>
    </row>
    <row r="589" spans="1:5" x14ac:dyDescent="0.2">
      <c r="A589" t="s">
        <v>627</v>
      </c>
      <c r="B589" t="s">
        <v>11</v>
      </c>
      <c r="C589" t="s">
        <v>12</v>
      </c>
      <c r="D589" s="2">
        <v>45501</v>
      </c>
      <c r="E589">
        <f t="shared" si="9"/>
        <v>588</v>
      </c>
    </row>
    <row r="590" spans="1:5" x14ac:dyDescent="0.2">
      <c r="A590" t="s">
        <v>553</v>
      </c>
      <c r="B590" t="s">
        <v>11</v>
      </c>
      <c r="C590" t="s">
        <v>12</v>
      </c>
      <c r="D590" s="2">
        <v>45502</v>
      </c>
      <c r="E590">
        <f t="shared" si="9"/>
        <v>589</v>
      </c>
    </row>
    <row r="591" spans="1:5" x14ac:dyDescent="0.2">
      <c r="A591" t="s">
        <v>588</v>
      </c>
      <c r="B591" t="s">
        <v>11</v>
      </c>
      <c r="C591" t="s">
        <v>12</v>
      </c>
      <c r="D591" s="2">
        <v>45502</v>
      </c>
      <c r="E591">
        <f t="shared" si="9"/>
        <v>590</v>
      </c>
    </row>
    <row r="592" spans="1:5" x14ac:dyDescent="0.2">
      <c r="A592" t="s">
        <v>566</v>
      </c>
      <c r="B592" t="s">
        <v>11</v>
      </c>
      <c r="C592" t="s">
        <v>12</v>
      </c>
      <c r="D592" s="2">
        <v>45503</v>
      </c>
      <c r="E592">
        <f t="shared" si="9"/>
        <v>591</v>
      </c>
    </row>
    <row r="593" spans="1:5" x14ac:dyDescent="0.2">
      <c r="A593" t="s">
        <v>666</v>
      </c>
      <c r="B593" t="s">
        <v>11</v>
      </c>
      <c r="C593" t="s">
        <v>12</v>
      </c>
      <c r="D593" s="2">
        <v>45503</v>
      </c>
      <c r="E593">
        <f t="shared" si="9"/>
        <v>592</v>
      </c>
    </row>
    <row r="594" spans="1:5" x14ac:dyDescent="0.2">
      <c r="A594" t="s">
        <v>668</v>
      </c>
      <c r="B594" t="s">
        <v>11</v>
      </c>
      <c r="C594" t="s">
        <v>12</v>
      </c>
      <c r="D594" s="2">
        <v>45503</v>
      </c>
      <c r="E594">
        <f t="shared" si="9"/>
        <v>593</v>
      </c>
    </row>
    <row r="595" spans="1:5" x14ac:dyDescent="0.2">
      <c r="A595" t="s">
        <v>682</v>
      </c>
      <c r="B595" t="s">
        <v>11</v>
      </c>
      <c r="C595" t="s">
        <v>12</v>
      </c>
      <c r="D595" s="2">
        <v>45503</v>
      </c>
      <c r="E595">
        <f t="shared" si="9"/>
        <v>594</v>
      </c>
    </row>
    <row r="596" spans="1:5" x14ac:dyDescent="0.2">
      <c r="A596" t="s">
        <v>505</v>
      </c>
      <c r="B596" t="s">
        <v>11</v>
      </c>
      <c r="C596" t="s">
        <v>12</v>
      </c>
      <c r="D596" s="2">
        <v>45504</v>
      </c>
      <c r="E596">
        <f t="shared" si="9"/>
        <v>595</v>
      </c>
    </row>
    <row r="597" spans="1:5" x14ac:dyDescent="0.2">
      <c r="A597" t="s">
        <v>530</v>
      </c>
      <c r="B597" t="s">
        <v>11</v>
      </c>
      <c r="C597" t="s">
        <v>12</v>
      </c>
      <c r="D597" s="2">
        <v>45504</v>
      </c>
      <c r="E597">
        <f t="shared" si="9"/>
        <v>596</v>
      </c>
    </row>
    <row r="598" spans="1:5" x14ac:dyDescent="0.2">
      <c r="A598" t="s">
        <v>570</v>
      </c>
      <c r="B598" t="s">
        <v>11</v>
      </c>
      <c r="C598" t="s">
        <v>12</v>
      </c>
      <c r="D598" s="2">
        <v>45504</v>
      </c>
      <c r="E598">
        <f t="shared" si="9"/>
        <v>597</v>
      </c>
    </row>
    <row r="599" spans="1:5" x14ac:dyDescent="0.2">
      <c r="A599" t="s">
        <v>589</v>
      </c>
      <c r="B599" t="s">
        <v>11</v>
      </c>
      <c r="C599" t="s">
        <v>12</v>
      </c>
      <c r="D599" s="2">
        <v>45504</v>
      </c>
      <c r="E599">
        <f t="shared" si="9"/>
        <v>598</v>
      </c>
    </row>
    <row r="600" spans="1:5" x14ac:dyDescent="0.2">
      <c r="A600" t="s">
        <v>612</v>
      </c>
      <c r="B600" t="s">
        <v>11</v>
      </c>
      <c r="C600" t="s">
        <v>12</v>
      </c>
      <c r="D600" s="2">
        <v>45504</v>
      </c>
      <c r="E600">
        <f t="shared" si="9"/>
        <v>599</v>
      </c>
    </row>
    <row r="601" spans="1:5" x14ac:dyDescent="0.2">
      <c r="A601" t="s">
        <v>623</v>
      </c>
      <c r="B601" t="s">
        <v>11</v>
      </c>
      <c r="C601" t="s">
        <v>12</v>
      </c>
      <c r="D601" s="2">
        <v>45504</v>
      </c>
      <c r="E601">
        <f t="shared" si="9"/>
        <v>600</v>
      </c>
    </row>
    <row r="602" spans="1:5" x14ac:dyDescent="0.2">
      <c r="A602" t="s">
        <v>650</v>
      </c>
      <c r="B602" t="s">
        <v>11</v>
      </c>
      <c r="C602" t="s">
        <v>12</v>
      </c>
      <c r="D602" s="2">
        <v>45504</v>
      </c>
      <c r="E602">
        <f t="shared" si="9"/>
        <v>601</v>
      </c>
    </row>
    <row r="603" spans="1:5" x14ac:dyDescent="0.2">
      <c r="A603" t="s">
        <v>654</v>
      </c>
      <c r="B603" t="s">
        <v>11</v>
      </c>
      <c r="C603" t="s">
        <v>12</v>
      </c>
      <c r="D603" s="2">
        <v>45504</v>
      </c>
      <c r="E603">
        <f t="shared" si="9"/>
        <v>602</v>
      </c>
    </row>
    <row r="604" spans="1:5" x14ac:dyDescent="0.2">
      <c r="A604" t="s">
        <v>683</v>
      </c>
      <c r="B604" t="s">
        <v>11</v>
      </c>
      <c r="C604" t="s">
        <v>12</v>
      </c>
      <c r="D604" s="2">
        <v>45504</v>
      </c>
      <c r="E604">
        <f t="shared" si="9"/>
        <v>603</v>
      </c>
    </row>
    <row r="605" spans="1:5" x14ac:dyDescent="0.2">
      <c r="A605" t="s">
        <v>486</v>
      </c>
      <c r="B605" t="s">
        <v>11</v>
      </c>
      <c r="C605" t="s">
        <v>12</v>
      </c>
      <c r="D605" s="2">
        <v>45505</v>
      </c>
      <c r="E605">
        <f t="shared" si="9"/>
        <v>604</v>
      </c>
    </row>
    <row r="606" spans="1:5" x14ac:dyDescent="0.2">
      <c r="A606" t="s">
        <v>587</v>
      </c>
      <c r="B606" t="s">
        <v>11</v>
      </c>
      <c r="C606" t="s">
        <v>12</v>
      </c>
      <c r="D606" s="2">
        <v>45505</v>
      </c>
      <c r="E606">
        <f t="shared" si="9"/>
        <v>605</v>
      </c>
    </row>
    <row r="607" spans="1:5" x14ac:dyDescent="0.2">
      <c r="A607" t="s">
        <v>594</v>
      </c>
      <c r="B607" t="s">
        <v>11</v>
      </c>
      <c r="C607" t="s">
        <v>12</v>
      </c>
      <c r="D607" s="2">
        <v>45505</v>
      </c>
      <c r="E607">
        <f t="shared" si="9"/>
        <v>606</v>
      </c>
    </row>
    <row r="608" spans="1:5" x14ac:dyDescent="0.2">
      <c r="A608" t="s">
        <v>621</v>
      </c>
      <c r="B608" t="s">
        <v>11</v>
      </c>
      <c r="C608" t="s">
        <v>12</v>
      </c>
      <c r="D608" s="2">
        <v>45505</v>
      </c>
      <c r="E608">
        <f t="shared" si="9"/>
        <v>607</v>
      </c>
    </row>
    <row r="609" spans="1:5" x14ac:dyDescent="0.2">
      <c r="A609" t="s">
        <v>632</v>
      </c>
      <c r="B609" t="s">
        <v>11</v>
      </c>
      <c r="C609" t="s">
        <v>12</v>
      </c>
      <c r="D609" s="2">
        <v>45505</v>
      </c>
      <c r="E609">
        <f t="shared" si="9"/>
        <v>608</v>
      </c>
    </row>
    <row r="610" spans="1:5" x14ac:dyDescent="0.2">
      <c r="A610" t="s">
        <v>649</v>
      </c>
      <c r="B610" t="s">
        <v>11</v>
      </c>
      <c r="C610" t="s">
        <v>12</v>
      </c>
      <c r="D610" s="2">
        <v>45505</v>
      </c>
      <c r="E610">
        <f t="shared" si="9"/>
        <v>609</v>
      </c>
    </row>
    <row r="611" spans="1:5" x14ac:dyDescent="0.2">
      <c r="A611" t="s">
        <v>663</v>
      </c>
      <c r="B611" t="s">
        <v>11</v>
      </c>
      <c r="C611" t="s">
        <v>12</v>
      </c>
      <c r="D611" s="2">
        <v>45505</v>
      </c>
      <c r="E611">
        <f t="shared" si="9"/>
        <v>610</v>
      </c>
    </row>
    <row r="612" spans="1:5" x14ac:dyDescent="0.2">
      <c r="A612" t="s">
        <v>678</v>
      </c>
      <c r="B612" t="s">
        <v>11</v>
      </c>
      <c r="C612" t="s">
        <v>12</v>
      </c>
      <c r="D612" s="2">
        <v>45505</v>
      </c>
      <c r="E612">
        <f t="shared" si="9"/>
        <v>611</v>
      </c>
    </row>
    <row r="613" spans="1:5" x14ac:dyDescent="0.2">
      <c r="A613" t="s">
        <v>685</v>
      </c>
      <c r="B613" t="s">
        <v>11</v>
      </c>
      <c r="C613" t="s">
        <v>12</v>
      </c>
      <c r="D613" s="2">
        <v>45505</v>
      </c>
      <c r="E613">
        <f t="shared" si="9"/>
        <v>612</v>
      </c>
    </row>
    <row r="614" spans="1:5" x14ac:dyDescent="0.2">
      <c r="A614" t="s">
        <v>564</v>
      </c>
      <c r="B614" t="s">
        <v>11</v>
      </c>
      <c r="C614" t="s">
        <v>12</v>
      </c>
      <c r="D614" s="2">
        <v>45506</v>
      </c>
      <c r="E614">
        <f t="shared" si="9"/>
        <v>613</v>
      </c>
    </row>
    <row r="615" spans="1:5" x14ac:dyDescent="0.2">
      <c r="A615" t="s">
        <v>576</v>
      </c>
      <c r="B615" t="s">
        <v>11</v>
      </c>
      <c r="C615" t="s">
        <v>12</v>
      </c>
      <c r="D615" s="2">
        <v>45506</v>
      </c>
      <c r="E615">
        <f t="shared" si="9"/>
        <v>614</v>
      </c>
    </row>
    <row r="616" spans="1:5" x14ac:dyDescent="0.2">
      <c r="A616" t="s">
        <v>584</v>
      </c>
      <c r="B616" t="s">
        <v>11</v>
      </c>
      <c r="C616" t="s">
        <v>12</v>
      </c>
      <c r="D616" s="2">
        <v>45506</v>
      </c>
      <c r="E616">
        <f t="shared" si="9"/>
        <v>615</v>
      </c>
    </row>
    <row r="617" spans="1:5" x14ac:dyDescent="0.2">
      <c r="A617" t="s">
        <v>675</v>
      </c>
      <c r="B617" t="s">
        <v>11</v>
      </c>
      <c r="C617" t="s">
        <v>12</v>
      </c>
      <c r="D617" s="2">
        <v>45506</v>
      </c>
      <c r="E617">
        <f t="shared" si="9"/>
        <v>616</v>
      </c>
    </row>
    <row r="618" spans="1:5" x14ac:dyDescent="0.2">
      <c r="A618" t="s">
        <v>613</v>
      </c>
      <c r="B618" t="s">
        <v>11</v>
      </c>
      <c r="C618" t="s">
        <v>12</v>
      </c>
      <c r="D618" s="2">
        <v>45507</v>
      </c>
      <c r="E618">
        <f t="shared" si="9"/>
        <v>617</v>
      </c>
    </row>
    <row r="619" spans="1:5" x14ac:dyDescent="0.2">
      <c r="A619" t="s">
        <v>669</v>
      </c>
      <c r="B619" t="s">
        <v>11</v>
      </c>
      <c r="C619" t="s">
        <v>12</v>
      </c>
      <c r="D619" s="2">
        <v>45507</v>
      </c>
      <c r="E619">
        <f t="shared" si="9"/>
        <v>618</v>
      </c>
    </row>
    <row r="620" spans="1:5" x14ac:dyDescent="0.2">
      <c r="A620" t="s">
        <v>699</v>
      </c>
      <c r="B620" t="s">
        <v>11</v>
      </c>
      <c r="C620" t="s">
        <v>12</v>
      </c>
      <c r="D620" s="2">
        <v>45507</v>
      </c>
      <c r="E620">
        <f t="shared" si="9"/>
        <v>619</v>
      </c>
    </row>
    <row r="621" spans="1:5" x14ac:dyDescent="0.2">
      <c r="A621" t="s">
        <v>453</v>
      </c>
      <c r="B621" t="s">
        <v>11</v>
      </c>
      <c r="C621" t="s">
        <v>12</v>
      </c>
      <c r="D621" s="2">
        <v>45508</v>
      </c>
      <c r="E621">
        <f t="shared" si="9"/>
        <v>620</v>
      </c>
    </row>
    <row r="622" spans="1:5" x14ac:dyDescent="0.2">
      <c r="A622" t="s">
        <v>677</v>
      </c>
      <c r="B622" t="s">
        <v>11</v>
      </c>
      <c r="C622" t="s">
        <v>12</v>
      </c>
      <c r="D622" s="2">
        <v>45508</v>
      </c>
      <c r="E622">
        <f t="shared" si="9"/>
        <v>621</v>
      </c>
    </row>
    <row r="623" spans="1:5" x14ac:dyDescent="0.2">
      <c r="A623" t="s">
        <v>520</v>
      </c>
      <c r="B623" t="s">
        <v>11</v>
      </c>
      <c r="C623" t="s">
        <v>12</v>
      </c>
      <c r="D623" s="2">
        <v>45509</v>
      </c>
      <c r="E623">
        <f t="shared" si="9"/>
        <v>622</v>
      </c>
    </row>
    <row r="624" spans="1:5" x14ac:dyDescent="0.2">
      <c r="A624" t="s">
        <v>687</v>
      </c>
      <c r="B624" t="s">
        <v>11</v>
      </c>
      <c r="C624" t="s">
        <v>12</v>
      </c>
      <c r="D624" s="2">
        <v>45509</v>
      </c>
      <c r="E624">
        <f t="shared" si="9"/>
        <v>623</v>
      </c>
    </row>
    <row r="625" spans="1:5" x14ac:dyDescent="0.2">
      <c r="A625" t="s">
        <v>718</v>
      </c>
      <c r="B625" t="s">
        <v>11</v>
      </c>
      <c r="C625" t="s">
        <v>12</v>
      </c>
      <c r="D625" s="2">
        <v>45509</v>
      </c>
      <c r="E625">
        <f t="shared" si="9"/>
        <v>624</v>
      </c>
    </row>
    <row r="626" spans="1:5" x14ac:dyDescent="0.2">
      <c r="A626" t="s">
        <v>599</v>
      </c>
      <c r="B626" t="s">
        <v>11</v>
      </c>
      <c r="C626" t="s">
        <v>12</v>
      </c>
      <c r="D626" s="2">
        <v>45510</v>
      </c>
      <c r="E626">
        <f t="shared" si="9"/>
        <v>625</v>
      </c>
    </row>
    <row r="627" spans="1:5" x14ac:dyDescent="0.2">
      <c r="A627" t="s">
        <v>645</v>
      </c>
      <c r="B627" t="s">
        <v>11</v>
      </c>
      <c r="C627" t="s">
        <v>12</v>
      </c>
      <c r="D627" s="2">
        <v>45510</v>
      </c>
      <c r="E627">
        <f t="shared" si="9"/>
        <v>626</v>
      </c>
    </row>
    <row r="628" spans="1:5" x14ac:dyDescent="0.2">
      <c r="A628" t="s">
        <v>414</v>
      </c>
      <c r="B628" t="s">
        <v>11</v>
      </c>
      <c r="C628" t="s">
        <v>12</v>
      </c>
      <c r="D628" s="2">
        <v>45511</v>
      </c>
      <c r="E628">
        <f t="shared" si="9"/>
        <v>627</v>
      </c>
    </row>
    <row r="629" spans="1:5" x14ac:dyDescent="0.2">
      <c r="A629" t="s">
        <v>567</v>
      </c>
      <c r="B629" t="s">
        <v>11</v>
      </c>
      <c r="C629" t="s">
        <v>12</v>
      </c>
      <c r="D629" s="2">
        <v>45511</v>
      </c>
      <c r="E629">
        <f t="shared" si="9"/>
        <v>628</v>
      </c>
    </row>
    <row r="630" spans="1:5" x14ac:dyDescent="0.2">
      <c r="A630" t="s">
        <v>578</v>
      </c>
      <c r="B630" t="s">
        <v>11</v>
      </c>
      <c r="C630" t="s">
        <v>12</v>
      </c>
      <c r="D630" s="2">
        <v>45511</v>
      </c>
      <c r="E630">
        <f t="shared" si="9"/>
        <v>629</v>
      </c>
    </row>
    <row r="631" spans="1:5" x14ac:dyDescent="0.2">
      <c r="A631" t="s">
        <v>583</v>
      </c>
      <c r="B631" t="s">
        <v>11</v>
      </c>
      <c r="C631" t="s">
        <v>12</v>
      </c>
      <c r="D631" s="2">
        <v>45511</v>
      </c>
      <c r="E631">
        <f t="shared" si="9"/>
        <v>630</v>
      </c>
    </row>
    <row r="632" spans="1:5" x14ac:dyDescent="0.2">
      <c r="A632" t="s">
        <v>591</v>
      </c>
      <c r="B632" t="s">
        <v>11</v>
      </c>
      <c r="C632" t="s">
        <v>12</v>
      </c>
      <c r="D632" s="2">
        <v>45511</v>
      </c>
      <c r="E632">
        <f t="shared" si="9"/>
        <v>631</v>
      </c>
    </row>
    <row r="633" spans="1:5" x14ac:dyDescent="0.2">
      <c r="A633" t="s">
        <v>629</v>
      </c>
      <c r="B633" t="s">
        <v>11</v>
      </c>
      <c r="C633" t="s">
        <v>12</v>
      </c>
      <c r="D633" s="2">
        <v>45511</v>
      </c>
      <c r="E633">
        <f t="shared" si="9"/>
        <v>632</v>
      </c>
    </row>
    <row r="634" spans="1:5" x14ac:dyDescent="0.2">
      <c r="A634" t="s">
        <v>709</v>
      </c>
      <c r="B634" t="s">
        <v>11</v>
      </c>
      <c r="C634" t="s">
        <v>12</v>
      </c>
      <c r="D634" s="2">
        <v>45511</v>
      </c>
      <c r="E634">
        <f t="shared" si="9"/>
        <v>633</v>
      </c>
    </row>
    <row r="635" spans="1:5" x14ac:dyDescent="0.2">
      <c r="A635" t="s">
        <v>529</v>
      </c>
      <c r="B635" t="s">
        <v>11</v>
      </c>
      <c r="C635" t="s">
        <v>12</v>
      </c>
      <c r="D635" s="2">
        <v>45512</v>
      </c>
      <c r="E635">
        <f t="shared" si="9"/>
        <v>634</v>
      </c>
    </row>
    <row r="636" spans="1:5" x14ac:dyDescent="0.2">
      <c r="A636" t="s">
        <v>624</v>
      </c>
      <c r="B636" t="s">
        <v>11</v>
      </c>
      <c r="C636" t="s">
        <v>12</v>
      </c>
      <c r="D636" s="2">
        <v>45512</v>
      </c>
      <c r="E636">
        <f t="shared" si="9"/>
        <v>635</v>
      </c>
    </row>
    <row r="637" spans="1:5" x14ac:dyDescent="0.2">
      <c r="A637" t="s">
        <v>640</v>
      </c>
      <c r="B637" t="s">
        <v>11</v>
      </c>
      <c r="C637" t="s">
        <v>12</v>
      </c>
      <c r="D637" s="2">
        <v>45512</v>
      </c>
      <c r="E637">
        <f t="shared" si="9"/>
        <v>636</v>
      </c>
    </row>
    <row r="638" spans="1:5" x14ac:dyDescent="0.2">
      <c r="A638" t="s">
        <v>684</v>
      </c>
      <c r="B638" t="s">
        <v>11</v>
      </c>
      <c r="C638" t="s">
        <v>12</v>
      </c>
      <c r="D638" s="2">
        <v>45512</v>
      </c>
      <c r="E638">
        <f t="shared" si="9"/>
        <v>637</v>
      </c>
    </row>
    <row r="639" spans="1:5" x14ac:dyDescent="0.2">
      <c r="A639" t="s">
        <v>705</v>
      </c>
      <c r="B639" t="s">
        <v>11</v>
      </c>
      <c r="C639" t="s">
        <v>12</v>
      </c>
      <c r="D639" s="2">
        <v>45512</v>
      </c>
      <c r="E639">
        <f t="shared" si="9"/>
        <v>638</v>
      </c>
    </row>
    <row r="640" spans="1:5" x14ac:dyDescent="0.2">
      <c r="A640" t="s">
        <v>557</v>
      </c>
      <c r="B640" t="s">
        <v>11</v>
      </c>
      <c r="C640" t="s">
        <v>12</v>
      </c>
      <c r="D640" s="2">
        <v>45513</v>
      </c>
      <c r="E640">
        <f t="shared" si="9"/>
        <v>639</v>
      </c>
    </row>
    <row r="641" spans="1:5" x14ac:dyDescent="0.2">
      <c r="A641" t="s">
        <v>711</v>
      </c>
      <c r="B641" t="s">
        <v>11</v>
      </c>
      <c r="C641" t="s">
        <v>12</v>
      </c>
      <c r="D641" s="2">
        <v>45513</v>
      </c>
      <c r="E641">
        <f t="shared" si="9"/>
        <v>640</v>
      </c>
    </row>
    <row r="642" spans="1:5" x14ac:dyDescent="0.2">
      <c r="A642" t="s">
        <v>574</v>
      </c>
      <c r="B642" t="s">
        <v>11</v>
      </c>
      <c r="C642" t="s">
        <v>12</v>
      </c>
      <c r="D642" s="2">
        <v>45514</v>
      </c>
      <c r="E642">
        <f t="shared" si="9"/>
        <v>641</v>
      </c>
    </row>
    <row r="643" spans="1:5" x14ac:dyDescent="0.2">
      <c r="A643" t="s">
        <v>586</v>
      </c>
      <c r="B643" t="s">
        <v>11</v>
      </c>
      <c r="C643" t="s">
        <v>12</v>
      </c>
      <c r="D643" s="2">
        <v>45514</v>
      </c>
      <c r="E643">
        <f t="shared" si="9"/>
        <v>642</v>
      </c>
    </row>
    <row r="644" spans="1:5" x14ac:dyDescent="0.2">
      <c r="A644" t="s">
        <v>634</v>
      </c>
      <c r="B644" t="s">
        <v>11</v>
      </c>
      <c r="C644" t="s">
        <v>12</v>
      </c>
      <c r="D644" s="2">
        <v>45514</v>
      </c>
      <c r="E644">
        <f t="shared" ref="E644:E707" si="10">E643+1</f>
        <v>643</v>
      </c>
    </row>
    <row r="645" spans="1:5" x14ac:dyDescent="0.2">
      <c r="A645" t="s">
        <v>706</v>
      </c>
      <c r="B645" t="s">
        <v>9</v>
      </c>
      <c r="C645" t="s">
        <v>10</v>
      </c>
      <c r="D645" s="2">
        <v>45514</v>
      </c>
      <c r="E645">
        <f t="shared" si="10"/>
        <v>644</v>
      </c>
    </row>
    <row r="646" spans="1:5" x14ac:dyDescent="0.2">
      <c r="A646" t="s">
        <v>734</v>
      </c>
      <c r="B646" t="s">
        <v>11</v>
      </c>
      <c r="C646" t="s">
        <v>12</v>
      </c>
      <c r="D646" s="2">
        <v>45514</v>
      </c>
      <c r="E646">
        <f t="shared" si="10"/>
        <v>645</v>
      </c>
    </row>
    <row r="647" spans="1:5" x14ac:dyDescent="0.2">
      <c r="A647" t="s">
        <v>736</v>
      </c>
      <c r="B647" t="s">
        <v>11</v>
      </c>
      <c r="C647" t="s">
        <v>12</v>
      </c>
      <c r="D647" s="2">
        <v>45514</v>
      </c>
      <c r="E647">
        <f t="shared" si="10"/>
        <v>646</v>
      </c>
    </row>
    <row r="648" spans="1:5" x14ac:dyDescent="0.2">
      <c r="A648" t="s">
        <v>712</v>
      </c>
      <c r="B648" t="s">
        <v>11</v>
      </c>
      <c r="C648" t="s">
        <v>12</v>
      </c>
      <c r="D648" s="2">
        <v>45515</v>
      </c>
      <c r="E648">
        <f t="shared" si="10"/>
        <v>647</v>
      </c>
    </row>
    <row r="649" spans="1:5" x14ac:dyDescent="0.2">
      <c r="A649" t="s">
        <v>673</v>
      </c>
      <c r="B649" t="s">
        <v>11</v>
      </c>
      <c r="C649" t="s">
        <v>12</v>
      </c>
      <c r="D649" s="2">
        <v>45516</v>
      </c>
      <c r="E649">
        <f t="shared" si="10"/>
        <v>648</v>
      </c>
    </row>
    <row r="650" spans="1:5" x14ac:dyDescent="0.2">
      <c r="A650" t="s">
        <v>739</v>
      </c>
      <c r="B650" t="s">
        <v>11</v>
      </c>
      <c r="C650" t="s">
        <v>12</v>
      </c>
      <c r="D650" s="2">
        <v>45516</v>
      </c>
      <c r="E650">
        <f t="shared" si="10"/>
        <v>649</v>
      </c>
    </row>
    <row r="651" spans="1:5" x14ac:dyDescent="0.2">
      <c r="A651" t="s">
        <v>664</v>
      </c>
      <c r="B651" t="s">
        <v>11</v>
      </c>
      <c r="C651" t="s">
        <v>12</v>
      </c>
      <c r="D651" s="2">
        <v>45517</v>
      </c>
      <c r="E651">
        <f t="shared" si="10"/>
        <v>650</v>
      </c>
    </row>
    <row r="652" spans="1:5" x14ac:dyDescent="0.2">
      <c r="A652" t="s">
        <v>676</v>
      </c>
      <c r="B652" t="s">
        <v>11</v>
      </c>
      <c r="C652" t="s">
        <v>12</v>
      </c>
      <c r="D652" s="2">
        <v>45517</v>
      </c>
      <c r="E652">
        <f t="shared" si="10"/>
        <v>651</v>
      </c>
    </row>
    <row r="653" spans="1:5" x14ac:dyDescent="0.2">
      <c r="A653" t="s">
        <v>688</v>
      </c>
      <c r="B653" t="s">
        <v>11</v>
      </c>
      <c r="C653" t="s">
        <v>12</v>
      </c>
      <c r="D653" s="2">
        <v>45517</v>
      </c>
      <c r="E653">
        <f t="shared" si="10"/>
        <v>652</v>
      </c>
    </row>
    <row r="654" spans="1:5" x14ac:dyDescent="0.2">
      <c r="A654" t="s">
        <v>670</v>
      </c>
      <c r="B654" t="s">
        <v>11</v>
      </c>
      <c r="C654" t="s">
        <v>12</v>
      </c>
      <c r="D654" s="2">
        <v>45518</v>
      </c>
      <c r="E654">
        <f t="shared" si="10"/>
        <v>653</v>
      </c>
    </row>
    <row r="655" spans="1:5" x14ac:dyDescent="0.2">
      <c r="A655" t="s">
        <v>671</v>
      </c>
      <c r="B655" t="s">
        <v>11</v>
      </c>
      <c r="C655" t="s">
        <v>12</v>
      </c>
      <c r="D655" s="2">
        <v>45518</v>
      </c>
      <c r="E655">
        <f t="shared" si="10"/>
        <v>654</v>
      </c>
    </row>
    <row r="656" spans="1:5" x14ac:dyDescent="0.2">
      <c r="A656" t="s">
        <v>592</v>
      </c>
      <c r="B656" t="s">
        <v>11</v>
      </c>
      <c r="C656" t="s">
        <v>12</v>
      </c>
      <c r="D656" s="2">
        <v>45519</v>
      </c>
      <c r="E656">
        <f t="shared" si="10"/>
        <v>655</v>
      </c>
    </row>
    <row r="657" spans="1:5" x14ac:dyDescent="0.2">
      <c r="A657" t="s">
        <v>635</v>
      </c>
      <c r="B657" t="s">
        <v>11</v>
      </c>
      <c r="C657" t="s">
        <v>12</v>
      </c>
      <c r="D657" s="2">
        <v>45519</v>
      </c>
      <c r="E657">
        <f t="shared" si="10"/>
        <v>656</v>
      </c>
    </row>
    <row r="658" spans="1:5" x14ac:dyDescent="0.2">
      <c r="A658" t="s">
        <v>639</v>
      </c>
      <c r="B658" t="s">
        <v>11</v>
      </c>
      <c r="C658" t="s">
        <v>12</v>
      </c>
      <c r="D658" s="2">
        <v>45519</v>
      </c>
      <c r="E658">
        <f t="shared" si="10"/>
        <v>657</v>
      </c>
    </row>
    <row r="659" spans="1:5" x14ac:dyDescent="0.2">
      <c r="A659" t="s">
        <v>656</v>
      </c>
      <c r="B659" t="s">
        <v>11</v>
      </c>
      <c r="C659" t="s">
        <v>12</v>
      </c>
      <c r="D659" s="2">
        <v>45519</v>
      </c>
      <c r="E659">
        <f t="shared" si="10"/>
        <v>658</v>
      </c>
    </row>
    <row r="660" spans="1:5" x14ac:dyDescent="0.2">
      <c r="A660" t="s">
        <v>713</v>
      </c>
      <c r="B660" t="s">
        <v>11</v>
      </c>
      <c r="C660" t="s">
        <v>12</v>
      </c>
      <c r="D660" s="2">
        <v>45519</v>
      </c>
      <c r="E660">
        <f t="shared" si="10"/>
        <v>659</v>
      </c>
    </row>
    <row r="661" spans="1:5" x14ac:dyDescent="0.2">
      <c r="A661" t="s">
        <v>725</v>
      </c>
      <c r="B661" t="s">
        <v>11</v>
      </c>
      <c r="C661" t="s">
        <v>12</v>
      </c>
      <c r="D661" s="2">
        <v>45519</v>
      </c>
      <c r="E661">
        <f t="shared" si="10"/>
        <v>660</v>
      </c>
    </row>
    <row r="662" spans="1:5" x14ac:dyDescent="0.2">
      <c r="A662" t="s">
        <v>731</v>
      </c>
      <c r="B662" t="s">
        <v>11</v>
      </c>
      <c r="C662" t="s">
        <v>12</v>
      </c>
      <c r="D662" s="2">
        <v>45519</v>
      </c>
      <c r="E662">
        <f t="shared" si="10"/>
        <v>661</v>
      </c>
    </row>
    <row r="663" spans="1:5" x14ac:dyDescent="0.2">
      <c r="A663" t="s">
        <v>719</v>
      </c>
      <c r="B663" t="s">
        <v>11</v>
      </c>
      <c r="C663" t="s">
        <v>12</v>
      </c>
      <c r="D663" s="2">
        <v>45520</v>
      </c>
      <c r="E663">
        <f t="shared" si="10"/>
        <v>662</v>
      </c>
    </row>
    <row r="664" spans="1:5" x14ac:dyDescent="0.2">
      <c r="A664" t="s">
        <v>657</v>
      </c>
      <c r="B664" t="s">
        <v>11</v>
      </c>
      <c r="C664" t="s">
        <v>12</v>
      </c>
      <c r="D664" s="2">
        <v>45521</v>
      </c>
      <c r="E664">
        <f t="shared" si="10"/>
        <v>663</v>
      </c>
    </row>
    <row r="665" spans="1:5" x14ac:dyDescent="0.2">
      <c r="A665" t="s">
        <v>661</v>
      </c>
      <c r="B665" t="s">
        <v>11</v>
      </c>
      <c r="C665" t="s">
        <v>12</v>
      </c>
      <c r="D665" s="2">
        <v>45521</v>
      </c>
      <c r="E665">
        <f t="shared" si="10"/>
        <v>664</v>
      </c>
    </row>
    <row r="666" spans="1:5" x14ac:dyDescent="0.2">
      <c r="A666" t="s">
        <v>702</v>
      </c>
      <c r="B666" t="s">
        <v>11</v>
      </c>
      <c r="C666" t="s">
        <v>12</v>
      </c>
      <c r="D666" s="2">
        <v>45521</v>
      </c>
      <c r="E666">
        <f t="shared" si="10"/>
        <v>665</v>
      </c>
    </row>
    <row r="667" spans="1:5" x14ac:dyDescent="0.2">
      <c r="A667" t="s">
        <v>741</v>
      </c>
      <c r="B667" t="s">
        <v>11</v>
      </c>
      <c r="C667" t="s">
        <v>12</v>
      </c>
      <c r="D667" s="2">
        <v>45521</v>
      </c>
      <c r="E667">
        <f t="shared" si="10"/>
        <v>666</v>
      </c>
    </row>
    <row r="668" spans="1:5" x14ac:dyDescent="0.2">
      <c r="A668" t="s">
        <v>622</v>
      </c>
      <c r="B668" t="s">
        <v>11</v>
      </c>
      <c r="C668" t="s">
        <v>12</v>
      </c>
      <c r="D668" s="2">
        <v>45522</v>
      </c>
      <c r="E668">
        <f t="shared" si="10"/>
        <v>667</v>
      </c>
    </row>
    <row r="669" spans="1:5" x14ac:dyDescent="0.2">
      <c r="A669" t="s">
        <v>630</v>
      </c>
      <c r="B669" t="s">
        <v>11</v>
      </c>
      <c r="C669" t="s">
        <v>12</v>
      </c>
      <c r="D669" s="2">
        <v>45522</v>
      </c>
      <c r="E669">
        <f t="shared" si="10"/>
        <v>668</v>
      </c>
    </row>
    <row r="670" spans="1:5" x14ac:dyDescent="0.2">
      <c r="A670" t="s">
        <v>653</v>
      </c>
      <c r="B670" t="s">
        <v>11</v>
      </c>
      <c r="C670" t="s">
        <v>12</v>
      </c>
      <c r="D670" s="2">
        <v>45522</v>
      </c>
      <c r="E670">
        <f t="shared" si="10"/>
        <v>669</v>
      </c>
    </row>
    <row r="671" spans="1:5" x14ac:dyDescent="0.2">
      <c r="A671" t="s">
        <v>681</v>
      </c>
      <c r="B671" t="s">
        <v>11</v>
      </c>
      <c r="C671" t="s">
        <v>12</v>
      </c>
      <c r="D671" s="2">
        <v>45522</v>
      </c>
      <c r="E671">
        <f t="shared" si="10"/>
        <v>670</v>
      </c>
    </row>
    <row r="672" spans="1:5" x14ac:dyDescent="0.2">
      <c r="A672" t="s">
        <v>710</v>
      </c>
      <c r="B672" t="s">
        <v>11</v>
      </c>
      <c r="C672" t="s">
        <v>12</v>
      </c>
      <c r="D672" s="2">
        <v>45522</v>
      </c>
      <c r="E672">
        <f t="shared" si="10"/>
        <v>671</v>
      </c>
    </row>
    <row r="673" spans="1:5" x14ac:dyDescent="0.2">
      <c r="A673" t="s">
        <v>720</v>
      </c>
      <c r="B673" t="s">
        <v>11</v>
      </c>
      <c r="C673" t="s">
        <v>12</v>
      </c>
      <c r="D673" s="2">
        <v>45522</v>
      </c>
      <c r="E673">
        <f t="shared" si="10"/>
        <v>672</v>
      </c>
    </row>
    <row r="674" spans="1:5" x14ac:dyDescent="0.2">
      <c r="A674" t="s">
        <v>728</v>
      </c>
      <c r="B674" t="s">
        <v>11</v>
      </c>
      <c r="C674" t="s">
        <v>12</v>
      </c>
      <c r="D674" s="2">
        <v>45522</v>
      </c>
      <c r="E674">
        <f t="shared" si="10"/>
        <v>673</v>
      </c>
    </row>
    <row r="675" spans="1:5" x14ac:dyDescent="0.2">
      <c r="A675" t="s">
        <v>765</v>
      </c>
      <c r="B675" t="s">
        <v>11</v>
      </c>
      <c r="C675" t="s">
        <v>12</v>
      </c>
      <c r="D675" s="2">
        <v>45522</v>
      </c>
      <c r="E675">
        <f t="shared" si="10"/>
        <v>674</v>
      </c>
    </row>
    <row r="676" spans="1:5" x14ac:dyDescent="0.2">
      <c r="A676" t="s">
        <v>698</v>
      </c>
      <c r="B676" t="s">
        <v>11</v>
      </c>
      <c r="C676" t="s">
        <v>12</v>
      </c>
      <c r="D676" s="2">
        <v>45523</v>
      </c>
      <c r="E676">
        <f t="shared" si="10"/>
        <v>675</v>
      </c>
    </row>
    <row r="677" spans="1:5" x14ac:dyDescent="0.2">
      <c r="A677" t="s">
        <v>760</v>
      </c>
      <c r="B677" t="s">
        <v>11</v>
      </c>
      <c r="C677" t="s">
        <v>12</v>
      </c>
      <c r="D677" s="2">
        <v>45523</v>
      </c>
      <c r="E677">
        <f t="shared" si="10"/>
        <v>676</v>
      </c>
    </row>
    <row r="678" spans="1:5" x14ac:dyDescent="0.2">
      <c r="A678" t="s">
        <v>581</v>
      </c>
      <c r="B678" t="s">
        <v>11</v>
      </c>
      <c r="C678" t="s">
        <v>12</v>
      </c>
      <c r="D678" s="2">
        <v>45524</v>
      </c>
      <c r="E678">
        <f t="shared" si="10"/>
        <v>677</v>
      </c>
    </row>
    <row r="679" spans="1:5" x14ac:dyDescent="0.2">
      <c r="A679" t="s">
        <v>662</v>
      </c>
      <c r="B679" t="s">
        <v>11</v>
      </c>
      <c r="C679" t="s">
        <v>12</v>
      </c>
      <c r="D679" s="2">
        <v>45524</v>
      </c>
      <c r="E679">
        <f t="shared" si="10"/>
        <v>678</v>
      </c>
    </row>
    <row r="680" spans="1:5" x14ac:dyDescent="0.2">
      <c r="A680" t="s">
        <v>703</v>
      </c>
      <c r="B680" t="s">
        <v>11</v>
      </c>
      <c r="C680" t="s">
        <v>12</v>
      </c>
      <c r="D680" s="2">
        <v>45524</v>
      </c>
      <c r="E680">
        <f t="shared" si="10"/>
        <v>679</v>
      </c>
    </row>
    <row r="681" spans="1:5" x14ac:dyDescent="0.2">
      <c r="A681" t="s">
        <v>761</v>
      </c>
      <c r="B681" t="s">
        <v>11</v>
      </c>
      <c r="C681" t="s">
        <v>12</v>
      </c>
      <c r="D681" s="2">
        <v>45524</v>
      </c>
      <c r="E681">
        <f t="shared" si="10"/>
        <v>680</v>
      </c>
    </row>
    <row r="682" spans="1:5" x14ac:dyDescent="0.2">
      <c r="A682" t="s">
        <v>572</v>
      </c>
      <c r="B682" t="s">
        <v>11</v>
      </c>
      <c r="C682" t="s">
        <v>12</v>
      </c>
      <c r="D682" s="2">
        <v>45525</v>
      </c>
      <c r="E682">
        <f t="shared" si="10"/>
        <v>681</v>
      </c>
    </row>
    <row r="683" spans="1:5" x14ac:dyDescent="0.2">
      <c r="A683" t="s">
        <v>602</v>
      </c>
      <c r="B683" t="s">
        <v>11</v>
      </c>
      <c r="C683" t="s">
        <v>12</v>
      </c>
      <c r="D683" s="2">
        <v>45525</v>
      </c>
      <c r="E683">
        <f t="shared" si="10"/>
        <v>682</v>
      </c>
    </row>
    <row r="684" spans="1:5" x14ac:dyDescent="0.2">
      <c r="A684" t="s">
        <v>609</v>
      </c>
      <c r="B684" t="s">
        <v>11</v>
      </c>
      <c r="C684" t="s">
        <v>12</v>
      </c>
      <c r="D684" s="2">
        <v>45525</v>
      </c>
      <c r="E684">
        <f t="shared" si="10"/>
        <v>683</v>
      </c>
    </row>
    <row r="685" spans="1:5" x14ac:dyDescent="0.2">
      <c r="A685" t="s">
        <v>647</v>
      </c>
      <c r="B685" t="s">
        <v>11</v>
      </c>
      <c r="C685" t="s">
        <v>12</v>
      </c>
      <c r="D685" s="2">
        <v>45525</v>
      </c>
      <c r="E685">
        <f t="shared" si="10"/>
        <v>684</v>
      </c>
    </row>
    <row r="686" spans="1:5" x14ac:dyDescent="0.2">
      <c r="A686" t="s">
        <v>665</v>
      </c>
      <c r="B686" t="s">
        <v>11</v>
      </c>
      <c r="C686" t="s">
        <v>12</v>
      </c>
      <c r="D686" s="2">
        <v>45525</v>
      </c>
      <c r="E686">
        <f t="shared" si="10"/>
        <v>685</v>
      </c>
    </row>
    <row r="687" spans="1:5" x14ac:dyDescent="0.2">
      <c r="A687" t="s">
        <v>773</v>
      </c>
      <c r="B687" t="s">
        <v>11</v>
      </c>
      <c r="C687" t="s">
        <v>12</v>
      </c>
      <c r="D687" s="2">
        <v>45525</v>
      </c>
      <c r="E687">
        <f t="shared" si="10"/>
        <v>686</v>
      </c>
    </row>
    <row r="688" spans="1:5" x14ac:dyDescent="0.2">
      <c r="A688" t="s">
        <v>778</v>
      </c>
      <c r="B688" t="s">
        <v>11</v>
      </c>
      <c r="C688" t="s">
        <v>12</v>
      </c>
      <c r="D688" s="2">
        <v>45526</v>
      </c>
      <c r="E688">
        <f t="shared" si="10"/>
        <v>687</v>
      </c>
    </row>
    <row r="689" spans="1:5" x14ac:dyDescent="0.2">
      <c r="A689" t="s">
        <v>615</v>
      </c>
      <c r="B689" t="s">
        <v>11</v>
      </c>
      <c r="C689" t="s">
        <v>12</v>
      </c>
      <c r="D689" s="2">
        <v>45527</v>
      </c>
      <c r="E689">
        <f t="shared" si="10"/>
        <v>688</v>
      </c>
    </row>
    <row r="690" spans="1:5" x14ac:dyDescent="0.2">
      <c r="A690" t="s">
        <v>643</v>
      </c>
      <c r="B690" t="s">
        <v>11</v>
      </c>
      <c r="C690" t="s">
        <v>12</v>
      </c>
      <c r="D690" s="2">
        <v>45527</v>
      </c>
      <c r="E690">
        <f t="shared" si="10"/>
        <v>689</v>
      </c>
    </row>
    <row r="691" spans="1:5" x14ac:dyDescent="0.2">
      <c r="A691" t="s">
        <v>690</v>
      </c>
      <c r="B691" t="s">
        <v>11</v>
      </c>
      <c r="C691" t="s">
        <v>12</v>
      </c>
      <c r="D691" s="2">
        <v>45527</v>
      </c>
      <c r="E691">
        <f t="shared" si="10"/>
        <v>690</v>
      </c>
    </row>
    <row r="692" spans="1:5" x14ac:dyDescent="0.2">
      <c r="A692" t="s">
        <v>777</v>
      </c>
      <c r="B692" t="s">
        <v>11</v>
      </c>
      <c r="C692" t="s">
        <v>12</v>
      </c>
      <c r="D692" s="2">
        <v>45527</v>
      </c>
      <c r="E692">
        <f t="shared" si="10"/>
        <v>691</v>
      </c>
    </row>
    <row r="693" spans="1:5" x14ac:dyDescent="0.2">
      <c r="A693" t="s">
        <v>658</v>
      </c>
      <c r="B693" t="s">
        <v>11</v>
      </c>
      <c r="C693" t="s">
        <v>12</v>
      </c>
      <c r="D693" s="2">
        <v>45528</v>
      </c>
      <c r="E693">
        <f t="shared" si="10"/>
        <v>692</v>
      </c>
    </row>
    <row r="694" spans="1:5" x14ac:dyDescent="0.2">
      <c r="A694" t="s">
        <v>672</v>
      </c>
      <c r="B694" t="s">
        <v>11</v>
      </c>
      <c r="C694" t="s">
        <v>12</v>
      </c>
      <c r="D694" s="2">
        <v>45528</v>
      </c>
      <c r="E694">
        <f t="shared" si="10"/>
        <v>693</v>
      </c>
    </row>
    <row r="695" spans="1:5" x14ac:dyDescent="0.2">
      <c r="A695" t="s">
        <v>692</v>
      </c>
      <c r="B695" t="s">
        <v>11</v>
      </c>
      <c r="C695" t="s">
        <v>12</v>
      </c>
      <c r="D695" s="2">
        <v>45528</v>
      </c>
      <c r="E695">
        <f t="shared" si="10"/>
        <v>694</v>
      </c>
    </row>
    <row r="696" spans="1:5" x14ac:dyDescent="0.2">
      <c r="A696" t="s">
        <v>735</v>
      </c>
      <c r="B696" t="s">
        <v>11</v>
      </c>
      <c r="C696" t="s">
        <v>12</v>
      </c>
      <c r="D696" s="2">
        <v>45528</v>
      </c>
      <c r="E696">
        <f t="shared" si="10"/>
        <v>695</v>
      </c>
    </row>
    <row r="697" spans="1:5" x14ac:dyDescent="0.2">
      <c r="A697" t="s">
        <v>737</v>
      </c>
      <c r="B697" t="s">
        <v>11</v>
      </c>
      <c r="C697" t="s">
        <v>12</v>
      </c>
      <c r="D697" s="2">
        <v>45528</v>
      </c>
      <c r="E697">
        <f t="shared" si="10"/>
        <v>696</v>
      </c>
    </row>
    <row r="698" spans="1:5" x14ac:dyDescent="0.2">
      <c r="A698" t="s">
        <v>755</v>
      </c>
      <c r="B698" t="s">
        <v>11</v>
      </c>
      <c r="C698" t="s">
        <v>12</v>
      </c>
      <c r="D698" s="2">
        <v>45528</v>
      </c>
      <c r="E698">
        <f t="shared" si="10"/>
        <v>697</v>
      </c>
    </row>
    <row r="699" spans="1:5" x14ac:dyDescent="0.2">
      <c r="A699" t="s">
        <v>788</v>
      </c>
      <c r="B699" t="s">
        <v>11</v>
      </c>
      <c r="C699" t="s">
        <v>12</v>
      </c>
      <c r="D699" s="2">
        <v>45528</v>
      </c>
      <c r="E699">
        <f t="shared" si="10"/>
        <v>698</v>
      </c>
    </row>
    <row r="700" spans="1:5" x14ac:dyDescent="0.2">
      <c r="A700" t="s">
        <v>689</v>
      </c>
      <c r="B700" t="s">
        <v>11</v>
      </c>
      <c r="C700" t="s">
        <v>12</v>
      </c>
      <c r="D700" s="2">
        <v>45529</v>
      </c>
      <c r="E700">
        <f t="shared" si="10"/>
        <v>699</v>
      </c>
    </row>
    <row r="701" spans="1:5" x14ac:dyDescent="0.2">
      <c r="A701" t="s">
        <v>707</v>
      </c>
      <c r="B701" t="s">
        <v>11</v>
      </c>
      <c r="C701" t="s">
        <v>12</v>
      </c>
      <c r="D701" s="2">
        <v>45529</v>
      </c>
      <c r="E701">
        <f t="shared" si="10"/>
        <v>700</v>
      </c>
    </row>
    <row r="702" spans="1:5" x14ac:dyDescent="0.2">
      <c r="A702" t="s">
        <v>749</v>
      </c>
      <c r="B702" t="s">
        <v>11</v>
      </c>
      <c r="C702" t="s">
        <v>12</v>
      </c>
      <c r="D702" s="2">
        <v>45530</v>
      </c>
      <c r="E702">
        <f t="shared" si="10"/>
        <v>701</v>
      </c>
    </row>
    <row r="703" spans="1:5" x14ac:dyDescent="0.2">
      <c r="A703" t="s">
        <v>758</v>
      </c>
      <c r="B703" t="s">
        <v>11</v>
      </c>
      <c r="C703" t="s">
        <v>12</v>
      </c>
      <c r="D703" s="2">
        <v>45530</v>
      </c>
      <c r="E703">
        <f t="shared" si="10"/>
        <v>702</v>
      </c>
    </row>
    <row r="704" spans="1:5" x14ac:dyDescent="0.2">
      <c r="A704" t="s">
        <v>600</v>
      </c>
      <c r="B704" t="s">
        <v>11</v>
      </c>
      <c r="C704" t="s">
        <v>12</v>
      </c>
      <c r="D704" s="2">
        <v>45531</v>
      </c>
      <c r="E704">
        <f t="shared" si="10"/>
        <v>703</v>
      </c>
    </row>
    <row r="705" spans="1:5" x14ac:dyDescent="0.2">
      <c r="A705" t="s">
        <v>652</v>
      </c>
      <c r="B705" t="s">
        <v>11</v>
      </c>
      <c r="C705" t="s">
        <v>12</v>
      </c>
      <c r="D705" s="2">
        <v>45531</v>
      </c>
      <c r="E705">
        <f t="shared" si="10"/>
        <v>704</v>
      </c>
    </row>
    <row r="706" spans="1:5" x14ac:dyDescent="0.2">
      <c r="A706" t="s">
        <v>691</v>
      </c>
      <c r="B706" t="s">
        <v>11</v>
      </c>
      <c r="C706" t="s">
        <v>12</v>
      </c>
      <c r="D706" s="2">
        <v>45531</v>
      </c>
      <c r="E706">
        <f t="shared" si="10"/>
        <v>705</v>
      </c>
    </row>
    <row r="707" spans="1:5" x14ac:dyDescent="0.2">
      <c r="A707" t="s">
        <v>693</v>
      </c>
      <c r="B707" t="s">
        <v>11</v>
      </c>
      <c r="C707" t="s">
        <v>12</v>
      </c>
      <c r="D707" s="2">
        <v>45531</v>
      </c>
      <c r="E707">
        <f t="shared" si="10"/>
        <v>706</v>
      </c>
    </row>
    <row r="708" spans="1:5" x14ac:dyDescent="0.2">
      <c r="A708" t="s">
        <v>768</v>
      </c>
      <c r="B708" t="s">
        <v>11</v>
      </c>
      <c r="C708" t="s">
        <v>12</v>
      </c>
      <c r="D708" s="2">
        <v>45531</v>
      </c>
      <c r="E708">
        <f t="shared" ref="E708:E771" si="11">E707+1</f>
        <v>707</v>
      </c>
    </row>
    <row r="709" spans="1:5" x14ac:dyDescent="0.2">
      <c r="A709" t="s">
        <v>795</v>
      </c>
      <c r="B709" t="s">
        <v>11</v>
      </c>
      <c r="C709" t="s">
        <v>12</v>
      </c>
      <c r="D709" s="2">
        <v>45531</v>
      </c>
      <c r="E709">
        <f t="shared" si="11"/>
        <v>708</v>
      </c>
    </row>
    <row r="710" spans="1:5" x14ac:dyDescent="0.2">
      <c r="A710" t="s">
        <v>646</v>
      </c>
      <c r="B710" t="s">
        <v>11</v>
      </c>
      <c r="C710" t="s">
        <v>12</v>
      </c>
      <c r="D710" s="2">
        <v>45532</v>
      </c>
      <c r="E710">
        <f t="shared" si="11"/>
        <v>709</v>
      </c>
    </row>
    <row r="711" spans="1:5" x14ac:dyDescent="0.2">
      <c r="A711" t="s">
        <v>667</v>
      </c>
      <c r="B711" t="s">
        <v>11</v>
      </c>
      <c r="C711" t="s">
        <v>12</v>
      </c>
      <c r="D711" s="2">
        <v>45532</v>
      </c>
      <c r="E711">
        <f t="shared" si="11"/>
        <v>710</v>
      </c>
    </row>
    <row r="712" spans="1:5" x14ac:dyDescent="0.2">
      <c r="A712" t="s">
        <v>714</v>
      </c>
      <c r="B712" t="s">
        <v>11</v>
      </c>
      <c r="C712" t="s">
        <v>12</v>
      </c>
      <c r="D712" s="2">
        <v>45532</v>
      </c>
      <c r="E712">
        <f t="shared" si="11"/>
        <v>711</v>
      </c>
    </row>
    <row r="713" spans="1:5" x14ac:dyDescent="0.2">
      <c r="A713" t="s">
        <v>726</v>
      </c>
      <c r="B713" t="s">
        <v>11</v>
      </c>
      <c r="C713" t="s">
        <v>12</v>
      </c>
      <c r="D713" s="2">
        <v>45532</v>
      </c>
      <c r="E713">
        <f t="shared" si="11"/>
        <v>712</v>
      </c>
    </row>
    <row r="714" spans="1:5" x14ac:dyDescent="0.2">
      <c r="A714" t="s">
        <v>762</v>
      </c>
      <c r="B714" t="s">
        <v>11</v>
      </c>
      <c r="C714" t="s">
        <v>12</v>
      </c>
      <c r="D714" s="2">
        <v>45532</v>
      </c>
      <c r="E714">
        <f t="shared" si="11"/>
        <v>713</v>
      </c>
    </row>
    <row r="715" spans="1:5" x14ac:dyDescent="0.2">
      <c r="A715" t="s">
        <v>770</v>
      </c>
      <c r="B715" t="s">
        <v>11</v>
      </c>
      <c r="C715" t="s">
        <v>12</v>
      </c>
      <c r="D715" s="2">
        <v>45532</v>
      </c>
      <c r="E715">
        <f t="shared" si="11"/>
        <v>714</v>
      </c>
    </row>
    <row r="716" spans="1:5" x14ac:dyDescent="0.2">
      <c r="A716" t="s">
        <v>802</v>
      </c>
      <c r="B716" t="s">
        <v>11</v>
      </c>
      <c r="C716" t="s">
        <v>12</v>
      </c>
      <c r="D716" s="2">
        <v>45532</v>
      </c>
      <c r="E716">
        <f t="shared" si="11"/>
        <v>715</v>
      </c>
    </row>
    <row r="717" spans="1:5" x14ac:dyDescent="0.2">
      <c r="A717" t="s">
        <v>804</v>
      </c>
      <c r="B717" t="s">
        <v>11</v>
      </c>
      <c r="C717" t="s">
        <v>12</v>
      </c>
      <c r="D717" s="2">
        <v>45532</v>
      </c>
      <c r="E717">
        <f t="shared" si="11"/>
        <v>716</v>
      </c>
    </row>
    <row r="718" spans="1:5" x14ac:dyDescent="0.2">
      <c r="A718" t="s">
        <v>590</v>
      </c>
      <c r="B718" t="s">
        <v>11</v>
      </c>
      <c r="C718" t="s">
        <v>12</v>
      </c>
      <c r="D718" s="2">
        <v>45533</v>
      </c>
      <c r="E718">
        <f t="shared" si="11"/>
        <v>717</v>
      </c>
    </row>
    <row r="719" spans="1:5" x14ac:dyDescent="0.2">
      <c r="A719" t="s">
        <v>782</v>
      </c>
      <c r="B719" t="s">
        <v>11</v>
      </c>
      <c r="C719" t="s">
        <v>12</v>
      </c>
      <c r="D719" s="2">
        <v>45533</v>
      </c>
      <c r="E719">
        <f t="shared" si="11"/>
        <v>718</v>
      </c>
    </row>
    <row r="720" spans="1:5" x14ac:dyDescent="0.2">
      <c r="A720" t="s">
        <v>805</v>
      </c>
      <c r="B720" t="s">
        <v>11</v>
      </c>
      <c r="C720" t="s">
        <v>12</v>
      </c>
      <c r="D720" s="2">
        <v>45533</v>
      </c>
      <c r="E720">
        <f t="shared" si="11"/>
        <v>719</v>
      </c>
    </row>
    <row r="721" spans="1:5" x14ac:dyDescent="0.2">
      <c r="A721" t="s">
        <v>724</v>
      </c>
      <c r="B721" t="s">
        <v>11</v>
      </c>
      <c r="C721" t="s">
        <v>12</v>
      </c>
      <c r="D721" s="2">
        <v>45534</v>
      </c>
      <c r="E721">
        <f t="shared" si="11"/>
        <v>720</v>
      </c>
    </row>
    <row r="722" spans="1:5" x14ac:dyDescent="0.2">
      <c r="A722" t="s">
        <v>764</v>
      </c>
      <c r="B722" t="s">
        <v>11</v>
      </c>
      <c r="C722" t="s">
        <v>12</v>
      </c>
      <c r="D722" s="2">
        <v>45534</v>
      </c>
      <c r="E722">
        <f t="shared" si="11"/>
        <v>721</v>
      </c>
    </row>
    <row r="723" spans="1:5" x14ac:dyDescent="0.2">
      <c r="A723" t="s">
        <v>798</v>
      </c>
      <c r="B723" t="s">
        <v>11</v>
      </c>
      <c r="C723" t="s">
        <v>12</v>
      </c>
      <c r="D723" s="2">
        <v>45534</v>
      </c>
      <c r="E723">
        <f t="shared" si="11"/>
        <v>722</v>
      </c>
    </row>
    <row r="724" spans="1:5" x14ac:dyDescent="0.2">
      <c r="A724" t="s">
        <v>772</v>
      </c>
      <c r="B724" t="s">
        <v>11</v>
      </c>
      <c r="C724" t="s">
        <v>12</v>
      </c>
      <c r="D724" s="2">
        <v>45535</v>
      </c>
      <c r="E724">
        <f t="shared" si="11"/>
        <v>723</v>
      </c>
    </row>
    <row r="725" spans="1:5" x14ac:dyDescent="0.2">
      <c r="A725" t="s">
        <v>780</v>
      </c>
      <c r="B725" t="s">
        <v>11</v>
      </c>
      <c r="C725" t="s">
        <v>12</v>
      </c>
      <c r="D725" s="2">
        <v>45535</v>
      </c>
      <c r="E725">
        <f t="shared" si="11"/>
        <v>724</v>
      </c>
    </row>
    <row r="726" spans="1:5" x14ac:dyDescent="0.2">
      <c r="A726" t="s">
        <v>786</v>
      </c>
      <c r="B726" t="s">
        <v>11</v>
      </c>
      <c r="C726" t="s">
        <v>12</v>
      </c>
      <c r="D726" s="2">
        <v>45535</v>
      </c>
      <c r="E726">
        <f t="shared" si="11"/>
        <v>725</v>
      </c>
    </row>
    <row r="727" spans="1:5" x14ac:dyDescent="0.2">
      <c r="A727" t="s">
        <v>789</v>
      </c>
      <c r="B727" t="s">
        <v>11</v>
      </c>
      <c r="C727" t="s">
        <v>12</v>
      </c>
      <c r="D727" s="2">
        <v>45535</v>
      </c>
      <c r="E727">
        <f t="shared" si="11"/>
        <v>726</v>
      </c>
    </row>
    <row r="728" spans="1:5" x14ac:dyDescent="0.2">
      <c r="A728" t="s">
        <v>809</v>
      </c>
      <c r="B728" t="s">
        <v>11</v>
      </c>
      <c r="C728" t="s">
        <v>12</v>
      </c>
      <c r="D728" s="2">
        <v>45535</v>
      </c>
      <c r="E728">
        <f t="shared" si="11"/>
        <v>727</v>
      </c>
    </row>
    <row r="729" spans="1:5" x14ac:dyDescent="0.2">
      <c r="A729" t="s">
        <v>674</v>
      </c>
      <c r="B729" t="s">
        <v>11</v>
      </c>
      <c r="C729" t="s">
        <v>12</v>
      </c>
      <c r="D729" s="2">
        <v>45536</v>
      </c>
      <c r="E729">
        <f t="shared" si="11"/>
        <v>728</v>
      </c>
    </row>
    <row r="730" spans="1:5" x14ac:dyDescent="0.2">
      <c r="A730" t="s">
        <v>686</v>
      </c>
      <c r="B730" t="s">
        <v>11</v>
      </c>
      <c r="C730" t="s">
        <v>12</v>
      </c>
      <c r="D730" s="2">
        <v>45536</v>
      </c>
      <c r="E730">
        <f t="shared" si="11"/>
        <v>729</v>
      </c>
    </row>
    <row r="731" spans="1:5" x14ac:dyDescent="0.2">
      <c r="A731" t="s">
        <v>744</v>
      </c>
      <c r="B731" t="s">
        <v>11</v>
      </c>
      <c r="C731" t="s">
        <v>12</v>
      </c>
      <c r="D731" s="2">
        <v>45536</v>
      </c>
      <c r="E731">
        <f t="shared" si="11"/>
        <v>730</v>
      </c>
    </row>
    <row r="732" spans="1:5" x14ac:dyDescent="0.2">
      <c r="A732" t="s">
        <v>607</v>
      </c>
      <c r="B732" t="s">
        <v>11</v>
      </c>
      <c r="C732" t="s">
        <v>12</v>
      </c>
      <c r="D732" s="2">
        <v>45537</v>
      </c>
      <c r="E732">
        <f t="shared" si="11"/>
        <v>731</v>
      </c>
    </row>
    <row r="733" spans="1:5" x14ac:dyDescent="0.2">
      <c r="A733" t="s">
        <v>781</v>
      </c>
      <c r="B733" t="s">
        <v>11</v>
      </c>
      <c r="C733" t="s">
        <v>12</v>
      </c>
      <c r="D733" s="2">
        <v>45537</v>
      </c>
      <c r="E733">
        <f t="shared" si="11"/>
        <v>732</v>
      </c>
    </row>
    <row r="734" spans="1:5" x14ac:dyDescent="0.2">
      <c r="A734" t="s">
        <v>680</v>
      </c>
      <c r="B734" t="s">
        <v>11</v>
      </c>
      <c r="C734" t="s">
        <v>12</v>
      </c>
      <c r="D734" s="2">
        <v>45538</v>
      </c>
      <c r="E734">
        <f t="shared" si="11"/>
        <v>733</v>
      </c>
    </row>
    <row r="735" spans="1:5" x14ac:dyDescent="0.2">
      <c r="A735" t="s">
        <v>730</v>
      </c>
      <c r="B735" t="s">
        <v>11</v>
      </c>
      <c r="C735" t="s">
        <v>12</v>
      </c>
      <c r="D735" s="2">
        <v>45538</v>
      </c>
      <c r="E735">
        <f t="shared" si="11"/>
        <v>734</v>
      </c>
    </row>
    <row r="736" spans="1:5" x14ac:dyDescent="0.2">
      <c r="A736" t="s">
        <v>774</v>
      </c>
      <c r="B736" t="s">
        <v>11</v>
      </c>
      <c r="C736" t="s">
        <v>12</v>
      </c>
      <c r="D736" s="2">
        <v>45538</v>
      </c>
      <c r="E736">
        <f t="shared" si="11"/>
        <v>735</v>
      </c>
    </row>
    <row r="737" spans="1:5" x14ac:dyDescent="0.2">
      <c r="A737" t="s">
        <v>717</v>
      </c>
      <c r="B737" t="s">
        <v>11</v>
      </c>
      <c r="C737" t="s">
        <v>12</v>
      </c>
      <c r="D737" s="2">
        <v>45539</v>
      </c>
      <c r="E737">
        <f t="shared" si="11"/>
        <v>736</v>
      </c>
    </row>
    <row r="738" spans="1:5" x14ac:dyDescent="0.2">
      <c r="A738" t="s">
        <v>729</v>
      </c>
      <c r="B738" t="s">
        <v>11</v>
      </c>
      <c r="C738" t="s">
        <v>12</v>
      </c>
      <c r="D738" s="2">
        <v>45539</v>
      </c>
      <c r="E738">
        <f t="shared" si="11"/>
        <v>737</v>
      </c>
    </row>
    <row r="739" spans="1:5" x14ac:dyDescent="0.2">
      <c r="A739" t="s">
        <v>743</v>
      </c>
      <c r="B739" t="s">
        <v>11</v>
      </c>
      <c r="C739" t="s">
        <v>12</v>
      </c>
      <c r="D739" s="2">
        <v>45539</v>
      </c>
      <c r="E739">
        <f t="shared" si="11"/>
        <v>738</v>
      </c>
    </row>
    <row r="740" spans="1:5" x14ac:dyDescent="0.2">
      <c r="A740" t="s">
        <v>757</v>
      </c>
      <c r="B740" t="s">
        <v>11</v>
      </c>
      <c r="C740" t="s">
        <v>12</v>
      </c>
      <c r="D740" s="2">
        <v>45539</v>
      </c>
      <c r="E740">
        <f t="shared" si="11"/>
        <v>739</v>
      </c>
    </row>
    <row r="741" spans="1:5" x14ac:dyDescent="0.2">
      <c r="A741" t="s">
        <v>816</v>
      </c>
      <c r="B741" t="s">
        <v>11</v>
      </c>
      <c r="C741" t="s">
        <v>12</v>
      </c>
      <c r="D741" s="2">
        <v>45539</v>
      </c>
      <c r="E741">
        <f t="shared" si="11"/>
        <v>740</v>
      </c>
    </row>
    <row r="742" spans="1:5" x14ac:dyDescent="0.2">
      <c r="A742" t="s">
        <v>819</v>
      </c>
      <c r="B742" t="s">
        <v>11</v>
      </c>
      <c r="C742" t="s">
        <v>12</v>
      </c>
      <c r="D742" s="2">
        <v>45540</v>
      </c>
      <c r="E742">
        <f t="shared" si="11"/>
        <v>741</v>
      </c>
    </row>
    <row r="743" spans="1:5" x14ac:dyDescent="0.2">
      <c r="A743" t="s">
        <v>822</v>
      </c>
      <c r="B743" t="s">
        <v>11</v>
      </c>
      <c r="C743" t="s">
        <v>12</v>
      </c>
      <c r="D743" s="2">
        <v>45540</v>
      </c>
      <c r="E743">
        <f t="shared" si="11"/>
        <v>742</v>
      </c>
    </row>
    <row r="744" spans="1:5" x14ac:dyDescent="0.2">
      <c r="A744" t="s">
        <v>696</v>
      </c>
      <c r="B744" t="s">
        <v>11</v>
      </c>
      <c r="C744" t="s">
        <v>12</v>
      </c>
      <c r="D744" s="2">
        <v>45541</v>
      </c>
      <c r="E744">
        <f t="shared" si="11"/>
        <v>743</v>
      </c>
    </row>
    <row r="745" spans="1:5" x14ac:dyDescent="0.2">
      <c r="A745" t="s">
        <v>697</v>
      </c>
      <c r="B745" t="s">
        <v>11</v>
      </c>
      <c r="C745" t="s">
        <v>12</v>
      </c>
      <c r="D745" s="2">
        <v>45541</v>
      </c>
      <c r="E745">
        <f t="shared" si="11"/>
        <v>744</v>
      </c>
    </row>
    <row r="746" spans="1:5" x14ac:dyDescent="0.2">
      <c r="A746" t="s">
        <v>779</v>
      </c>
      <c r="B746" t="s">
        <v>11</v>
      </c>
      <c r="C746" t="s">
        <v>12</v>
      </c>
      <c r="D746" s="2">
        <v>45542</v>
      </c>
      <c r="E746">
        <f t="shared" si="11"/>
        <v>745</v>
      </c>
    </row>
    <row r="747" spans="1:5" x14ac:dyDescent="0.2">
      <c r="A747" t="s">
        <v>785</v>
      </c>
      <c r="B747" t="s">
        <v>11</v>
      </c>
      <c r="C747" t="s">
        <v>12</v>
      </c>
      <c r="D747" s="2">
        <v>45542</v>
      </c>
      <c r="E747">
        <f t="shared" si="11"/>
        <v>746</v>
      </c>
    </row>
    <row r="748" spans="1:5" x14ac:dyDescent="0.2">
      <c r="A748" t="s">
        <v>660</v>
      </c>
      <c r="B748" t="s">
        <v>11</v>
      </c>
      <c r="C748" t="s">
        <v>12</v>
      </c>
      <c r="D748" s="2">
        <v>45543</v>
      </c>
      <c r="E748">
        <f t="shared" si="11"/>
        <v>747</v>
      </c>
    </row>
    <row r="749" spans="1:5" x14ac:dyDescent="0.2">
      <c r="A749" t="s">
        <v>694</v>
      </c>
      <c r="B749" t="s">
        <v>11</v>
      </c>
      <c r="C749" t="s">
        <v>12</v>
      </c>
      <c r="D749" s="2">
        <v>45543</v>
      </c>
      <c r="E749">
        <f t="shared" si="11"/>
        <v>748</v>
      </c>
    </row>
    <row r="750" spans="1:5" x14ac:dyDescent="0.2">
      <c r="A750" t="s">
        <v>723</v>
      </c>
      <c r="B750" t="s">
        <v>11</v>
      </c>
      <c r="C750" t="s">
        <v>12</v>
      </c>
      <c r="D750" s="2">
        <v>45543</v>
      </c>
      <c r="E750">
        <f t="shared" si="11"/>
        <v>749</v>
      </c>
    </row>
    <row r="751" spans="1:5" x14ac:dyDescent="0.2">
      <c r="A751" t="s">
        <v>745</v>
      </c>
      <c r="B751" t="s">
        <v>11</v>
      </c>
      <c r="C751" t="s">
        <v>12</v>
      </c>
      <c r="D751" s="2">
        <v>45543</v>
      </c>
      <c r="E751">
        <f t="shared" si="11"/>
        <v>750</v>
      </c>
    </row>
    <row r="752" spans="1:5" x14ac:dyDescent="0.2">
      <c r="A752" t="s">
        <v>806</v>
      </c>
      <c r="B752" t="s">
        <v>11</v>
      </c>
      <c r="C752" t="s">
        <v>12</v>
      </c>
      <c r="D752" s="2">
        <v>45543</v>
      </c>
      <c r="E752">
        <f t="shared" si="11"/>
        <v>751</v>
      </c>
    </row>
    <row r="753" spans="1:5" x14ac:dyDescent="0.2">
      <c r="A753" t="s">
        <v>701</v>
      </c>
      <c r="B753" t="s">
        <v>11</v>
      </c>
      <c r="C753" t="s">
        <v>12</v>
      </c>
      <c r="D753" s="2">
        <v>45544</v>
      </c>
      <c r="E753">
        <f t="shared" si="11"/>
        <v>752</v>
      </c>
    </row>
    <row r="754" spans="1:5" x14ac:dyDescent="0.2">
      <c r="A754" t="s">
        <v>756</v>
      </c>
      <c r="B754" t="s">
        <v>11</v>
      </c>
      <c r="C754" t="s">
        <v>12</v>
      </c>
      <c r="D754" s="2">
        <v>45544</v>
      </c>
      <c r="E754">
        <f t="shared" si="11"/>
        <v>753</v>
      </c>
    </row>
    <row r="755" spans="1:5" x14ac:dyDescent="0.2">
      <c r="A755" t="s">
        <v>767</v>
      </c>
      <c r="B755" t="s">
        <v>7</v>
      </c>
      <c r="C755" t="s">
        <v>8</v>
      </c>
      <c r="D755" s="2">
        <v>45544</v>
      </c>
      <c r="E755">
        <f t="shared" si="11"/>
        <v>754</v>
      </c>
    </row>
    <row r="756" spans="1:5" x14ac:dyDescent="0.2">
      <c r="A756" t="s">
        <v>655</v>
      </c>
      <c r="B756" t="s">
        <v>11</v>
      </c>
      <c r="C756" t="s">
        <v>12</v>
      </c>
      <c r="D756" s="2">
        <v>45545</v>
      </c>
      <c r="E756">
        <f t="shared" si="11"/>
        <v>755</v>
      </c>
    </row>
    <row r="757" spans="1:5" x14ac:dyDescent="0.2">
      <c r="A757" t="s">
        <v>704</v>
      </c>
      <c r="B757" t="s">
        <v>11</v>
      </c>
      <c r="C757" t="s">
        <v>12</v>
      </c>
      <c r="D757" s="2">
        <v>45545</v>
      </c>
      <c r="E757">
        <f t="shared" si="11"/>
        <v>756</v>
      </c>
    </row>
    <row r="758" spans="1:5" x14ac:dyDescent="0.2">
      <c r="A758" t="s">
        <v>753</v>
      </c>
      <c r="B758" t="s">
        <v>11</v>
      </c>
      <c r="C758" t="s">
        <v>12</v>
      </c>
      <c r="D758" s="2">
        <v>45545</v>
      </c>
      <c r="E758">
        <f t="shared" si="11"/>
        <v>757</v>
      </c>
    </row>
    <row r="759" spans="1:5" x14ac:dyDescent="0.2">
      <c r="A759" t="s">
        <v>784</v>
      </c>
      <c r="B759" t="s">
        <v>7</v>
      </c>
      <c r="C759" t="s">
        <v>8</v>
      </c>
      <c r="D759" s="2">
        <v>45545</v>
      </c>
      <c r="E759">
        <f t="shared" si="11"/>
        <v>758</v>
      </c>
    </row>
    <row r="760" spans="1:5" x14ac:dyDescent="0.2">
      <c r="A760" t="s">
        <v>799</v>
      </c>
      <c r="B760" t="s">
        <v>11</v>
      </c>
      <c r="C760" t="s">
        <v>12</v>
      </c>
      <c r="D760" s="2">
        <v>45545</v>
      </c>
      <c r="E760">
        <f t="shared" si="11"/>
        <v>759</v>
      </c>
    </row>
    <row r="761" spans="1:5" x14ac:dyDescent="0.2">
      <c r="A761" t="s">
        <v>715</v>
      </c>
      <c r="B761" t="s">
        <v>11</v>
      </c>
      <c r="C761" t="s">
        <v>12</v>
      </c>
      <c r="D761" s="2">
        <v>45546</v>
      </c>
      <c r="E761">
        <f t="shared" si="11"/>
        <v>760</v>
      </c>
    </row>
    <row r="762" spans="1:5" x14ac:dyDescent="0.2">
      <c r="A762" t="s">
        <v>746</v>
      </c>
      <c r="B762" t="s">
        <v>11</v>
      </c>
      <c r="C762" t="s">
        <v>12</v>
      </c>
      <c r="D762" s="2">
        <v>45546</v>
      </c>
      <c r="E762">
        <f t="shared" si="11"/>
        <v>761</v>
      </c>
    </row>
    <row r="763" spans="1:5" x14ac:dyDescent="0.2">
      <c r="A763" t="s">
        <v>751</v>
      </c>
      <c r="B763" t="s">
        <v>11</v>
      </c>
      <c r="C763" t="s">
        <v>12</v>
      </c>
      <c r="D763" s="2">
        <v>45546</v>
      </c>
      <c r="E763">
        <f t="shared" si="11"/>
        <v>762</v>
      </c>
    </row>
    <row r="764" spans="1:5" x14ac:dyDescent="0.2">
      <c r="A764" t="s">
        <v>834</v>
      </c>
      <c r="B764" t="s">
        <v>11</v>
      </c>
      <c r="C764" t="s">
        <v>12</v>
      </c>
      <c r="D764" s="2">
        <v>45546</v>
      </c>
      <c r="E764">
        <f t="shared" si="11"/>
        <v>763</v>
      </c>
    </row>
    <row r="765" spans="1:5" x14ac:dyDescent="0.2">
      <c r="A765" t="s">
        <v>700</v>
      </c>
      <c r="B765" t="s">
        <v>11</v>
      </c>
      <c r="C765" t="s">
        <v>12</v>
      </c>
      <c r="D765" s="2">
        <v>45547</v>
      </c>
      <c r="E765">
        <f t="shared" si="11"/>
        <v>764</v>
      </c>
    </row>
    <row r="766" spans="1:5" x14ac:dyDescent="0.2">
      <c r="A766" t="s">
        <v>742</v>
      </c>
      <c r="B766" t="s">
        <v>11</v>
      </c>
      <c r="C766" t="s">
        <v>12</v>
      </c>
      <c r="D766" s="2">
        <v>45547</v>
      </c>
      <c r="E766">
        <f t="shared" si="11"/>
        <v>765</v>
      </c>
    </row>
    <row r="767" spans="1:5" x14ac:dyDescent="0.2">
      <c r="A767" t="s">
        <v>815</v>
      </c>
      <c r="B767" t="s">
        <v>11</v>
      </c>
      <c r="C767" t="s">
        <v>12</v>
      </c>
      <c r="D767" s="2">
        <v>45547</v>
      </c>
      <c r="E767">
        <f t="shared" si="11"/>
        <v>766</v>
      </c>
    </row>
    <row r="768" spans="1:5" x14ac:dyDescent="0.2">
      <c r="A768" t="s">
        <v>644</v>
      </c>
      <c r="B768" t="s">
        <v>11</v>
      </c>
      <c r="C768" t="s">
        <v>12</v>
      </c>
      <c r="D768" s="2">
        <v>45548</v>
      </c>
      <c r="E768">
        <f t="shared" si="11"/>
        <v>767</v>
      </c>
    </row>
    <row r="769" spans="1:5" x14ac:dyDescent="0.2">
      <c r="A769" t="s">
        <v>695</v>
      </c>
      <c r="B769" t="s">
        <v>11</v>
      </c>
      <c r="C769" t="s">
        <v>12</v>
      </c>
      <c r="D769" s="2">
        <v>45548</v>
      </c>
      <c r="E769">
        <f t="shared" si="11"/>
        <v>768</v>
      </c>
    </row>
    <row r="770" spans="1:5" x14ac:dyDescent="0.2">
      <c r="A770" t="s">
        <v>733</v>
      </c>
      <c r="B770" t="s">
        <v>11</v>
      </c>
      <c r="C770" t="s">
        <v>12</v>
      </c>
      <c r="D770" s="2">
        <v>45548</v>
      </c>
      <c r="E770">
        <f t="shared" si="11"/>
        <v>769</v>
      </c>
    </row>
    <row r="771" spans="1:5" x14ac:dyDescent="0.2">
      <c r="A771" t="s">
        <v>829</v>
      </c>
      <c r="B771" t="s">
        <v>11</v>
      </c>
      <c r="C771" t="s">
        <v>12</v>
      </c>
      <c r="D771" s="2">
        <v>45548</v>
      </c>
      <c r="E771">
        <f t="shared" si="11"/>
        <v>770</v>
      </c>
    </row>
    <row r="772" spans="1:5" x14ac:dyDescent="0.2">
      <c r="A772" t="s">
        <v>838</v>
      </c>
      <c r="B772" t="s">
        <v>11</v>
      </c>
      <c r="C772" t="s">
        <v>12</v>
      </c>
      <c r="D772" s="2">
        <v>45548</v>
      </c>
      <c r="E772">
        <f t="shared" ref="E772:E835" si="12">E771+1</f>
        <v>771</v>
      </c>
    </row>
    <row r="773" spans="1:5" x14ac:dyDescent="0.2">
      <c r="A773" t="s">
        <v>708</v>
      </c>
      <c r="B773" t="s">
        <v>11</v>
      </c>
      <c r="C773" t="s">
        <v>12</v>
      </c>
      <c r="D773" s="2">
        <v>45549</v>
      </c>
      <c r="E773">
        <f t="shared" si="12"/>
        <v>772</v>
      </c>
    </row>
    <row r="774" spans="1:5" x14ac:dyDescent="0.2">
      <c r="A774" t="s">
        <v>722</v>
      </c>
      <c r="B774" t="s">
        <v>11</v>
      </c>
      <c r="C774" t="s">
        <v>12</v>
      </c>
      <c r="D774" s="2">
        <v>45549</v>
      </c>
      <c r="E774">
        <f t="shared" si="12"/>
        <v>773</v>
      </c>
    </row>
    <row r="775" spans="1:5" x14ac:dyDescent="0.2">
      <c r="A775" t="s">
        <v>748</v>
      </c>
      <c r="B775" t="s">
        <v>11</v>
      </c>
      <c r="C775" t="s">
        <v>12</v>
      </c>
      <c r="D775" s="2">
        <v>45549</v>
      </c>
      <c r="E775">
        <f t="shared" si="12"/>
        <v>774</v>
      </c>
    </row>
    <row r="776" spans="1:5" x14ac:dyDescent="0.2">
      <c r="A776" t="s">
        <v>783</v>
      </c>
      <c r="B776" t="s">
        <v>11</v>
      </c>
      <c r="C776" t="s">
        <v>12</v>
      </c>
      <c r="D776" s="2">
        <v>45549</v>
      </c>
      <c r="E776">
        <f t="shared" si="12"/>
        <v>775</v>
      </c>
    </row>
    <row r="777" spans="1:5" x14ac:dyDescent="0.2">
      <c r="A777" t="s">
        <v>791</v>
      </c>
      <c r="B777" t="s">
        <v>11</v>
      </c>
      <c r="C777" t="s">
        <v>12</v>
      </c>
      <c r="D777" s="2">
        <v>45549</v>
      </c>
      <c r="E777">
        <f t="shared" si="12"/>
        <v>776</v>
      </c>
    </row>
    <row r="778" spans="1:5" x14ac:dyDescent="0.2">
      <c r="A778" t="s">
        <v>836</v>
      </c>
      <c r="B778" t="s">
        <v>11</v>
      </c>
      <c r="C778" t="s">
        <v>12</v>
      </c>
      <c r="D778" s="2">
        <v>45549</v>
      </c>
      <c r="E778">
        <f t="shared" si="12"/>
        <v>777</v>
      </c>
    </row>
    <row r="779" spans="1:5" x14ac:dyDescent="0.2">
      <c r="A779" t="s">
        <v>716</v>
      </c>
      <c r="B779" t="s">
        <v>11</v>
      </c>
      <c r="C779" t="s">
        <v>12</v>
      </c>
      <c r="D779" s="2">
        <v>45550</v>
      </c>
      <c r="E779">
        <f t="shared" si="12"/>
        <v>778</v>
      </c>
    </row>
    <row r="780" spans="1:5" x14ac:dyDescent="0.2">
      <c r="A780" t="s">
        <v>727</v>
      </c>
      <c r="B780" t="s">
        <v>11</v>
      </c>
      <c r="C780" t="s">
        <v>12</v>
      </c>
      <c r="D780" s="2">
        <v>45550</v>
      </c>
      <c r="E780">
        <f t="shared" si="12"/>
        <v>779</v>
      </c>
    </row>
    <row r="781" spans="1:5" x14ac:dyDescent="0.2">
      <c r="A781" t="s">
        <v>759</v>
      </c>
      <c r="B781" t="s">
        <v>11</v>
      </c>
      <c r="C781" t="s">
        <v>12</v>
      </c>
      <c r="D781" s="2">
        <v>45550</v>
      </c>
      <c r="E781">
        <f t="shared" si="12"/>
        <v>780</v>
      </c>
    </row>
    <row r="782" spans="1:5" x14ac:dyDescent="0.2">
      <c r="A782" t="s">
        <v>721</v>
      </c>
      <c r="B782" t="s">
        <v>11</v>
      </c>
      <c r="C782" t="s">
        <v>12</v>
      </c>
      <c r="D782" s="2">
        <v>45551</v>
      </c>
      <c r="E782">
        <f t="shared" si="12"/>
        <v>781</v>
      </c>
    </row>
    <row r="783" spans="1:5" x14ac:dyDescent="0.2">
      <c r="A783" t="s">
        <v>830</v>
      </c>
      <c r="B783" t="s">
        <v>11</v>
      </c>
      <c r="C783" t="s">
        <v>12</v>
      </c>
      <c r="D783" s="2">
        <v>45551</v>
      </c>
      <c r="E783">
        <f t="shared" si="12"/>
        <v>782</v>
      </c>
    </row>
    <row r="784" spans="1:5" x14ac:dyDescent="0.2">
      <c r="A784" t="s">
        <v>752</v>
      </c>
      <c r="B784" t="s">
        <v>11</v>
      </c>
      <c r="C784" t="s">
        <v>12</v>
      </c>
      <c r="D784" s="2">
        <v>45552</v>
      </c>
      <c r="E784">
        <f t="shared" si="12"/>
        <v>783</v>
      </c>
    </row>
    <row r="785" spans="1:5" x14ac:dyDescent="0.2">
      <c r="A785" t="s">
        <v>833</v>
      </c>
      <c r="B785" t="s">
        <v>11</v>
      </c>
      <c r="C785" t="s">
        <v>12</v>
      </c>
      <c r="D785" s="2">
        <v>45552</v>
      </c>
      <c r="E785">
        <f t="shared" si="12"/>
        <v>784</v>
      </c>
    </row>
    <row r="786" spans="1:5" x14ac:dyDescent="0.2">
      <c r="A786" t="s">
        <v>807</v>
      </c>
      <c r="B786" t="s">
        <v>11</v>
      </c>
      <c r="C786" t="s">
        <v>12</v>
      </c>
      <c r="D786" s="2">
        <v>45553</v>
      </c>
      <c r="E786">
        <f t="shared" si="12"/>
        <v>785</v>
      </c>
    </row>
    <row r="787" spans="1:5" x14ac:dyDescent="0.2">
      <c r="A787" t="s">
        <v>826</v>
      </c>
      <c r="B787" t="s">
        <v>11</v>
      </c>
      <c r="C787" t="s">
        <v>12</v>
      </c>
      <c r="D787" s="2">
        <v>45553</v>
      </c>
      <c r="E787">
        <f t="shared" si="12"/>
        <v>786</v>
      </c>
    </row>
    <row r="788" spans="1:5" x14ac:dyDescent="0.2">
      <c r="A788" t="s">
        <v>738</v>
      </c>
      <c r="B788" t="s">
        <v>11</v>
      </c>
      <c r="C788" t="s">
        <v>12</v>
      </c>
      <c r="D788" s="2">
        <v>45554</v>
      </c>
      <c r="E788">
        <f t="shared" si="12"/>
        <v>787</v>
      </c>
    </row>
    <row r="789" spans="1:5" x14ac:dyDescent="0.2">
      <c r="A789" t="s">
        <v>740</v>
      </c>
      <c r="B789" t="s">
        <v>11</v>
      </c>
      <c r="C789" t="s">
        <v>12</v>
      </c>
      <c r="D789" s="2">
        <v>45554</v>
      </c>
      <c r="E789">
        <f t="shared" si="12"/>
        <v>788</v>
      </c>
    </row>
    <row r="790" spans="1:5" x14ac:dyDescent="0.2">
      <c r="A790" t="s">
        <v>794</v>
      </c>
      <c r="B790" t="s">
        <v>11</v>
      </c>
      <c r="C790" t="s">
        <v>12</v>
      </c>
      <c r="D790" s="2">
        <v>45554</v>
      </c>
      <c r="E790">
        <f t="shared" si="12"/>
        <v>789</v>
      </c>
    </row>
    <row r="791" spans="1:5" x14ac:dyDescent="0.2">
      <c r="A791" t="s">
        <v>844</v>
      </c>
      <c r="B791" t="s">
        <v>11</v>
      </c>
      <c r="C791" t="s">
        <v>12</v>
      </c>
      <c r="D791" s="2">
        <v>45554</v>
      </c>
      <c r="E791">
        <f t="shared" si="12"/>
        <v>790</v>
      </c>
    </row>
    <row r="792" spans="1:5" x14ac:dyDescent="0.2">
      <c r="A792" t="s">
        <v>790</v>
      </c>
      <c r="B792" t="s">
        <v>11</v>
      </c>
      <c r="C792" t="s">
        <v>12</v>
      </c>
      <c r="D792" s="2">
        <v>45555</v>
      </c>
      <c r="E792">
        <f t="shared" si="12"/>
        <v>791</v>
      </c>
    </row>
    <row r="793" spans="1:5" x14ac:dyDescent="0.2">
      <c r="A793" t="s">
        <v>817</v>
      </c>
      <c r="B793" t="s">
        <v>11</v>
      </c>
      <c r="C793" t="s">
        <v>12</v>
      </c>
      <c r="D793" s="2">
        <v>45555</v>
      </c>
      <c r="E793">
        <f t="shared" si="12"/>
        <v>792</v>
      </c>
    </row>
    <row r="794" spans="1:5" x14ac:dyDescent="0.2">
      <c r="A794" t="s">
        <v>839</v>
      </c>
      <c r="B794" t="s">
        <v>11</v>
      </c>
      <c r="C794" t="s">
        <v>12</v>
      </c>
      <c r="D794" s="2">
        <v>45555</v>
      </c>
      <c r="E794">
        <f t="shared" si="12"/>
        <v>793</v>
      </c>
    </row>
    <row r="795" spans="1:5" x14ac:dyDescent="0.2">
      <c r="A795" t="s">
        <v>754</v>
      </c>
      <c r="B795" t="s">
        <v>11</v>
      </c>
      <c r="C795" t="s">
        <v>12</v>
      </c>
      <c r="D795" s="2">
        <v>45556</v>
      </c>
      <c r="E795">
        <f t="shared" si="12"/>
        <v>794</v>
      </c>
    </row>
    <row r="796" spans="1:5" x14ac:dyDescent="0.2">
      <c r="A796" t="s">
        <v>763</v>
      </c>
      <c r="B796" t="s">
        <v>11</v>
      </c>
      <c r="C796" t="s">
        <v>12</v>
      </c>
      <c r="D796" s="2">
        <v>45556</v>
      </c>
      <c r="E796">
        <f t="shared" si="12"/>
        <v>795</v>
      </c>
    </row>
    <row r="797" spans="1:5" x14ac:dyDescent="0.2">
      <c r="A797" t="s">
        <v>796</v>
      </c>
      <c r="B797" t="s">
        <v>11</v>
      </c>
      <c r="C797" t="s">
        <v>12</v>
      </c>
      <c r="D797" s="2">
        <v>45556</v>
      </c>
      <c r="E797">
        <f t="shared" si="12"/>
        <v>796</v>
      </c>
    </row>
    <row r="798" spans="1:5" x14ac:dyDescent="0.2">
      <c r="A798" t="s">
        <v>845</v>
      </c>
      <c r="B798" t="s">
        <v>7</v>
      </c>
      <c r="C798" t="s">
        <v>8</v>
      </c>
      <c r="D798" s="2">
        <v>45556</v>
      </c>
      <c r="E798">
        <f t="shared" si="12"/>
        <v>797</v>
      </c>
    </row>
    <row r="799" spans="1:5" x14ac:dyDescent="0.2">
      <c r="A799" t="s">
        <v>793</v>
      </c>
      <c r="B799" t="s">
        <v>11</v>
      </c>
      <c r="C799" t="s">
        <v>12</v>
      </c>
      <c r="D799" s="2">
        <v>45557</v>
      </c>
      <c r="E799">
        <f t="shared" si="12"/>
        <v>798</v>
      </c>
    </row>
    <row r="800" spans="1:5" x14ac:dyDescent="0.2">
      <c r="A800" t="s">
        <v>766</v>
      </c>
      <c r="B800" t="s">
        <v>11</v>
      </c>
      <c r="C800" t="s">
        <v>12</v>
      </c>
      <c r="D800" s="2">
        <v>45558</v>
      </c>
      <c r="E800">
        <f t="shared" si="12"/>
        <v>799</v>
      </c>
    </row>
    <row r="801" spans="1:5" x14ac:dyDescent="0.2">
      <c r="A801" t="s">
        <v>771</v>
      </c>
      <c r="B801" t="s">
        <v>11</v>
      </c>
      <c r="C801" t="s">
        <v>12</v>
      </c>
      <c r="D801" s="2">
        <v>45558</v>
      </c>
      <c r="E801">
        <f t="shared" si="12"/>
        <v>800</v>
      </c>
    </row>
    <row r="802" spans="1:5" x14ac:dyDescent="0.2">
      <c r="A802" t="s">
        <v>776</v>
      </c>
      <c r="B802" t="s">
        <v>11</v>
      </c>
      <c r="C802" t="s">
        <v>12</v>
      </c>
      <c r="D802" s="2">
        <v>45559</v>
      </c>
      <c r="E802">
        <f t="shared" si="12"/>
        <v>801</v>
      </c>
    </row>
    <row r="803" spans="1:5" x14ac:dyDescent="0.2">
      <c r="A803" t="s">
        <v>825</v>
      </c>
      <c r="B803" t="s">
        <v>11</v>
      </c>
      <c r="C803" t="s">
        <v>12</v>
      </c>
      <c r="D803" s="2">
        <v>45559</v>
      </c>
      <c r="E803">
        <f t="shared" si="12"/>
        <v>802</v>
      </c>
    </row>
    <row r="804" spans="1:5" x14ac:dyDescent="0.2">
      <c r="A804" t="s">
        <v>813</v>
      </c>
      <c r="B804" t="s">
        <v>11</v>
      </c>
      <c r="C804" t="s">
        <v>12</v>
      </c>
      <c r="D804" s="2">
        <v>45561</v>
      </c>
      <c r="E804">
        <f t="shared" si="12"/>
        <v>803</v>
      </c>
    </row>
    <row r="805" spans="1:5" x14ac:dyDescent="0.2">
      <c r="A805" t="s">
        <v>800</v>
      </c>
      <c r="B805" t="s">
        <v>11</v>
      </c>
      <c r="C805" t="s">
        <v>12</v>
      </c>
      <c r="D805" s="2">
        <v>45564</v>
      </c>
      <c r="E805">
        <f t="shared" si="12"/>
        <v>804</v>
      </c>
    </row>
    <row r="806" spans="1:5" x14ac:dyDescent="0.2">
      <c r="A806" t="s">
        <v>846</v>
      </c>
      <c r="B806" t="s">
        <v>7</v>
      </c>
      <c r="C806" t="s">
        <v>8</v>
      </c>
      <c r="D806" s="2">
        <v>45564</v>
      </c>
      <c r="E806">
        <f t="shared" si="12"/>
        <v>805</v>
      </c>
    </row>
    <row r="807" spans="1:5" x14ac:dyDescent="0.2">
      <c r="A807" t="s">
        <v>859</v>
      </c>
      <c r="B807" t="s">
        <v>11</v>
      </c>
      <c r="C807" t="s">
        <v>12</v>
      </c>
      <c r="D807" s="2">
        <v>45564</v>
      </c>
      <c r="E807">
        <f t="shared" si="12"/>
        <v>806</v>
      </c>
    </row>
    <row r="808" spans="1:5" x14ac:dyDescent="0.2">
      <c r="A808" t="s">
        <v>810</v>
      </c>
      <c r="B808" t="s">
        <v>11</v>
      </c>
      <c r="C808" t="s">
        <v>12</v>
      </c>
      <c r="D808" s="2">
        <v>45565</v>
      </c>
      <c r="E808">
        <f t="shared" si="12"/>
        <v>807</v>
      </c>
    </row>
    <row r="809" spans="1:5" x14ac:dyDescent="0.2">
      <c r="A809" t="s">
        <v>803</v>
      </c>
      <c r="B809" t="s">
        <v>11</v>
      </c>
      <c r="C809" t="s">
        <v>12</v>
      </c>
      <c r="D809" s="2">
        <v>45566</v>
      </c>
      <c r="E809">
        <f t="shared" si="12"/>
        <v>808</v>
      </c>
    </row>
    <row r="810" spans="1:5" x14ac:dyDescent="0.2">
      <c r="A810" t="s">
        <v>849</v>
      </c>
      <c r="B810" t="s">
        <v>11</v>
      </c>
      <c r="C810" t="s">
        <v>12</v>
      </c>
      <c r="D810" s="2">
        <v>45566</v>
      </c>
      <c r="E810">
        <f t="shared" si="12"/>
        <v>809</v>
      </c>
    </row>
    <row r="811" spans="1:5" x14ac:dyDescent="0.2">
      <c r="A811" t="s">
        <v>818</v>
      </c>
      <c r="B811" t="s">
        <v>11</v>
      </c>
      <c r="C811" t="s">
        <v>12</v>
      </c>
      <c r="D811" s="2">
        <v>45568</v>
      </c>
      <c r="E811">
        <f t="shared" si="12"/>
        <v>810</v>
      </c>
    </row>
    <row r="812" spans="1:5" x14ac:dyDescent="0.2">
      <c r="A812" t="s">
        <v>820</v>
      </c>
      <c r="B812" t="s">
        <v>11</v>
      </c>
      <c r="C812" t="s">
        <v>12</v>
      </c>
      <c r="D812" s="2">
        <v>45568</v>
      </c>
      <c r="E812">
        <f t="shared" si="12"/>
        <v>811</v>
      </c>
    </row>
    <row r="813" spans="1:5" x14ac:dyDescent="0.2">
      <c r="A813" t="s">
        <v>821</v>
      </c>
      <c r="B813" t="s">
        <v>11</v>
      </c>
      <c r="C813" t="s">
        <v>12</v>
      </c>
      <c r="D813" s="2">
        <v>45568</v>
      </c>
      <c r="E813">
        <f t="shared" si="12"/>
        <v>812</v>
      </c>
    </row>
    <row r="814" spans="1:5" x14ac:dyDescent="0.2">
      <c r="A814" t="s">
        <v>852</v>
      </c>
      <c r="B814" t="s">
        <v>11</v>
      </c>
      <c r="C814" t="s">
        <v>12</v>
      </c>
      <c r="D814" s="2">
        <v>45568</v>
      </c>
      <c r="E814">
        <f t="shared" si="12"/>
        <v>813</v>
      </c>
    </row>
    <row r="815" spans="1:5" x14ac:dyDescent="0.2">
      <c r="A815" t="s">
        <v>797</v>
      </c>
      <c r="B815" t="s">
        <v>11</v>
      </c>
      <c r="C815" t="s">
        <v>12</v>
      </c>
      <c r="D815" s="2">
        <v>45569</v>
      </c>
      <c r="E815">
        <f t="shared" si="12"/>
        <v>814</v>
      </c>
    </row>
    <row r="816" spans="1:5" x14ac:dyDescent="0.2">
      <c r="A816" t="s">
        <v>747</v>
      </c>
      <c r="B816" t="s">
        <v>11</v>
      </c>
      <c r="C816" t="s">
        <v>12</v>
      </c>
      <c r="D816" s="2">
        <v>45570</v>
      </c>
      <c r="E816">
        <f t="shared" si="12"/>
        <v>815</v>
      </c>
    </row>
    <row r="817" spans="1:5" x14ac:dyDescent="0.2">
      <c r="A817" t="s">
        <v>750</v>
      </c>
      <c r="B817" t="s">
        <v>7</v>
      </c>
      <c r="C817" t="s">
        <v>8</v>
      </c>
      <c r="D817" s="2">
        <v>45570</v>
      </c>
      <c r="E817">
        <f t="shared" si="12"/>
        <v>816</v>
      </c>
    </row>
    <row r="818" spans="1:5" x14ac:dyDescent="0.2">
      <c r="A818" t="s">
        <v>792</v>
      </c>
      <c r="B818" t="s">
        <v>11</v>
      </c>
      <c r="C818" t="s">
        <v>12</v>
      </c>
      <c r="D818" s="2">
        <v>45570</v>
      </c>
      <c r="E818">
        <f t="shared" si="12"/>
        <v>817</v>
      </c>
    </row>
    <row r="819" spans="1:5" x14ac:dyDescent="0.2">
      <c r="A819" t="s">
        <v>732</v>
      </c>
      <c r="B819" t="s">
        <v>7</v>
      </c>
      <c r="C819" t="s">
        <v>8</v>
      </c>
      <c r="D819" s="2">
        <v>45571</v>
      </c>
      <c r="E819">
        <f t="shared" si="12"/>
        <v>818</v>
      </c>
    </row>
    <row r="820" spans="1:5" x14ac:dyDescent="0.2">
      <c r="A820" t="s">
        <v>824</v>
      </c>
      <c r="B820" t="s">
        <v>11</v>
      </c>
      <c r="C820" t="s">
        <v>12</v>
      </c>
      <c r="D820" s="2">
        <v>45572</v>
      </c>
      <c r="E820">
        <f t="shared" si="12"/>
        <v>819</v>
      </c>
    </row>
    <row r="821" spans="1:5" x14ac:dyDescent="0.2">
      <c r="A821" t="s">
        <v>854</v>
      </c>
      <c r="B821" t="s">
        <v>5</v>
      </c>
      <c r="C821" t="s">
        <v>6</v>
      </c>
      <c r="D821" s="2">
        <v>45573</v>
      </c>
      <c r="E821">
        <f t="shared" si="12"/>
        <v>820</v>
      </c>
    </row>
    <row r="822" spans="1:5" x14ac:dyDescent="0.2">
      <c r="A822" t="s">
        <v>812</v>
      </c>
      <c r="B822" t="s">
        <v>7</v>
      </c>
      <c r="C822" t="s">
        <v>8</v>
      </c>
      <c r="D822" s="2">
        <v>45574</v>
      </c>
      <c r="E822">
        <f t="shared" si="12"/>
        <v>821</v>
      </c>
    </row>
    <row r="823" spans="1:5" x14ac:dyDescent="0.2">
      <c r="A823" t="s">
        <v>840</v>
      </c>
      <c r="B823" t="s">
        <v>11</v>
      </c>
      <c r="C823" t="s">
        <v>12</v>
      </c>
      <c r="D823" s="2">
        <v>45574</v>
      </c>
      <c r="E823">
        <f t="shared" si="12"/>
        <v>822</v>
      </c>
    </row>
    <row r="824" spans="1:5" x14ac:dyDescent="0.2">
      <c r="A824" t="s">
        <v>842</v>
      </c>
      <c r="B824" t="s">
        <v>11</v>
      </c>
      <c r="C824" t="s">
        <v>12</v>
      </c>
      <c r="D824" s="2">
        <v>45575</v>
      </c>
      <c r="E824">
        <f t="shared" si="12"/>
        <v>823</v>
      </c>
    </row>
    <row r="825" spans="1:5" x14ac:dyDescent="0.2">
      <c r="A825" t="s">
        <v>787</v>
      </c>
      <c r="B825" t="s">
        <v>5</v>
      </c>
      <c r="C825" t="s">
        <v>6</v>
      </c>
      <c r="D825" s="2">
        <v>45576</v>
      </c>
      <c r="E825">
        <f t="shared" si="12"/>
        <v>824</v>
      </c>
    </row>
    <row r="826" spans="1:5" x14ac:dyDescent="0.2">
      <c r="A826" t="s">
        <v>835</v>
      </c>
      <c r="B826" t="s">
        <v>11</v>
      </c>
      <c r="C826" t="s">
        <v>12</v>
      </c>
      <c r="D826" s="2">
        <v>45576</v>
      </c>
      <c r="E826">
        <f t="shared" si="12"/>
        <v>825</v>
      </c>
    </row>
    <row r="827" spans="1:5" x14ac:dyDescent="0.2">
      <c r="A827" t="s">
        <v>875</v>
      </c>
      <c r="B827" t="s">
        <v>5</v>
      </c>
      <c r="C827" t="s">
        <v>6</v>
      </c>
      <c r="D827" s="2">
        <v>45576</v>
      </c>
      <c r="E827">
        <f t="shared" si="12"/>
        <v>826</v>
      </c>
    </row>
    <row r="828" spans="1:5" x14ac:dyDescent="0.2">
      <c r="A828" t="s">
        <v>828</v>
      </c>
      <c r="B828" t="s">
        <v>5</v>
      </c>
      <c r="C828" t="s">
        <v>6</v>
      </c>
      <c r="D828" s="2">
        <v>45577</v>
      </c>
      <c r="E828">
        <f t="shared" si="12"/>
        <v>827</v>
      </c>
    </row>
    <row r="829" spans="1:5" x14ac:dyDescent="0.2">
      <c r="A829" t="s">
        <v>831</v>
      </c>
      <c r="B829" t="s">
        <v>5</v>
      </c>
      <c r="C829" t="s">
        <v>6</v>
      </c>
      <c r="D829" s="2">
        <v>45577</v>
      </c>
      <c r="E829">
        <f t="shared" si="12"/>
        <v>828</v>
      </c>
    </row>
    <row r="830" spans="1:5" x14ac:dyDescent="0.2">
      <c r="A830" t="s">
        <v>861</v>
      </c>
      <c r="B830" t="s">
        <v>7</v>
      </c>
      <c r="C830" t="s">
        <v>8</v>
      </c>
      <c r="D830" s="2">
        <v>45577</v>
      </c>
      <c r="E830">
        <f t="shared" si="12"/>
        <v>829</v>
      </c>
    </row>
    <row r="831" spans="1:5" x14ac:dyDescent="0.2">
      <c r="A831" t="s">
        <v>769</v>
      </c>
      <c r="B831" t="s">
        <v>7</v>
      </c>
      <c r="C831" t="s">
        <v>8</v>
      </c>
      <c r="D831" s="2">
        <v>45578</v>
      </c>
      <c r="E831">
        <f t="shared" si="12"/>
        <v>830</v>
      </c>
    </row>
    <row r="832" spans="1:5" x14ac:dyDescent="0.2">
      <c r="A832" t="s">
        <v>895</v>
      </c>
      <c r="B832" t="s">
        <v>5</v>
      </c>
      <c r="C832" t="s">
        <v>6</v>
      </c>
      <c r="D832" s="2">
        <v>45578</v>
      </c>
      <c r="E832">
        <f t="shared" si="12"/>
        <v>831</v>
      </c>
    </row>
    <row r="833" spans="1:5" x14ac:dyDescent="0.2">
      <c r="A833" t="s">
        <v>853</v>
      </c>
      <c r="B833" t="s">
        <v>5</v>
      </c>
      <c r="C833" t="s">
        <v>6</v>
      </c>
      <c r="D833" s="2">
        <v>45579</v>
      </c>
      <c r="E833">
        <f t="shared" si="12"/>
        <v>832</v>
      </c>
    </row>
    <row r="834" spans="1:5" x14ac:dyDescent="0.2">
      <c r="A834" t="s">
        <v>843</v>
      </c>
      <c r="B834" t="s">
        <v>5</v>
      </c>
      <c r="C834" t="s">
        <v>6</v>
      </c>
      <c r="D834" s="2">
        <v>45580</v>
      </c>
      <c r="E834">
        <f t="shared" si="12"/>
        <v>833</v>
      </c>
    </row>
    <row r="835" spans="1:5" x14ac:dyDescent="0.2">
      <c r="A835" t="s">
        <v>860</v>
      </c>
      <c r="B835" t="s">
        <v>11</v>
      </c>
      <c r="C835" t="s">
        <v>12</v>
      </c>
      <c r="D835" s="2">
        <v>45580</v>
      </c>
      <c r="E835">
        <f t="shared" si="12"/>
        <v>834</v>
      </c>
    </row>
    <row r="836" spans="1:5" x14ac:dyDescent="0.2">
      <c r="A836" t="s">
        <v>873</v>
      </c>
      <c r="B836" t="s">
        <v>5</v>
      </c>
      <c r="C836" t="s">
        <v>6</v>
      </c>
      <c r="D836" s="2">
        <v>45580</v>
      </c>
      <c r="E836">
        <f t="shared" ref="E836:E899" si="13">E835+1</f>
        <v>835</v>
      </c>
    </row>
    <row r="837" spans="1:5" x14ac:dyDescent="0.2">
      <c r="A837" t="s">
        <v>847</v>
      </c>
      <c r="B837" t="s">
        <v>11</v>
      </c>
      <c r="C837" t="s">
        <v>12</v>
      </c>
      <c r="D837" s="2">
        <v>45581</v>
      </c>
      <c r="E837">
        <f t="shared" si="13"/>
        <v>836</v>
      </c>
    </row>
    <row r="838" spans="1:5" x14ac:dyDescent="0.2">
      <c r="A838" t="s">
        <v>890</v>
      </c>
      <c r="B838" t="s">
        <v>5</v>
      </c>
      <c r="C838" t="s">
        <v>6</v>
      </c>
      <c r="D838" s="2">
        <v>45582</v>
      </c>
      <c r="E838">
        <f t="shared" si="13"/>
        <v>837</v>
      </c>
    </row>
    <row r="839" spans="1:5" x14ac:dyDescent="0.2">
      <c r="A839" t="s">
        <v>894</v>
      </c>
      <c r="B839" t="s">
        <v>5</v>
      </c>
      <c r="C839" t="s">
        <v>6</v>
      </c>
      <c r="D839" s="2">
        <v>45582</v>
      </c>
      <c r="E839">
        <f t="shared" si="13"/>
        <v>838</v>
      </c>
    </row>
    <row r="840" spans="1:5" x14ac:dyDescent="0.2">
      <c r="A840" t="s">
        <v>814</v>
      </c>
      <c r="B840" t="s">
        <v>5</v>
      </c>
      <c r="C840" t="s">
        <v>6</v>
      </c>
      <c r="D840" s="2">
        <v>45583</v>
      </c>
      <c r="E840">
        <f t="shared" si="13"/>
        <v>839</v>
      </c>
    </row>
    <row r="841" spans="1:5" x14ac:dyDescent="0.2">
      <c r="A841" t="s">
        <v>881</v>
      </c>
      <c r="B841" t="s">
        <v>5</v>
      </c>
      <c r="C841" t="s">
        <v>6</v>
      </c>
      <c r="D841" s="2">
        <v>45583</v>
      </c>
      <c r="E841">
        <f t="shared" si="13"/>
        <v>840</v>
      </c>
    </row>
    <row r="842" spans="1:5" x14ac:dyDescent="0.2">
      <c r="A842" t="s">
        <v>897</v>
      </c>
      <c r="B842" t="s">
        <v>5</v>
      </c>
      <c r="C842" t="s">
        <v>6</v>
      </c>
      <c r="D842" s="2">
        <v>45583</v>
      </c>
      <c r="E842">
        <f t="shared" si="13"/>
        <v>841</v>
      </c>
    </row>
    <row r="843" spans="1:5" x14ac:dyDescent="0.2">
      <c r="A843" t="s">
        <v>902</v>
      </c>
      <c r="B843" t="s">
        <v>5</v>
      </c>
      <c r="C843" t="s">
        <v>6</v>
      </c>
      <c r="D843" s="2">
        <v>45583</v>
      </c>
      <c r="E843">
        <f t="shared" si="13"/>
        <v>842</v>
      </c>
    </row>
    <row r="844" spans="1:5" x14ac:dyDescent="0.2">
      <c r="A844" t="s">
        <v>851</v>
      </c>
      <c r="B844" t="s">
        <v>5</v>
      </c>
      <c r="C844" t="s">
        <v>6</v>
      </c>
      <c r="D844" s="2">
        <v>45584</v>
      </c>
      <c r="E844">
        <f t="shared" si="13"/>
        <v>843</v>
      </c>
    </row>
    <row r="845" spans="1:5" x14ac:dyDescent="0.2">
      <c r="A845" t="s">
        <v>868</v>
      </c>
      <c r="B845" t="s">
        <v>5</v>
      </c>
      <c r="C845" t="s">
        <v>6</v>
      </c>
      <c r="D845" s="2">
        <v>45584</v>
      </c>
      <c r="E845">
        <f t="shared" si="13"/>
        <v>844</v>
      </c>
    </row>
    <row r="846" spans="1:5" x14ac:dyDescent="0.2">
      <c r="A846" t="s">
        <v>896</v>
      </c>
      <c r="B846" t="s">
        <v>5</v>
      </c>
      <c r="C846" t="s">
        <v>6</v>
      </c>
      <c r="D846" s="2">
        <v>45584</v>
      </c>
      <c r="E846">
        <f t="shared" si="13"/>
        <v>845</v>
      </c>
    </row>
    <row r="847" spans="1:5" x14ac:dyDescent="0.2">
      <c r="A847" t="s">
        <v>827</v>
      </c>
      <c r="B847" t="s">
        <v>5</v>
      </c>
      <c r="C847" t="s">
        <v>6</v>
      </c>
      <c r="D847" s="2">
        <v>45585</v>
      </c>
      <c r="E847">
        <f t="shared" si="13"/>
        <v>846</v>
      </c>
    </row>
    <row r="848" spans="1:5" x14ac:dyDescent="0.2">
      <c r="A848" t="s">
        <v>850</v>
      </c>
      <c r="B848" t="s">
        <v>11</v>
      </c>
      <c r="C848" t="s">
        <v>12</v>
      </c>
      <c r="D848" s="2">
        <v>45585</v>
      </c>
      <c r="E848">
        <f t="shared" si="13"/>
        <v>847</v>
      </c>
    </row>
    <row r="849" spans="1:5" x14ac:dyDescent="0.2">
      <c r="A849" t="s">
        <v>863</v>
      </c>
      <c r="B849" t="s">
        <v>7</v>
      </c>
      <c r="C849" t="s">
        <v>8</v>
      </c>
      <c r="D849" s="2">
        <v>45585</v>
      </c>
      <c r="E849">
        <f t="shared" si="13"/>
        <v>848</v>
      </c>
    </row>
    <row r="850" spans="1:5" x14ac:dyDescent="0.2">
      <c r="A850" t="s">
        <v>899</v>
      </c>
      <c r="B850" t="s">
        <v>5</v>
      </c>
      <c r="C850" t="s">
        <v>6</v>
      </c>
      <c r="D850" s="2">
        <v>45585</v>
      </c>
      <c r="E850">
        <f t="shared" si="13"/>
        <v>849</v>
      </c>
    </row>
    <row r="851" spans="1:5" x14ac:dyDescent="0.2">
      <c r="A851" t="s">
        <v>911</v>
      </c>
      <c r="B851" t="s">
        <v>5</v>
      </c>
      <c r="C851" t="s">
        <v>6</v>
      </c>
      <c r="D851" s="2">
        <v>45585</v>
      </c>
      <c r="E851">
        <f t="shared" si="13"/>
        <v>850</v>
      </c>
    </row>
    <row r="852" spans="1:5" x14ac:dyDescent="0.2">
      <c r="A852" t="s">
        <v>883</v>
      </c>
      <c r="B852" t="s">
        <v>5</v>
      </c>
      <c r="C852" t="s">
        <v>6</v>
      </c>
      <c r="D852" s="2">
        <v>45586</v>
      </c>
      <c r="E852">
        <f t="shared" si="13"/>
        <v>851</v>
      </c>
    </row>
    <row r="853" spans="1:5" x14ac:dyDescent="0.2">
      <c r="A853" t="s">
        <v>893</v>
      </c>
      <c r="B853" t="s">
        <v>5</v>
      </c>
      <c r="C853" t="s">
        <v>6</v>
      </c>
      <c r="D853" s="2">
        <v>45586</v>
      </c>
      <c r="E853">
        <f t="shared" si="13"/>
        <v>852</v>
      </c>
    </row>
    <row r="854" spans="1:5" x14ac:dyDescent="0.2">
      <c r="A854" t="s">
        <v>856</v>
      </c>
      <c r="B854" t="s">
        <v>11</v>
      </c>
      <c r="C854" t="s">
        <v>12</v>
      </c>
      <c r="D854" s="2">
        <v>45587</v>
      </c>
      <c r="E854">
        <f t="shared" si="13"/>
        <v>853</v>
      </c>
    </row>
    <row r="855" spans="1:5" x14ac:dyDescent="0.2">
      <c r="A855" t="s">
        <v>879</v>
      </c>
      <c r="B855" t="s">
        <v>5</v>
      </c>
      <c r="C855" t="s">
        <v>6</v>
      </c>
      <c r="D855" s="2">
        <v>45587</v>
      </c>
      <c r="E855">
        <f t="shared" si="13"/>
        <v>854</v>
      </c>
    </row>
    <row r="856" spans="1:5" x14ac:dyDescent="0.2">
      <c r="A856" t="s">
        <v>910</v>
      </c>
      <c r="B856" t="s">
        <v>5</v>
      </c>
      <c r="C856" t="s">
        <v>6</v>
      </c>
      <c r="D856" s="2">
        <v>45587</v>
      </c>
      <c r="E856">
        <f t="shared" si="13"/>
        <v>855</v>
      </c>
    </row>
    <row r="857" spans="1:5" x14ac:dyDescent="0.2">
      <c r="A857" t="s">
        <v>841</v>
      </c>
      <c r="B857" t="s">
        <v>5</v>
      </c>
      <c r="C857" t="s">
        <v>6</v>
      </c>
      <c r="D857" s="2">
        <v>45588</v>
      </c>
      <c r="E857">
        <f t="shared" si="13"/>
        <v>856</v>
      </c>
    </row>
    <row r="858" spans="1:5" x14ac:dyDescent="0.2">
      <c r="A858" t="s">
        <v>857</v>
      </c>
      <c r="B858" t="s">
        <v>7</v>
      </c>
      <c r="C858" t="s">
        <v>8</v>
      </c>
      <c r="D858" s="2">
        <v>45588</v>
      </c>
      <c r="E858">
        <f t="shared" si="13"/>
        <v>857</v>
      </c>
    </row>
    <row r="859" spans="1:5" x14ac:dyDescent="0.2">
      <c r="A859" t="s">
        <v>880</v>
      </c>
      <c r="B859" t="s">
        <v>5</v>
      </c>
      <c r="C859" t="s">
        <v>6</v>
      </c>
      <c r="D859" s="2">
        <v>45588</v>
      </c>
      <c r="E859">
        <f t="shared" si="13"/>
        <v>858</v>
      </c>
    </row>
    <row r="860" spans="1:5" x14ac:dyDescent="0.2">
      <c r="A860" t="s">
        <v>888</v>
      </c>
      <c r="B860" t="s">
        <v>5</v>
      </c>
      <c r="C860" t="s">
        <v>6</v>
      </c>
      <c r="D860" s="2">
        <v>45588</v>
      </c>
      <c r="E860">
        <f t="shared" si="13"/>
        <v>859</v>
      </c>
    </row>
    <row r="861" spans="1:5" x14ac:dyDescent="0.2">
      <c r="A861" t="s">
        <v>917</v>
      </c>
      <c r="B861" t="s">
        <v>11</v>
      </c>
      <c r="C861" t="s">
        <v>12</v>
      </c>
      <c r="D861" s="2">
        <v>45588</v>
      </c>
      <c r="E861">
        <f t="shared" si="13"/>
        <v>860</v>
      </c>
    </row>
    <row r="862" spans="1:5" x14ac:dyDescent="0.2">
      <c r="A862" t="s">
        <v>808</v>
      </c>
      <c r="B862" t="s">
        <v>11</v>
      </c>
      <c r="C862" t="s">
        <v>12</v>
      </c>
      <c r="D862" s="2">
        <v>45589</v>
      </c>
      <c r="E862">
        <f t="shared" si="13"/>
        <v>861</v>
      </c>
    </row>
    <row r="863" spans="1:5" x14ac:dyDescent="0.2">
      <c r="A863" t="s">
        <v>837</v>
      </c>
      <c r="B863" t="s">
        <v>11</v>
      </c>
      <c r="C863" t="s">
        <v>12</v>
      </c>
      <c r="D863" s="2">
        <v>45590</v>
      </c>
      <c r="E863">
        <f t="shared" si="13"/>
        <v>862</v>
      </c>
    </row>
    <row r="864" spans="1:5" x14ac:dyDescent="0.2">
      <c r="A864" t="s">
        <v>891</v>
      </c>
      <c r="B864" t="s">
        <v>5</v>
      </c>
      <c r="C864" t="s">
        <v>6</v>
      </c>
      <c r="D864" s="2">
        <v>45590</v>
      </c>
      <c r="E864">
        <f t="shared" si="13"/>
        <v>863</v>
      </c>
    </row>
    <row r="865" spans="1:5" x14ac:dyDescent="0.2">
      <c r="A865" t="s">
        <v>906</v>
      </c>
      <c r="B865" t="s">
        <v>7</v>
      </c>
      <c r="C865" t="s">
        <v>8</v>
      </c>
      <c r="D865" s="2">
        <v>45590</v>
      </c>
      <c r="E865">
        <f t="shared" si="13"/>
        <v>864</v>
      </c>
    </row>
    <row r="866" spans="1:5" x14ac:dyDescent="0.2">
      <c r="A866" t="s">
        <v>929</v>
      </c>
      <c r="B866" t="s">
        <v>5</v>
      </c>
      <c r="C866" t="s">
        <v>6</v>
      </c>
      <c r="D866" s="2">
        <v>45590</v>
      </c>
      <c r="E866">
        <f t="shared" si="13"/>
        <v>865</v>
      </c>
    </row>
    <row r="867" spans="1:5" x14ac:dyDescent="0.2">
      <c r="A867" t="s">
        <v>823</v>
      </c>
      <c r="B867" t="s">
        <v>11</v>
      </c>
      <c r="C867" t="s">
        <v>12</v>
      </c>
      <c r="D867" s="2">
        <v>45591</v>
      </c>
      <c r="E867">
        <f t="shared" si="13"/>
        <v>866</v>
      </c>
    </row>
    <row r="868" spans="1:5" x14ac:dyDescent="0.2">
      <c r="A868" t="s">
        <v>874</v>
      </c>
      <c r="B868" t="s">
        <v>5</v>
      </c>
      <c r="C868" t="s">
        <v>6</v>
      </c>
      <c r="D868" s="2">
        <v>45591</v>
      </c>
      <c r="E868">
        <f t="shared" si="13"/>
        <v>867</v>
      </c>
    </row>
    <row r="869" spans="1:5" x14ac:dyDescent="0.2">
      <c r="A869" t="s">
        <v>922</v>
      </c>
      <c r="B869" t="s">
        <v>7</v>
      </c>
      <c r="C869" t="s">
        <v>8</v>
      </c>
      <c r="D869" s="2">
        <v>45591</v>
      </c>
      <c r="E869">
        <f t="shared" si="13"/>
        <v>868</v>
      </c>
    </row>
    <row r="870" spans="1:5" x14ac:dyDescent="0.2">
      <c r="A870" t="s">
        <v>848</v>
      </c>
      <c r="B870" t="s">
        <v>5</v>
      </c>
      <c r="C870" t="s">
        <v>6</v>
      </c>
      <c r="D870" s="2">
        <v>45592</v>
      </c>
      <c r="E870">
        <f t="shared" si="13"/>
        <v>869</v>
      </c>
    </row>
    <row r="871" spans="1:5" x14ac:dyDescent="0.2">
      <c r="A871" t="s">
        <v>855</v>
      </c>
      <c r="B871" t="s">
        <v>11</v>
      </c>
      <c r="C871" t="s">
        <v>12</v>
      </c>
      <c r="D871" s="2">
        <v>45592</v>
      </c>
      <c r="E871">
        <f t="shared" si="13"/>
        <v>870</v>
      </c>
    </row>
    <row r="872" spans="1:5" x14ac:dyDescent="0.2">
      <c r="A872" t="s">
        <v>925</v>
      </c>
      <c r="B872" t="s">
        <v>7</v>
      </c>
      <c r="C872" t="s">
        <v>8</v>
      </c>
      <c r="D872" s="2">
        <v>45592</v>
      </c>
      <c r="E872">
        <f t="shared" si="13"/>
        <v>871</v>
      </c>
    </row>
    <row r="873" spans="1:5" x14ac:dyDescent="0.2">
      <c r="A873" t="s">
        <v>801</v>
      </c>
      <c r="B873" t="s">
        <v>7</v>
      </c>
      <c r="C873" t="s">
        <v>8</v>
      </c>
      <c r="D873" s="2">
        <v>45593</v>
      </c>
      <c r="E873">
        <f t="shared" si="13"/>
        <v>872</v>
      </c>
    </row>
    <row r="874" spans="1:5" x14ac:dyDescent="0.2">
      <c r="A874" t="s">
        <v>871</v>
      </c>
      <c r="B874" t="s">
        <v>5</v>
      </c>
      <c r="C874" t="s">
        <v>6</v>
      </c>
      <c r="D874" s="2">
        <v>45593</v>
      </c>
      <c r="E874">
        <f t="shared" si="13"/>
        <v>873</v>
      </c>
    </row>
    <row r="875" spans="1:5" x14ac:dyDescent="0.2">
      <c r="A875" t="s">
        <v>912</v>
      </c>
      <c r="B875" t="s">
        <v>5</v>
      </c>
      <c r="C875" t="s">
        <v>6</v>
      </c>
      <c r="D875" s="2">
        <v>45593</v>
      </c>
      <c r="E875">
        <f t="shared" si="13"/>
        <v>874</v>
      </c>
    </row>
    <row r="876" spans="1:5" x14ac:dyDescent="0.2">
      <c r="A876" t="s">
        <v>914</v>
      </c>
      <c r="B876" t="s">
        <v>5</v>
      </c>
      <c r="C876" t="s">
        <v>6</v>
      </c>
      <c r="D876" s="2">
        <v>45593</v>
      </c>
      <c r="E876">
        <f t="shared" si="13"/>
        <v>875</v>
      </c>
    </row>
    <row r="877" spans="1:5" x14ac:dyDescent="0.2">
      <c r="A877" t="s">
        <v>889</v>
      </c>
      <c r="B877" t="s">
        <v>11</v>
      </c>
      <c r="C877" t="s">
        <v>12</v>
      </c>
      <c r="D877" s="2">
        <v>45594</v>
      </c>
      <c r="E877">
        <f t="shared" si="13"/>
        <v>876</v>
      </c>
    </row>
    <row r="878" spans="1:5" x14ac:dyDescent="0.2">
      <c r="A878" t="s">
        <v>900</v>
      </c>
      <c r="B878" t="s">
        <v>5</v>
      </c>
      <c r="C878" t="s">
        <v>6</v>
      </c>
      <c r="D878" s="2">
        <v>45594</v>
      </c>
      <c r="E878">
        <f t="shared" si="13"/>
        <v>877</v>
      </c>
    </row>
    <row r="879" spans="1:5" x14ac:dyDescent="0.2">
      <c r="A879" t="s">
        <v>878</v>
      </c>
      <c r="B879" t="s">
        <v>11</v>
      </c>
      <c r="C879" t="s">
        <v>12</v>
      </c>
      <c r="D879" s="2">
        <v>45595</v>
      </c>
      <c r="E879">
        <f t="shared" si="13"/>
        <v>878</v>
      </c>
    </row>
    <row r="880" spans="1:5" x14ac:dyDescent="0.2">
      <c r="A880" t="s">
        <v>885</v>
      </c>
      <c r="B880" t="s">
        <v>7</v>
      </c>
      <c r="C880" t="s">
        <v>8</v>
      </c>
      <c r="D880" s="2">
        <v>45595</v>
      </c>
      <c r="E880">
        <f t="shared" si="13"/>
        <v>879</v>
      </c>
    </row>
    <row r="881" spans="1:5" x14ac:dyDescent="0.2">
      <c r="A881" t="s">
        <v>905</v>
      </c>
      <c r="B881" t="s">
        <v>5</v>
      </c>
      <c r="C881" t="s">
        <v>6</v>
      </c>
      <c r="D881" s="2">
        <v>45595</v>
      </c>
      <c r="E881">
        <f t="shared" si="13"/>
        <v>880</v>
      </c>
    </row>
    <row r="882" spans="1:5" x14ac:dyDescent="0.2">
      <c r="A882" t="s">
        <v>918</v>
      </c>
      <c r="B882" t="s">
        <v>5</v>
      </c>
      <c r="C882" t="s">
        <v>6</v>
      </c>
      <c r="D882" s="2">
        <v>45595</v>
      </c>
      <c r="E882">
        <f t="shared" si="13"/>
        <v>881</v>
      </c>
    </row>
    <row r="883" spans="1:5" x14ac:dyDescent="0.2">
      <c r="A883" t="s">
        <v>869</v>
      </c>
      <c r="B883" t="s">
        <v>5</v>
      </c>
      <c r="C883" t="s">
        <v>6</v>
      </c>
      <c r="D883" s="2">
        <v>45596</v>
      </c>
      <c r="E883">
        <f t="shared" si="13"/>
        <v>882</v>
      </c>
    </row>
    <row r="884" spans="1:5" x14ac:dyDescent="0.2">
      <c r="A884" t="s">
        <v>876</v>
      </c>
      <c r="B884" t="s">
        <v>5</v>
      </c>
      <c r="C884" t="s">
        <v>6</v>
      </c>
      <c r="D884" s="2">
        <v>45596</v>
      </c>
      <c r="E884">
        <f t="shared" si="13"/>
        <v>883</v>
      </c>
    </row>
    <row r="885" spans="1:5" x14ac:dyDescent="0.2">
      <c r="A885" t="s">
        <v>865</v>
      </c>
      <c r="B885" t="s">
        <v>5</v>
      </c>
      <c r="C885" t="s">
        <v>6</v>
      </c>
      <c r="D885" s="2">
        <v>45597</v>
      </c>
      <c r="E885">
        <f t="shared" si="13"/>
        <v>884</v>
      </c>
    </row>
    <row r="886" spans="1:5" x14ac:dyDescent="0.2">
      <c r="A886" t="s">
        <v>901</v>
      </c>
      <c r="B886" t="s">
        <v>5</v>
      </c>
      <c r="C886" t="s">
        <v>6</v>
      </c>
      <c r="D886" s="2">
        <v>45597</v>
      </c>
      <c r="E886">
        <f t="shared" si="13"/>
        <v>885</v>
      </c>
    </row>
    <row r="887" spans="1:5" x14ac:dyDescent="0.2">
      <c r="A887" t="s">
        <v>908</v>
      </c>
      <c r="B887" t="s">
        <v>5</v>
      </c>
      <c r="C887" t="s">
        <v>6</v>
      </c>
      <c r="D887" s="2">
        <v>45598</v>
      </c>
      <c r="E887">
        <f t="shared" si="13"/>
        <v>886</v>
      </c>
    </row>
    <row r="888" spans="1:5" x14ac:dyDescent="0.2">
      <c r="A888" t="s">
        <v>864</v>
      </c>
      <c r="B888" t="s">
        <v>5</v>
      </c>
      <c r="C888" t="s">
        <v>6</v>
      </c>
      <c r="D888" s="2">
        <v>45599</v>
      </c>
      <c r="E888">
        <f t="shared" si="13"/>
        <v>887</v>
      </c>
    </row>
    <row r="889" spans="1:5" x14ac:dyDescent="0.2">
      <c r="A889" t="s">
        <v>934</v>
      </c>
      <c r="B889" t="s">
        <v>5</v>
      </c>
      <c r="C889" t="s">
        <v>6</v>
      </c>
      <c r="D889" s="2">
        <v>45599</v>
      </c>
      <c r="E889">
        <f t="shared" si="13"/>
        <v>888</v>
      </c>
    </row>
    <row r="890" spans="1:5" x14ac:dyDescent="0.2">
      <c r="A890" t="s">
        <v>937</v>
      </c>
      <c r="B890" t="s">
        <v>5</v>
      </c>
      <c r="C890" t="s">
        <v>6</v>
      </c>
      <c r="D890" s="2">
        <v>45599</v>
      </c>
      <c r="E890">
        <f t="shared" si="13"/>
        <v>889</v>
      </c>
    </row>
    <row r="891" spans="1:5" x14ac:dyDescent="0.2">
      <c r="A891" t="s">
        <v>775</v>
      </c>
      <c r="B891" t="s">
        <v>7</v>
      </c>
      <c r="C891" t="s">
        <v>8</v>
      </c>
      <c r="D891" s="2">
        <v>45601</v>
      </c>
      <c r="E891">
        <f t="shared" si="13"/>
        <v>890</v>
      </c>
    </row>
    <row r="892" spans="1:5" x14ac:dyDescent="0.2">
      <c r="A892" t="s">
        <v>916</v>
      </c>
      <c r="B892" t="s">
        <v>5</v>
      </c>
      <c r="C892" t="s">
        <v>6</v>
      </c>
      <c r="D892" s="2">
        <v>45601</v>
      </c>
      <c r="E892">
        <f t="shared" si="13"/>
        <v>891</v>
      </c>
    </row>
    <row r="893" spans="1:5" x14ac:dyDescent="0.2">
      <c r="A893" t="s">
        <v>832</v>
      </c>
      <c r="B893" t="s">
        <v>5</v>
      </c>
      <c r="C893" t="s">
        <v>6</v>
      </c>
      <c r="D893" s="2">
        <v>45602</v>
      </c>
      <c r="E893">
        <f t="shared" si="13"/>
        <v>892</v>
      </c>
    </row>
    <row r="894" spans="1:5" x14ac:dyDescent="0.2">
      <c r="A894" t="s">
        <v>870</v>
      </c>
      <c r="B894" t="s">
        <v>5</v>
      </c>
      <c r="C894" t="s">
        <v>6</v>
      </c>
      <c r="D894" s="2">
        <v>45602</v>
      </c>
      <c r="E894">
        <f t="shared" si="13"/>
        <v>893</v>
      </c>
    </row>
    <row r="895" spans="1:5" x14ac:dyDescent="0.2">
      <c r="A895" t="s">
        <v>926</v>
      </c>
      <c r="B895" t="s">
        <v>5</v>
      </c>
      <c r="C895" t="s">
        <v>6</v>
      </c>
      <c r="D895" s="2">
        <v>45602</v>
      </c>
      <c r="E895">
        <f t="shared" si="13"/>
        <v>894</v>
      </c>
    </row>
    <row r="896" spans="1:5" x14ac:dyDescent="0.2">
      <c r="A896" t="s">
        <v>939</v>
      </c>
      <c r="B896" t="s">
        <v>5</v>
      </c>
      <c r="C896" t="s">
        <v>6</v>
      </c>
      <c r="D896" s="2">
        <v>45602</v>
      </c>
      <c r="E896">
        <f t="shared" si="13"/>
        <v>895</v>
      </c>
    </row>
    <row r="897" spans="1:5" x14ac:dyDescent="0.2">
      <c r="A897" t="s">
        <v>904</v>
      </c>
      <c r="B897" t="s">
        <v>5</v>
      </c>
      <c r="C897" t="s">
        <v>6</v>
      </c>
      <c r="D897" s="2">
        <v>45603</v>
      </c>
      <c r="E897">
        <f t="shared" si="13"/>
        <v>896</v>
      </c>
    </row>
    <row r="898" spans="1:5" x14ac:dyDescent="0.2">
      <c r="A898" t="s">
        <v>872</v>
      </c>
      <c r="B898" t="s">
        <v>5</v>
      </c>
      <c r="C898" t="s">
        <v>6</v>
      </c>
      <c r="D898" s="2">
        <v>45604</v>
      </c>
      <c r="E898">
        <f t="shared" si="13"/>
        <v>897</v>
      </c>
    </row>
    <row r="899" spans="1:5" x14ac:dyDescent="0.2">
      <c r="A899" t="s">
        <v>913</v>
      </c>
      <c r="B899" t="s">
        <v>5</v>
      </c>
      <c r="C899" t="s">
        <v>6</v>
      </c>
      <c r="D899" s="2">
        <v>45604</v>
      </c>
      <c r="E899">
        <f t="shared" si="13"/>
        <v>898</v>
      </c>
    </row>
    <row r="900" spans="1:5" x14ac:dyDescent="0.2">
      <c r="A900" t="s">
        <v>943</v>
      </c>
      <c r="B900" t="s">
        <v>5</v>
      </c>
      <c r="C900" t="s">
        <v>6</v>
      </c>
      <c r="D900" s="2">
        <v>45604</v>
      </c>
      <c r="E900">
        <f t="shared" ref="E900:E963" si="14">E899+1</f>
        <v>899</v>
      </c>
    </row>
    <row r="901" spans="1:5" x14ac:dyDescent="0.2">
      <c r="A901" t="s">
        <v>867</v>
      </c>
      <c r="B901" t="s">
        <v>5</v>
      </c>
      <c r="C901" t="s">
        <v>6</v>
      </c>
      <c r="D901" s="2">
        <v>45605</v>
      </c>
      <c r="E901">
        <f t="shared" si="14"/>
        <v>900</v>
      </c>
    </row>
    <row r="902" spans="1:5" x14ac:dyDescent="0.2">
      <c r="A902" t="s">
        <v>898</v>
      </c>
      <c r="B902" t="s">
        <v>5</v>
      </c>
      <c r="C902" t="s">
        <v>6</v>
      </c>
      <c r="D902" s="2">
        <v>45605</v>
      </c>
      <c r="E902">
        <f t="shared" si="14"/>
        <v>901</v>
      </c>
    </row>
    <row r="903" spans="1:5" x14ac:dyDescent="0.2">
      <c r="A903" t="s">
        <v>924</v>
      </c>
      <c r="B903" t="s">
        <v>5</v>
      </c>
      <c r="C903" t="s">
        <v>6</v>
      </c>
      <c r="D903" s="2">
        <v>45605</v>
      </c>
      <c r="E903">
        <f t="shared" si="14"/>
        <v>902</v>
      </c>
    </row>
    <row r="904" spans="1:5" x14ac:dyDescent="0.2">
      <c r="A904" t="s">
        <v>942</v>
      </c>
      <c r="B904" t="s">
        <v>5</v>
      </c>
      <c r="C904" t="s">
        <v>6</v>
      </c>
      <c r="D904" s="2">
        <v>45605</v>
      </c>
      <c r="E904">
        <f t="shared" si="14"/>
        <v>903</v>
      </c>
    </row>
    <row r="905" spans="1:5" x14ac:dyDescent="0.2">
      <c r="A905" t="s">
        <v>948</v>
      </c>
      <c r="B905" t="s">
        <v>5</v>
      </c>
      <c r="C905" t="s">
        <v>6</v>
      </c>
      <c r="D905" s="2">
        <v>45605</v>
      </c>
      <c r="E905">
        <f t="shared" si="14"/>
        <v>904</v>
      </c>
    </row>
    <row r="906" spans="1:5" x14ac:dyDescent="0.2">
      <c r="A906" t="s">
        <v>887</v>
      </c>
      <c r="B906" t="s">
        <v>5</v>
      </c>
      <c r="C906" t="s">
        <v>6</v>
      </c>
      <c r="D906" s="2">
        <v>45606</v>
      </c>
      <c r="E906">
        <f t="shared" si="14"/>
        <v>905</v>
      </c>
    </row>
    <row r="907" spans="1:5" x14ac:dyDescent="0.2">
      <c r="A907" t="s">
        <v>952</v>
      </c>
      <c r="B907" t="s">
        <v>5</v>
      </c>
      <c r="C907" t="s">
        <v>6</v>
      </c>
      <c r="D907" s="2">
        <v>45606</v>
      </c>
      <c r="E907">
        <f t="shared" si="14"/>
        <v>906</v>
      </c>
    </row>
    <row r="908" spans="1:5" x14ac:dyDescent="0.2">
      <c r="A908" t="s">
        <v>858</v>
      </c>
      <c r="B908" t="s">
        <v>5</v>
      </c>
      <c r="C908" t="s">
        <v>6</v>
      </c>
      <c r="D908" s="2">
        <v>45607</v>
      </c>
      <c r="E908">
        <f t="shared" si="14"/>
        <v>907</v>
      </c>
    </row>
    <row r="909" spans="1:5" x14ac:dyDescent="0.2">
      <c r="A909" t="s">
        <v>903</v>
      </c>
      <c r="B909" t="s">
        <v>5</v>
      </c>
      <c r="C909" t="s">
        <v>6</v>
      </c>
      <c r="D909" s="2">
        <v>45608</v>
      </c>
      <c r="E909">
        <f t="shared" si="14"/>
        <v>908</v>
      </c>
    </row>
    <row r="910" spans="1:5" x14ac:dyDescent="0.2">
      <c r="A910" t="s">
        <v>954</v>
      </c>
      <c r="B910" t="s">
        <v>5</v>
      </c>
      <c r="C910" t="s">
        <v>6</v>
      </c>
      <c r="D910" s="2">
        <v>45608</v>
      </c>
      <c r="E910">
        <f t="shared" si="14"/>
        <v>909</v>
      </c>
    </row>
    <row r="911" spans="1:5" x14ac:dyDescent="0.2">
      <c r="A911" t="s">
        <v>811</v>
      </c>
      <c r="B911" t="s">
        <v>7</v>
      </c>
      <c r="C911" t="s">
        <v>8</v>
      </c>
      <c r="D911" s="2">
        <v>45609</v>
      </c>
      <c r="E911">
        <f t="shared" si="14"/>
        <v>910</v>
      </c>
    </row>
    <row r="912" spans="1:5" x14ac:dyDescent="0.2">
      <c r="A912" t="s">
        <v>909</v>
      </c>
      <c r="B912" t="s">
        <v>5</v>
      </c>
      <c r="C912" t="s">
        <v>6</v>
      </c>
      <c r="D912" s="2">
        <v>45609</v>
      </c>
      <c r="E912">
        <f t="shared" si="14"/>
        <v>911</v>
      </c>
    </row>
    <row r="913" spans="1:5" x14ac:dyDescent="0.2">
      <c r="A913" t="s">
        <v>930</v>
      </c>
      <c r="B913" t="s">
        <v>5</v>
      </c>
      <c r="C913" t="s">
        <v>6</v>
      </c>
      <c r="D913" s="2">
        <v>45609</v>
      </c>
      <c r="E913">
        <f t="shared" si="14"/>
        <v>912</v>
      </c>
    </row>
    <row r="914" spans="1:5" x14ac:dyDescent="0.2">
      <c r="A914" t="s">
        <v>931</v>
      </c>
      <c r="B914" t="s">
        <v>5</v>
      </c>
      <c r="C914" t="s">
        <v>6</v>
      </c>
      <c r="D914" s="2">
        <v>45609</v>
      </c>
      <c r="E914">
        <f t="shared" si="14"/>
        <v>913</v>
      </c>
    </row>
    <row r="915" spans="1:5" x14ac:dyDescent="0.2">
      <c r="A915" t="s">
        <v>945</v>
      </c>
      <c r="B915" t="s">
        <v>5</v>
      </c>
      <c r="C915" t="s">
        <v>6</v>
      </c>
      <c r="D915" s="2">
        <v>45609</v>
      </c>
      <c r="E915">
        <f t="shared" si="14"/>
        <v>914</v>
      </c>
    </row>
    <row r="916" spans="1:5" x14ac:dyDescent="0.2">
      <c r="A916" t="s">
        <v>866</v>
      </c>
      <c r="B916" t="s">
        <v>11</v>
      </c>
      <c r="C916" t="s">
        <v>12</v>
      </c>
      <c r="D916" s="2">
        <v>45612</v>
      </c>
      <c r="E916">
        <f t="shared" si="14"/>
        <v>915</v>
      </c>
    </row>
    <row r="917" spans="1:5" x14ac:dyDescent="0.2">
      <c r="A917" t="s">
        <v>877</v>
      </c>
      <c r="B917" t="s">
        <v>5</v>
      </c>
      <c r="C917" t="s">
        <v>6</v>
      </c>
      <c r="D917" s="2">
        <v>45612</v>
      </c>
      <c r="E917">
        <f t="shared" si="14"/>
        <v>916</v>
      </c>
    </row>
    <row r="918" spans="1:5" x14ac:dyDescent="0.2">
      <c r="A918" t="s">
        <v>955</v>
      </c>
      <c r="B918" t="s">
        <v>11</v>
      </c>
      <c r="C918" t="s">
        <v>12</v>
      </c>
      <c r="D918" s="2">
        <v>45612</v>
      </c>
      <c r="E918">
        <f t="shared" si="14"/>
        <v>917</v>
      </c>
    </row>
    <row r="919" spans="1:5" x14ac:dyDescent="0.2">
      <c r="A919" t="s">
        <v>892</v>
      </c>
      <c r="B919" t="s">
        <v>5</v>
      </c>
      <c r="C919" t="s">
        <v>6</v>
      </c>
      <c r="D919" s="2">
        <v>45613</v>
      </c>
      <c r="E919">
        <f t="shared" si="14"/>
        <v>918</v>
      </c>
    </row>
    <row r="920" spans="1:5" x14ac:dyDescent="0.2">
      <c r="A920" t="s">
        <v>919</v>
      </c>
      <c r="B920" t="s">
        <v>5</v>
      </c>
      <c r="C920" t="s">
        <v>6</v>
      </c>
      <c r="D920" s="2">
        <v>45613</v>
      </c>
      <c r="E920">
        <f t="shared" si="14"/>
        <v>919</v>
      </c>
    </row>
    <row r="921" spans="1:5" x14ac:dyDescent="0.2">
      <c r="A921" t="s">
        <v>933</v>
      </c>
      <c r="B921" t="s">
        <v>5</v>
      </c>
      <c r="C921" t="s">
        <v>6</v>
      </c>
      <c r="D921" s="2">
        <v>45613</v>
      </c>
      <c r="E921">
        <f t="shared" si="14"/>
        <v>920</v>
      </c>
    </row>
    <row r="922" spans="1:5" x14ac:dyDescent="0.2">
      <c r="A922" t="s">
        <v>884</v>
      </c>
      <c r="B922" t="s">
        <v>5</v>
      </c>
      <c r="C922" t="s">
        <v>6</v>
      </c>
      <c r="D922" s="2">
        <v>45614</v>
      </c>
      <c r="E922">
        <f t="shared" si="14"/>
        <v>921</v>
      </c>
    </row>
    <row r="923" spans="1:5" x14ac:dyDescent="0.2">
      <c r="A923" t="s">
        <v>941</v>
      </c>
      <c r="B923" t="s">
        <v>5</v>
      </c>
      <c r="C923" t="s">
        <v>6</v>
      </c>
      <c r="D923" s="2">
        <v>45614</v>
      </c>
      <c r="E923">
        <f t="shared" si="14"/>
        <v>922</v>
      </c>
    </row>
    <row r="924" spans="1:5" x14ac:dyDescent="0.2">
      <c r="A924" t="s">
        <v>886</v>
      </c>
      <c r="B924" t="s">
        <v>5</v>
      </c>
      <c r="C924" t="s">
        <v>6</v>
      </c>
      <c r="D924" s="2">
        <v>45615</v>
      </c>
      <c r="E924">
        <f t="shared" si="14"/>
        <v>923</v>
      </c>
    </row>
    <row r="925" spans="1:5" x14ac:dyDescent="0.2">
      <c r="A925" t="s">
        <v>947</v>
      </c>
      <c r="B925" t="s">
        <v>5</v>
      </c>
      <c r="C925" t="s">
        <v>6</v>
      </c>
      <c r="D925" s="2">
        <v>45615</v>
      </c>
      <c r="E925">
        <f t="shared" si="14"/>
        <v>924</v>
      </c>
    </row>
    <row r="926" spans="1:5" x14ac:dyDescent="0.2">
      <c r="A926" t="s">
        <v>862</v>
      </c>
      <c r="B926" t="s">
        <v>5</v>
      </c>
      <c r="C926" t="s">
        <v>6</v>
      </c>
      <c r="D926" s="2">
        <v>45616</v>
      </c>
      <c r="E926">
        <f t="shared" si="14"/>
        <v>925</v>
      </c>
    </row>
    <row r="927" spans="1:5" x14ac:dyDescent="0.2">
      <c r="A927" t="s">
        <v>882</v>
      </c>
      <c r="B927" t="s">
        <v>5</v>
      </c>
      <c r="C927" t="s">
        <v>6</v>
      </c>
      <c r="D927" s="2">
        <v>45616</v>
      </c>
      <c r="E927">
        <f t="shared" si="14"/>
        <v>926</v>
      </c>
    </row>
    <row r="928" spans="1:5" x14ac:dyDescent="0.2">
      <c r="A928" t="s">
        <v>920</v>
      </c>
      <c r="B928" t="s">
        <v>5</v>
      </c>
      <c r="C928" t="s">
        <v>6</v>
      </c>
      <c r="D928" s="2">
        <v>45616</v>
      </c>
      <c r="E928">
        <f t="shared" si="14"/>
        <v>927</v>
      </c>
    </row>
    <row r="929" spans="1:5" x14ac:dyDescent="0.2">
      <c r="A929" t="s">
        <v>960</v>
      </c>
      <c r="B929" t="s">
        <v>5</v>
      </c>
      <c r="C929" t="s">
        <v>6</v>
      </c>
      <c r="D929" s="2">
        <v>45616</v>
      </c>
      <c r="E929">
        <f t="shared" si="14"/>
        <v>928</v>
      </c>
    </row>
    <row r="930" spans="1:5" x14ac:dyDescent="0.2">
      <c r="A930" t="s">
        <v>921</v>
      </c>
      <c r="B930" t="s">
        <v>5</v>
      </c>
      <c r="C930" t="s">
        <v>6</v>
      </c>
      <c r="D930" s="2">
        <v>45618</v>
      </c>
      <c r="E930">
        <f t="shared" si="14"/>
        <v>929</v>
      </c>
    </row>
    <row r="931" spans="1:5" x14ac:dyDescent="0.2">
      <c r="A931" t="s">
        <v>915</v>
      </c>
      <c r="B931" t="s">
        <v>11</v>
      </c>
      <c r="C931" t="s">
        <v>12</v>
      </c>
      <c r="D931" s="2">
        <v>45619</v>
      </c>
      <c r="E931">
        <f t="shared" si="14"/>
        <v>930</v>
      </c>
    </row>
    <row r="932" spans="1:5" x14ac:dyDescent="0.2">
      <c r="A932" t="s">
        <v>938</v>
      </c>
      <c r="B932" t="s">
        <v>5</v>
      </c>
      <c r="C932" t="s">
        <v>6</v>
      </c>
      <c r="D932" s="2">
        <v>45619</v>
      </c>
      <c r="E932">
        <f t="shared" si="14"/>
        <v>931</v>
      </c>
    </row>
    <row r="933" spans="1:5" x14ac:dyDescent="0.2">
      <c r="A933" t="s">
        <v>940</v>
      </c>
      <c r="B933" t="s">
        <v>5</v>
      </c>
      <c r="C933" t="s">
        <v>6</v>
      </c>
      <c r="D933" s="2">
        <v>45619</v>
      </c>
      <c r="E933">
        <f t="shared" si="14"/>
        <v>932</v>
      </c>
    </row>
    <row r="934" spans="1:5" x14ac:dyDescent="0.2">
      <c r="A934" t="s">
        <v>956</v>
      </c>
      <c r="B934" t="s">
        <v>5</v>
      </c>
      <c r="C934" t="s">
        <v>6</v>
      </c>
      <c r="D934" s="2">
        <v>45619</v>
      </c>
      <c r="E934">
        <f t="shared" si="14"/>
        <v>933</v>
      </c>
    </row>
    <row r="935" spans="1:5" x14ac:dyDescent="0.2">
      <c r="A935" t="s">
        <v>958</v>
      </c>
      <c r="B935" t="s">
        <v>5</v>
      </c>
      <c r="C935" t="s">
        <v>6</v>
      </c>
      <c r="D935" s="2">
        <v>45619</v>
      </c>
      <c r="E935">
        <f t="shared" si="14"/>
        <v>934</v>
      </c>
    </row>
    <row r="936" spans="1:5" x14ac:dyDescent="0.2">
      <c r="A936" t="s">
        <v>967</v>
      </c>
      <c r="B936" t="s">
        <v>5</v>
      </c>
      <c r="C936" t="s">
        <v>6</v>
      </c>
      <c r="D936" s="2">
        <v>45620</v>
      </c>
      <c r="E936">
        <f t="shared" si="14"/>
        <v>935</v>
      </c>
    </row>
    <row r="937" spans="1:5" x14ac:dyDescent="0.2">
      <c r="A937" t="s">
        <v>964</v>
      </c>
      <c r="B937" t="s">
        <v>5</v>
      </c>
      <c r="C937" t="s">
        <v>6</v>
      </c>
      <c r="D937" s="2">
        <v>45622</v>
      </c>
      <c r="E937">
        <f t="shared" si="14"/>
        <v>936</v>
      </c>
    </row>
    <row r="938" spans="1:5" x14ac:dyDescent="0.2">
      <c r="A938" t="s">
        <v>923</v>
      </c>
      <c r="B938" t="s">
        <v>5</v>
      </c>
      <c r="C938" t="s">
        <v>6</v>
      </c>
      <c r="D938" s="2">
        <v>45623</v>
      </c>
      <c r="E938">
        <f t="shared" si="14"/>
        <v>937</v>
      </c>
    </row>
    <row r="939" spans="1:5" x14ac:dyDescent="0.2">
      <c r="A939" t="s">
        <v>970</v>
      </c>
      <c r="B939" t="s">
        <v>5</v>
      </c>
      <c r="C939" t="s">
        <v>6</v>
      </c>
      <c r="D939" s="2">
        <v>45623</v>
      </c>
      <c r="E939">
        <f t="shared" si="14"/>
        <v>938</v>
      </c>
    </row>
    <row r="940" spans="1:5" x14ac:dyDescent="0.2">
      <c r="A940" t="s">
        <v>944</v>
      </c>
      <c r="B940" t="s">
        <v>5</v>
      </c>
      <c r="C940" t="s">
        <v>6</v>
      </c>
      <c r="D940" s="2">
        <v>45624</v>
      </c>
      <c r="E940">
        <f t="shared" si="14"/>
        <v>939</v>
      </c>
    </row>
    <row r="941" spans="1:5" x14ac:dyDescent="0.2">
      <c r="A941" t="s">
        <v>951</v>
      </c>
      <c r="B941" t="s">
        <v>5</v>
      </c>
      <c r="C941" t="s">
        <v>6</v>
      </c>
      <c r="D941" s="2">
        <v>45625</v>
      </c>
      <c r="E941">
        <f t="shared" si="14"/>
        <v>940</v>
      </c>
    </row>
    <row r="942" spans="1:5" x14ac:dyDescent="0.2">
      <c r="A942" t="s">
        <v>971</v>
      </c>
      <c r="B942" t="s">
        <v>5</v>
      </c>
      <c r="C942" t="s">
        <v>6</v>
      </c>
      <c r="D942" s="2">
        <v>45625</v>
      </c>
      <c r="E942">
        <f t="shared" si="14"/>
        <v>941</v>
      </c>
    </row>
    <row r="943" spans="1:5" x14ac:dyDescent="0.2">
      <c r="A943" t="s">
        <v>974</v>
      </c>
      <c r="B943" t="s">
        <v>5</v>
      </c>
      <c r="C943" t="s">
        <v>6</v>
      </c>
      <c r="D943" s="2">
        <v>45625</v>
      </c>
      <c r="E943">
        <f t="shared" si="14"/>
        <v>942</v>
      </c>
    </row>
    <row r="944" spans="1:5" x14ac:dyDescent="0.2">
      <c r="A944" t="s">
        <v>935</v>
      </c>
      <c r="B944" t="s">
        <v>5</v>
      </c>
      <c r="C944" t="s">
        <v>6</v>
      </c>
      <c r="D944" s="2">
        <v>45626</v>
      </c>
      <c r="E944">
        <f t="shared" si="14"/>
        <v>943</v>
      </c>
    </row>
    <row r="945" spans="1:5" x14ac:dyDescent="0.2">
      <c r="A945" t="s">
        <v>953</v>
      </c>
      <c r="B945" t="s">
        <v>5</v>
      </c>
      <c r="C945" t="s">
        <v>6</v>
      </c>
      <c r="D945" s="2">
        <v>45626</v>
      </c>
      <c r="E945">
        <f t="shared" si="14"/>
        <v>944</v>
      </c>
    </row>
    <row r="946" spans="1:5" x14ac:dyDescent="0.2">
      <c r="A946" t="s">
        <v>962</v>
      </c>
      <c r="B946" t="s">
        <v>5</v>
      </c>
      <c r="C946" t="s">
        <v>6</v>
      </c>
      <c r="D946" s="2">
        <v>45626</v>
      </c>
      <c r="E946">
        <f t="shared" si="14"/>
        <v>945</v>
      </c>
    </row>
    <row r="947" spans="1:5" x14ac:dyDescent="0.2">
      <c r="A947" t="s">
        <v>968</v>
      </c>
      <c r="B947" t="s">
        <v>5</v>
      </c>
      <c r="C947" t="s">
        <v>6</v>
      </c>
      <c r="D947" s="2">
        <v>45627</v>
      </c>
      <c r="E947">
        <f t="shared" si="14"/>
        <v>946</v>
      </c>
    </row>
    <row r="948" spans="1:5" x14ac:dyDescent="0.2">
      <c r="A948" t="s">
        <v>907</v>
      </c>
      <c r="B948" t="s">
        <v>5</v>
      </c>
      <c r="C948" t="s">
        <v>6</v>
      </c>
      <c r="D948" s="2">
        <v>45628</v>
      </c>
      <c r="E948">
        <f t="shared" si="14"/>
        <v>947</v>
      </c>
    </row>
    <row r="949" spans="1:5" x14ac:dyDescent="0.2">
      <c r="A949" t="s">
        <v>969</v>
      </c>
      <c r="B949" t="s">
        <v>5</v>
      </c>
      <c r="C949" t="s">
        <v>6</v>
      </c>
      <c r="D949" s="2">
        <v>45628</v>
      </c>
      <c r="E949">
        <f t="shared" si="14"/>
        <v>948</v>
      </c>
    </row>
    <row r="950" spans="1:5" x14ac:dyDescent="0.2">
      <c r="A950" t="s">
        <v>932</v>
      </c>
      <c r="B950" t="s">
        <v>5</v>
      </c>
      <c r="C950" t="s">
        <v>6</v>
      </c>
      <c r="D950" s="2">
        <v>45629</v>
      </c>
      <c r="E950">
        <f t="shared" si="14"/>
        <v>949</v>
      </c>
    </row>
    <row r="951" spans="1:5" x14ac:dyDescent="0.2">
      <c r="A951" t="s">
        <v>965</v>
      </c>
      <c r="B951" t="s">
        <v>5</v>
      </c>
      <c r="C951" t="s">
        <v>6</v>
      </c>
      <c r="D951" s="2">
        <v>45631</v>
      </c>
      <c r="E951">
        <f t="shared" si="14"/>
        <v>950</v>
      </c>
    </row>
    <row r="952" spans="1:5" x14ac:dyDescent="0.2">
      <c r="A952" t="s">
        <v>927</v>
      </c>
      <c r="B952" t="s">
        <v>5</v>
      </c>
      <c r="C952" t="s">
        <v>6</v>
      </c>
      <c r="D952" s="2">
        <v>45632</v>
      </c>
      <c r="E952">
        <f t="shared" si="14"/>
        <v>951</v>
      </c>
    </row>
    <row r="953" spans="1:5" x14ac:dyDescent="0.2">
      <c r="A953" t="s">
        <v>972</v>
      </c>
      <c r="B953" t="s">
        <v>5</v>
      </c>
      <c r="C953" t="s">
        <v>6</v>
      </c>
      <c r="D953" s="2">
        <v>45633</v>
      </c>
      <c r="E953">
        <f t="shared" si="14"/>
        <v>952</v>
      </c>
    </row>
    <row r="954" spans="1:5" x14ac:dyDescent="0.2">
      <c r="A954" t="s">
        <v>975</v>
      </c>
      <c r="B954" t="s">
        <v>5</v>
      </c>
      <c r="C954" t="s">
        <v>6</v>
      </c>
      <c r="D954" s="2">
        <v>45634</v>
      </c>
      <c r="E954">
        <f t="shared" si="14"/>
        <v>953</v>
      </c>
    </row>
    <row r="955" spans="1:5" x14ac:dyDescent="0.2">
      <c r="A955" t="s">
        <v>984</v>
      </c>
      <c r="B955" t="s">
        <v>5</v>
      </c>
      <c r="C955" t="s">
        <v>6</v>
      </c>
      <c r="D955" s="2">
        <v>45634</v>
      </c>
      <c r="E955">
        <f t="shared" si="14"/>
        <v>954</v>
      </c>
    </row>
    <row r="956" spans="1:5" x14ac:dyDescent="0.2">
      <c r="A956" t="s">
        <v>946</v>
      </c>
      <c r="B956" t="s">
        <v>5</v>
      </c>
      <c r="C956" t="s">
        <v>6</v>
      </c>
      <c r="D956" s="2">
        <v>45636</v>
      </c>
      <c r="E956">
        <f t="shared" si="14"/>
        <v>955</v>
      </c>
    </row>
    <row r="957" spans="1:5" x14ac:dyDescent="0.2">
      <c r="A957" t="s">
        <v>950</v>
      </c>
      <c r="B957" t="s">
        <v>5</v>
      </c>
      <c r="C957" t="s">
        <v>6</v>
      </c>
      <c r="D957" s="2">
        <v>45636</v>
      </c>
      <c r="E957">
        <f t="shared" si="14"/>
        <v>956</v>
      </c>
    </row>
    <row r="958" spans="1:5" x14ac:dyDescent="0.2">
      <c r="A958" t="s">
        <v>949</v>
      </c>
      <c r="B958" t="s">
        <v>5</v>
      </c>
      <c r="C958" t="s">
        <v>6</v>
      </c>
      <c r="D958" s="2">
        <v>45637</v>
      </c>
      <c r="E958">
        <f t="shared" si="14"/>
        <v>957</v>
      </c>
    </row>
    <row r="959" spans="1:5" x14ac:dyDescent="0.2">
      <c r="A959" t="s">
        <v>961</v>
      </c>
      <c r="B959" t="s">
        <v>5</v>
      </c>
      <c r="C959" t="s">
        <v>6</v>
      </c>
      <c r="D959" s="2">
        <v>45638</v>
      </c>
      <c r="E959">
        <f t="shared" si="14"/>
        <v>958</v>
      </c>
    </row>
    <row r="960" spans="1:5" x14ac:dyDescent="0.2">
      <c r="A960" t="s">
        <v>982</v>
      </c>
      <c r="B960" t="s">
        <v>5</v>
      </c>
      <c r="C960" t="s">
        <v>6</v>
      </c>
      <c r="D960" s="2">
        <v>45638</v>
      </c>
      <c r="E960">
        <f t="shared" si="14"/>
        <v>959</v>
      </c>
    </row>
    <row r="961" spans="1:5" x14ac:dyDescent="0.2">
      <c r="A961" t="s">
        <v>928</v>
      </c>
      <c r="B961" t="s">
        <v>5</v>
      </c>
      <c r="C961" t="s">
        <v>6</v>
      </c>
      <c r="D961" s="2">
        <v>45640</v>
      </c>
      <c r="E961">
        <f t="shared" si="14"/>
        <v>960</v>
      </c>
    </row>
    <row r="962" spans="1:5" x14ac:dyDescent="0.2">
      <c r="A962" t="s">
        <v>980</v>
      </c>
      <c r="B962" t="s">
        <v>5</v>
      </c>
      <c r="C962" t="s">
        <v>6</v>
      </c>
      <c r="D962" s="2">
        <v>45642</v>
      </c>
      <c r="E962">
        <f t="shared" si="14"/>
        <v>961</v>
      </c>
    </row>
    <row r="963" spans="1:5" x14ac:dyDescent="0.2">
      <c r="A963" t="s">
        <v>957</v>
      </c>
      <c r="B963" t="s">
        <v>5</v>
      </c>
      <c r="C963" t="s">
        <v>6</v>
      </c>
      <c r="D963" s="2">
        <v>45646</v>
      </c>
      <c r="E963">
        <f t="shared" si="14"/>
        <v>962</v>
      </c>
    </row>
    <row r="964" spans="1:5" x14ac:dyDescent="0.2">
      <c r="A964" t="s">
        <v>979</v>
      </c>
      <c r="B964" t="s">
        <v>5</v>
      </c>
      <c r="C964" t="s">
        <v>6</v>
      </c>
      <c r="D964" s="2">
        <v>45646</v>
      </c>
      <c r="E964">
        <f t="shared" ref="E964:E1001" si="15">E963+1</f>
        <v>963</v>
      </c>
    </row>
    <row r="965" spans="1:5" x14ac:dyDescent="0.2">
      <c r="A965" t="s">
        <v>973</v>
      </c>
      <c r="B965" t="s">
        <v>5</v>
      </c>
      <c r="C965" t="s">
        <v>6</v>
      </c>
      <c r="D965" s="2">
        <v>45648</v>
      </c>
      <c r="E965">
        <f t="shared" si="15"/>
        <v>964</v>
      </c>
    </row>
    <row r="966" spans="1:5" x14ac:dyDescent="0.2">
      <c r="A966" t="s">
        <v>959</v>
      </c>
      <c r="B966" t="s">
        <v>5</v>
      </c>
      <c r="C966" t="s">
        <v>6</v>
      </c>
      <c r="D966" s="2">
        <v>45650</v>
      </c>
      <c r="E966">
        <f t="shared" si="15"/>
        <v>965</v>
      </c>
    </row>
    <row r="967" spans="1:5" x14ac:dyDescent="0.2">
      <c r="A967" t="s">
        <v>976</v>
      </c>
      <c r="B967" t="s">
        <v>5</v>
      </c>
      <c r="C967" t="s">
        <v>6</v>
      </c>
      <c r="D967" s="2">
        <v>45650</v>
      </c>
      <c r="E967">
        <f t="shared" si="15"/>
        <v>966</v>
      </c>
    </row>
    <row r="968" spans="1:5" x14ac:dyDescent="0.2">
      <c r="A968" t="s">
        <v>977</v>
      </c>
      <c r="B968" t="s">
        <v>5</v>
      </c>
      <c r="C968" t="s">
        <v>6</v>
      </c>
      <c r="D968" s="2">
        <v>45650</v>
      </c>
      <c r="E968">
        <f t="shared" si="15"/>
        <v>967</v>
      </c>
    </row>
    <row r="969" spans="1:5" x14ac:dyDescent="0.2">
      <c r="A969" t="s">
        <v>978</v>
      </c>
      <c r="B969" t="s">
        <v>5</v>
      </c>
      <c r="C969" t="s">
        <v>6</v>
      </c>
      <c r="D969" s="2">
        <v>45650</v>
      </c>
      <c r="E969">
        <f t="shared" si="15"/>
        <v>968</v>
      </c>
    </row>
    <row r="970" spans="1:5" x14ac:dyDescent="0.2">
      <c r="A970" t="s">
        <v>963</v>
      </c>
      <c r="B970" t="s">
        <v>5</v>
      </c>
      <c r="C970" t="s">
        <v>6</v>
      </c>
      <c r="D970" s="2">
        <v>45652</v>
      </c>
      <c r="E970">
        <f t="shared" si="15"/>
        <v>969</v>
      </c>
    </row>
    <row r="971" spans="1:5" x14ac:dyDescent="0.2">
      <c r="A971" t="s">
        <v>983</v>
      </c>
      <c r="B971" t="s">
        <v>5</v>
      </c>
      <c r="C971" t="s">
        <v>6</v>
      </c>
      <c r="D971" s="2">
        <v>45654</v>
      </c>
      <c r="E971">
        <f t="shared" si="15"/>
        <v>970</v>
      </c>
    </row>
    <row r="972" spans="1:5" x14ac:dyDescent="0.2">
      <c r="A972" t="s">
        <v>986</v>
      </c>
      <c r="B972" t="s">
        <v>5</v>
      </c>
      <c r="C972" t="s">
        <v>6</v>
      </c>
      <c r="D972" s="2">
        <v>45655</v>
      </c>
      <c r="E972">
        <f t="shared" si="15"/>
        <v>971</v>
      </c>
    </row>
    <row r="973" spans="1:5" x14ac:dyDescent="0.2">
      <c r="A973" t="s">
        <v>966</v>
      </c>
      <c r="B973" t="s">
        <v>5</v>
      </c>
      <c r="C973" t="s">
        <v>6</v>
      </c>
      <c r="D973" s="2">
        <v>45656</v>
      </c>
      <c r="E973">
        <f t="shared" si="15"/>
        <v>972</v>
      </c>
    </row>
    <row r="974" spans="1:5" x14ac:dyDescent="0.2">
      <c r="A974" t="s">
        <v>936</v>
      </c>
      <c r="B974" t="s">
        <v>5</v>
      </c>
      <c r="C974" t="s">
        <v>6</v>
      </c>
      <c r="D974" s="2">
        <v>45658</v>
      </c>
      <c r="E974">
        <f t="shared" si="15"/>
        <v>973</v>
      </c>
    </row>
    <row r="975" spans="1:5" x14ac:dyDescent="0.2">
      <c r="A975" t="s">
        <v>985</v>
      </c>
      <c r="B975" t="s">
        <v>5</v>
      </c>
      <c r="C975" t="s">
        <v>6</v>
      </c>
      <c r="D975" s="2">
        <v>45659</v>
      </c>
      <c r="E975">
        <f t="shared" si="15"/>
        <v>974</v>
      </c>
    </row>
    <row r="976" spans="1:5" x14ac:dyDescent="0.2">
      <c r="A976" t="s">
        <v>988</v>
      </c>
      <c r="B976" t="s">
        <v>5</v>
      </c>
      <c r="C976" t="s">
        <v>6</v>
      </c>
      <c r="D976" s="2">
        <v>45664</v>
      </c>
      <c r="E976">
        <f t="shared" si="15"/>
        <v>975</v>
      </c>
    </row>
    <row r="977" spans="1:5" x14ac:dyDescent="0.2">
      <c r="A977" t="s">
        <v>992</v>
      </c>
      <c r="B977" t="s">
        <v>5</v>
      </c>
      <c r="C977" t="s">
        <v>6</v>
      </c>
      <c r="D977" s="2">
        <v>45664</v>
      </c>
      <c r="E977">
        <f t="shared" si="15"/>
        <v>976</v>
      </c>
    </row>
    <row r="978" spans="1:5" x14ac:dyDescent="0.2">
      <c r="A978" t="s">
        <v>987</v>
      </c>
      <c r="B978" t="s">
        <v>5</v>
      </c>
      <c r="C978" t="s">
        <v>6</v>
      </c>
      <c r="D978" s="2">
        <v>45665</v>
      </c>
      <c r="E978">
        <f t="shared" si="15"/>
        <v>977</v>
      </c>
    </row>
    <row r="979" spans="1:5" x14ac:dyDescent="0.2">
      <c r="A979" t="s">
        <v>989</v>
      </c>
      <c r="B979" t="s">
        <v>5</v>
      </c>
      <c r="C979" t="s">
        <v>6</v>
      </c>
      <c r="D979" s="2">
        <v>45665</v>
      </c>
      <c r="E979">
        <f t="shared" si="15"/>
        <v>978</v>
      </c>
    </row>
    <row r="980" spans="1:5" x14ac:dyDescent="0.2">
      <c r="A980" t="s">
        <v>993</v>
      </c>
      <c r="B980" t="s">
        <v>5</v>
      </c>
      <c r="C980" t="s">
        <v>6</v>
      </c>
      <c r="D980" s="2">
        <v>45666</v>
      </c>
      <c r="E980">
        <f t="shared" si="15"/>
        <v>979</v>
      </c>
    </row>
    <row r="981" spans="1:5" x14ac:dyDescent="0.2">
      <c r="A981" t="s">
        <v>991</v>
      </c>
      <c r="B981" t="s">
        <v>5</v>
      </c>
      <c r="C981" t="s">
        <v>6</v>
      </c>
      <c r="D981" s="2">
        <v>45670</v>
      </c>
      <c r="E981">
        <f t="shared" si="15"/>
        <v>980</v>
      </c>
    </row>
    <row r="982" spans="1:5" x14ac:dyDescent="0.2">
      <c r="A982" t="s">
        <v>990</v>
      </c>
      <c r="B982" t="s">
        <v>5</v>
      </c>
      <c r="C982" t="s">
        <v>6</v>
      </c>
      <c r="D982" s="2">
        <v>45675</v>
      </c>
      <c r="E982">
        <f t="shared" si="15"/>
        <v>981</v>
      </c>
    </row>
    <row r="983" spans="1:5" x14ac:dyDescent="0.2">
      <c r="A983" t="s">
        <v>998</v>
      </c>
      <c r="B983" t="s">
        <v>5</v>
      </c>
      <c r="C983" t="s">
        <v>6</v>
      </c>
      <c r="D983" s="2">
        <v>45683</v>
      </c>
      <c r="E983">
        <f t="shared" si="15"/>
        <v>982</v>
      </c>
    </row>
    <row r="984" spans="1:5" x14ac:dyDescent="0.2">
      <c r="A984" t="s">
        <v>994</v>
      </c>
      <c r="B984" t="s">
        <v>5</v>
      </c>
      <c r="C984" t="s">
        <v>6</v>
      </c>
      <c r="D984" s="2">
        <v>45685</v>
      </c>
      <c r="E984">
        <f t="shared" si="15"/>
        <v>983</v>
      </c>
    </row>
    <row r="985" spans="1:5" x14ac:dyDescent="0.2">
      <c r="A985" t="s">
        <v>1003</v>
      </c>
      <c r="B985" t="s">
        <v>7</v>
      </c>
      <c r="C985" t="s">
        <v>8</v>
      </c>
      <c r="D985" s="2">
        <v>45687</v>
      </c>
      <c r="E985">
        <f t="shared" si="15"/>
        <v>984</v>
      </c>
    </row>
    <row r="986" spans="1:5" x14ac:dyDescent="0.2">
      <c r="A986" t="s">
        <v>997</v>
      </c>
      <c r="B986" t="s">
        <v>5</v>
      </c>
      <c r="C986" t="s">
        <v>6</v>
      </c>
      <c r="D986" s="2">
        <v>45689</v>
      </c>
      <c r="E986">
        <f t="shared" si="15"/>
        <v>985</v>
      </c>
    </row>
    <row r="987" spans="1:5" x14ac:dyDescent="0.2">
      <c r="A987" t="s">
        <v>1000</v>
      </c>
      <c r="B987" t="s">
        <v>5</v>
      </c>
      <c r="C987" t="s">
        <v>6</v>
      </c>
      <c r="D987" s="2">
        <v>45691</v>
      </c>
      <c r="E987">
        <f t="shared" si="15"/>
        <v>986</v>
      </c>
    </row>
    <row r="988" spans="1:5" x14ac:dyDescent="0.2">
      <c r="A988" t="s">
        <v>999</v>
      </c>
      <c r="B988" t="s">
        <v>5</v>
      </c>
      <c r="C988" t="s">
        <v>6</v>
      </c>
      <c r="D988" s="2">
        <v>45692</v>
      </c>
      <c r="E988">
        <f t="shared" si="15"/>
        <v>987</v>
      </c>
    </row>
    <row r="989" spans="1:5" x14ac:dyDescent="0.2">
      <c r="A989" t="s">
        <v>995</v>
      </c>
      <c r="B989" t="s">
        <v>5</v>
      </c>
      <c r="C989" t="s">
        <v>6</v>
      </c>
      <c r="D989" s="2">
        <v>45694</v>
      </c>
      <c r="E989">
        <f t="shared" si="15"/>
        <v>988</v>
      </c>
    </row>
    <row r="990" spans="1:5" x14ac:dyDescent="0.2">
      <c r="A990" t="s">
        <v>1006</v>
      </c>
      <c r="B990" t="s">
        <v>5</v>
      </c>
      <c r="C990" t="s">
        <v>6</v>
      </c>
      <c r="D990" s="2">
        <v>45698</v>
      </c>
      <c r="E990">
        <f t="shared" si="15"/>
        <v>989</v>
      </c>
    </row>
    <row r="991" spans="1:5" x14ac:dyDescent="0.2">
      <c r="A991" t="s">
        <v>981</v>
      </c>
      <c r="B991" t="s">
        <v>5</v>
      </c>
      <c r="C991" t="s">
        <v>6</v>
      </c>
      <c r="D991" s="2">
        <v>45700</v>
      </c>
      <c r="E991">
        <f t="shared" si="15"/>
        <v>990</v>
      </c>
    </row>
    <row r="992" spans="1:5" x14ac:dyDescent="0.2">
      <c r="A992" t="s">
        <v>996</v>
      </c>
      <c r="B992" t="s">
        <v>5</v>
      </c>
      <c r="C992" t="s">
        <v>6</v>
      </c>
      <c r="D992" s="2">
        <v>45702</v>
      </c>
      <c r="E992">
        <f t="shared" si="15"/>
        <v>991</v>
      </c>
    </row>
    <row r="993" spans="1:5" x14ac:dyDescent="0.2">
      <c r="A993" t="s">
        <v>1001</v>
      </c>
      <c r="B993" t="s">
        <v>5</v>
      </c>
      <c r="C993" t="s">
        <v>6</v>
      </c>
      <c r="D993" s="2">
        <v>45702</v>
      </c>
      <c r="E993">
        <f t="shared" si="15"/>
        <v>992</v>
      </c>
    </row>
    <row r="994" spans="1:5" x14ac:dyDescent="0.2">
      <c r="A994" t="s">
        <v>1002</v>
      </c>
      <c r="B994" t="s">
        <v>5</v>
      </c>
      <c r="C994" t="s">
        <v>6</v>
      </c>
      <c r="D994" s="2">
        <v>45706</v>
      </c>
      <c r="E994">
        <f t="shared" si="15"/>
        <v>993</v>
      </c>
    </row>
    <row r="995" spans="1:5" x14ac:dyDescent="0.2">
      <c r="A995" t="s">
        <v>1004</v>
      </c>
      <c r="B995" t="s">
        <v>5</v>
      </c>
      <c r="C995" t="s">
        <v>6</v>
      </c>
      <c r="D995" s="2">
        <v>45706</v>
      </c>
      <c r="E995">
        <f t="shared" si="15"/>
        <v>994</v>
      </c>
    </row>
    <row r="996" spans="1:5" x14ac:dyDescent="0.2">
      <c r="A996" t="s">
        <v>1005</v>
      </c>
      <c r="B996" t="s">
        <v>5</v>
      </c>
      <c r="C996" t="s">
        <v>6</v>
      </c>
      <c r="D996" s="2">
        <v>45708</v>
      </c>
      <c r="E996">
        <f t="shared" si="15"/>
        <v>995</v>
      </c>
    </row>
    <row r="997" spans="1:5" x14ac:dyDescent="0.2">
      <c r="A997" t="s">
        <v>1008</v>
      </c>
      <c r="B997" t="s">
        <v>5</v>
      </c>
      <c r="C997" t="s">
        <v>6</v>
      </c>
      <c r="D997" s="2">
        <v>45709</v>
      </c>
      <c r="E997">
        <f t="shared" si="15"/>
        <v>996</v>
      </c>
    </row>
    <row r="998" spans="1:5" x14ac:dyDescent="0.2">
      <c r="A998" t="s">
        <v>1007</v>
      </c>
      <c r="B998" t="s">
        <v>5</v>
      </c>
      <c r="C998" t="s">
        <v>6</v>
      </c>
      <c r="D998" s="2">
        <v>45732</v>
      </c>
      <c r="E998">
        <f t="shared" si="15"/>
        <v>997</v>
      </c>
    </row>
    <row r="999" spans="1:5" x14ac:dyDescent="0.2">
      <c r="A999" t="s">
        <v>1010</v>
      </c>
      <c r="B999" t="s">
        <v>5</v>
      </c>
      <c r="C999" t="s">
        <v>6</v>
      </c>
      <c r="D999" s="2">
        <v>45738</v>
      </c>
      <c r="E999">
        <f t="shared" si="15"/>
        <v>998</v>
      </c>
    </row>
    <row r="1000" spans="1:5" x14ac:dyDescent="0.2">
      <c r="A1000" t="s">
        <v>1009</v>
      </c>
      <c r="B1000" t="s">
        <v>5</v>
      </c>
      <c r="C1000" t="s">
        <v>6</v>
      </c>
      <c r="D1000" s="2">
        <v>45746</v>
      </c>
      <c r="E1000">
        <f t="shared" si="15"/>
        <v>999</v>
      </c>
    </row>
    <row r="1001" spans="1:5" x14ac:dyDescent="0.2">
      <c r="A1001" t="s">
        <v>1011</v>
      </c>
      <c r="B1001" t="s">
        <v>5</v>
      </c>
      <c r="C1001" t="s">
        <v>6</v>
      </c>
      <c r="D1001" s="2">
        <v>45772</v>
      </c>
      <c r="E1001">
        <f t="shared" si="15"/>
        <v>1000</v>
      </c>
    </row>
  </sheetData>
  <autoFilter ref="A1:E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92D7-AECC-5B45-89D1-9BCE6393434F}">
  <sheetPr filterMode="1"/>
  <dimension ref="A1:P550"/>
  <sheetViews>
    <sheetView tabSelected="1" workbookViewId="0">
      <selection activeCell="D555" sqref="D555"/>
    </sheetView>
  </sheetViews>
  <sheetFormatPr baseColWidth="10" defaultRowHeight="15" x14ac:dyDescent="0.2"/>
  <cols>
    <col min="1" max="1" width="8.33203125" bestFit="1" customWidth="1"/>
    <col min="2" max="2" width="8.83203125" bestFit="1" customWidth="1"/>
    <col min="3" max="3" width="18" bestFit="1" customWidth="1"/>
    <col min="4" max="4" width="11.6640625" bestFit="1" customWidth="1"/>
    <col min="5" max="5" width="9.1640625" bestFit="1" customWidth="1"/>
    <col min="6" max="6" width="11.33203125" bestFit="1" customWidth="1"/>
    <col min="7" max="7" width="11.33203125" customWidth="1"/>
    <col min="8" max="8" width="9.1640625" bestFit="1" customWidth="1"/>
    <col min="9" max="9" width="11.33203125" bestFit="1" customWidth="1"/>
    <col min="10" max="10" width="11.33203125" customWidth="1"/>
    <col min="11" max="11" width="9.1640625" bestFit="1" customWidth="1"/>
    <col min="12" max="12" width="11.33203125" bestFit="1" customWidth="1"/>
    <col min="13" max="13" width="11.33203125" customWidth="1"/>
    <col min="14" max="14" width="9.1640625" bestFit="1" customWidth="1"/>
    <col min="15" max="15" width="11.33203125" bestFit="1" customWidth="1"/>
  </cols>
  <sheetData>
    <row r="1" spans="1:16" x14ac:dyDescent="0.2">
      <c r="E1" s="12" t="s">
        <v>6</v>
      </c>
      <c r="F1" s="13"/>
      <c r="G1" s="14"/>
      <c r="H1" s="12" t="s">
        <v>8</v>
      </c>
      <c r="I1" s="13"/>
      <c r="J1" s="14"/>
      <c r="K1" s="12" t="s">
        <v>10</v>
      </c>
      <c r="L1" s="13"/>
      <c r="M1" s="14"/>
      <c r="N1" s="22" t="s">
        <v>12</v>
      </c>
      <c r="O1" s="23"/>
      <c r="P1" s="24"/>
    </row>
    <row r="2" spans="1:16" x14ac:dyDescent="0.2">
      <c r="A2" s="8" t="s">
        <v>1012</v>
      </c>
      <c r="B2" s="8" t="s">
        <v>1016</v>
      </c>
      <c r="C2" s="9" t="s">
        <v>3</v>
      </c>
      <c r="D2" s="10" t="s">
        <v>1013</v>
      </c>
      <c r="E2" s="15" t="s">
        <v>0</v>
      </c>
      <c r="F2" s="8" t="s">
        <v>1014</v>
      </c>
      <c r="G2" s="16" t="s">
        <v>1015</v>
      </c>
      <c r="H2" s="15" t="s">
        <v>0</v>
      </c>
      <c r="I2" s="8" t="s">
        <v>1014</v>
      </c>
      <c r="J2" s="16" t="s">
        <v>1015</v>
      </c>
      <c r="K2" s="15" t="s">
        <v>0</v>
      </c>
      <c r="L2" s="8" t="s">
        <v>1014</v>
      </c>
      <c r="M2" s="16" t="s">
        <v>1015</v>
      </c>
      <c r="N2" s="15" t="s">
        <v>0</v>
      </c>
      <c r="O2" s="8" t="s">
        <v>1014</v>
      </c>
      <c r="P2" s="16" t="s">
        <v>1015</v>
      </c>
    </row>
    <row r="3" spans="1:16" x14ac:dyDescent="0.2">
      <c r="A3" s="4">
        <v>1</v>
      </c>
      <c r="B3" s="25">
        <f t="shared" ref="B3:B67" si="0">_xlfn.ISOWEEKNUM(C3)</f>
        <v>44</v>
      </c>
      <c r="C3" s="5">
        <v>45231</v>
      </c>
      <c r="D3" s="11" t="str">
        <f>_xlfn.CONCAT("{",TEXT(C3,"aaaa-mm-dd"),"},")</f>
        <v>{2023-11-01},</v>
      </c>
      <c r="E3" s="17">
        <f>COUNTIFS(Sheet1!$C:$C,Feuil1!E$1,Sheet1!$D:$D,Feuil1!$C3)</f>
        <v>0</v>
      </c>
      <c r="F3" s="6">
        <f>E3</f>
        <v>0</v>
      </c>
      <c r="G3" s="18" t="str">
        <f>_xlfn.CONCAT("(",$A3,",",F3,")")</f>
        <v>(1,0)</v>
      </c>
      <c r="H3" s="17">
        <f>COUNTIFS(Sheet1!$C:$C,Feuil1!H$1,Sheet1!$D:$D,Feuil1!$C3)</f>
        <v>0</v>
      </c>
      <c r="I3" s="6">
        <f>H3</f>
        <v>0</v>
      </c>
      <c r="J3" s="18" t="str">
        <f t="shared" ref="J3:J66" si="1">_xlfn.CONCAT("(",$A3,",",I3,")")</f>
        <v>(1,0)</v>
      </c>
      <c r="K3" s="17">
        <f>COUNTIFS(Sheet1!$C:$C,Feuil1!K$1,Sheet1!$D:$D,Feuil1!$C3)</f>
        <v>0</v>
      </c>
      <c r="L3" s="6">
        <f>K3</f>
        <v>0</v>
      </c>
      <c r="M3" s="18" t="str">
        <f t="shared" ref="M3:M66" si="2">_xlfn.CONCAT("(",$A3,",",L3,")")</f>
        <v>(1,0)</v>
      </c>
      <c r="N3" s="17">
        <f>COUNTIFS(Sheet1!$C:$C,Feuil1!N$1,Sheet1!$D:$D,Feuil1!$C3)</f>
        <v>0</v>
      </c>
      <c r="O3" s="6">
        <f>N3</f>
        <v>0</v>
      </c>
      <c r="P3" s="18" t="str">
        <f t="shared" ref="P3:P66" si="3">_xlfn.CONCAT("(",$A3,",",O3,")")</f>
        <v>(1,0)</v>
      </c>
    </row>
    <row r="4" spans="1:16" hidden="1" x14ac:dyDescent="0.2">
      <c r="A4" s="4">
        <f>A3+1</f>
        <v>2</v>
      </c>
      <c r="B4" s="26">
        <f t="shared" si="0"/>
        <v>44</v>
      </c>
      <c r="C4" s="7">
        <f>C3+1</f>
        <v>45232</v>
      </c>
      <c r="D4" s="11" t="str">
        <f t="shared" ref="D4:D67" si="4">_xlfn.CONCAT("{",TEXT(C4,"aaaa-mm-dd"),"},")</f>
        <v>{2023-11-02},</v>
      </c>
      <c r="E4" s="17">
        <f>COUNTIFS(Sheet1!$C:$C,Feuil1!E$1,Sheet1!$D:$D,Feuil1!$C4)</f>
        <v>0</v>
      </c>
      <c r="F4" s="6">
        <f>F3+E4</f>
        <v>0</v>
      </c>
      <c r="G4" s="18" t="str">
        <f t="shared" ref="G4:G67" si="5">_xlfn.CONCAT("(",$A4,",",F4,")")</f>
        <v>(2,0)</v>
      </c>
      <c r="H4" s="17">
        <f>COUNTIFS(Sheet1!$C:$C,Feuil1!H$1,Sheet1!$D:$D,Feuil1!$C4)</f>
        <v>0</v>
      </c>
      <c r="I4" s="6">
        <f t="shared" ref="I4:I67" si="6">I3+H4</f>
        <v>0</v>
      </c>
      <c r="J4" s="18" t="str">
        <f t="shared" si="1"/>
        <v>(2,0)</v>
      </c>
      <c r="K4" s="17">
        <f>COUNTIFS(Sheet1!$C:$C,Feuil1!K$1,Sheet1!$D:$D,Feuil1!$C4)</f>
        <v>0</v>
      </c>
      <c r="L4" s="6">
        <f t="shared" ref="L4:L67" si="7">L3+K4</f>
        <v>0</v>
      </c>
      <c r="M4" s="18" t="str">
        <f t="shared" si="2"/>
        <v>(2,0)</v>
      </c>
      <c r="N4" s="17">
        <f>COUNTIFS(Sheet1!$C:$C,Feuil1!N$1,Sheet1!$D:$D,Feuil1!$C4)</f>
        <v>0</v>
      </c>
      <c r="O4" s="6">
        <f t="shared" ref="O4:O67" si="8">O3+N4</f>
        <v>0</v>
      </c>
      <c r="P4" s="18" t="str">
        <f t="shared" si="3"/>
        <v>(2,0)</v>
      </c>
    </row>
    <row r="5" spans="1:16" hidden="1" x14ac:dyDescent="0.2">
      <c r="A5" s="4">
        <f t="shared" ref="A5:A68" si="9">A4+1</f>
        <v>3</v>
      </c>
      <c r="B5" s="26">
        <f t="shared" si="0"/>
        <v>44</v>
      </c>
      <c r="C5" s="7">
        <f t="shared" ref="C5:C68" si="10">C4+1</f>
        <v>45233</v>
      </c>
      <c r="D5" s="11" t="str">
        <f t="shared" si="4"/>
        <v>{2023-11-03},</v>
      </c>
      <c r="E5" s="17">
        <f>COUNTIFS(Sheet1!$C:$C,Feuil1!E$1,Sheet1!$D:$D,Feuil1!$C5)</f>
        <v>0</v>
      </c>
      <c r="F5" s="6">
        <f t="shared" ref="F5:F68" si="11">F4+E5</f>
        <v>0</v>
      </c>
      <c r="G5" s="18" t="str">
        <f t="shared" si="5"/>
        <v>(3,0)</v>
      </c>
      <c r="H5" s="17">
        <f>COUNTIFS(Sheet1!$C:$C,Feuil1!H$1,Sheet1!$D:$D,Feuil1!$C5)</f>
        <v>0</v>
      </c>
      <c r="I5" s="6">
        <f t="shared" si="6"/>
        <v>0</v>
      </c>
      <c r="J5" s="18" t="str">
        <f t="shared" si="1"/>
        <v>(3,0)</v>
      </c>
      <c r="K5" s="17">
        <f>COUNTIFS(Sheet1!$C:$C,Feuil1!K$1,Sheet1!$D:$D,Feuil1!$C5)</f>
        <v>0</v>
      </c>
      <c r="L5" s="6">
        <f t="shared" si="7"/>
        <v>0</v>
      </c>
      <c r="M5" s="18" t="str">
        <f t="shared" si="2"/>
        <v>(3,0)</v>
      </c>
      <c r="N5" s="17">
        <f>COUNTIFS(Sheet1!$C:$C,Feuil1!N$1,Sheet1!$D:$D,Feuil1!$C5)</f>
        <v>0</v>
      </c>
      <c r="O5" s="6">
        <f t="shared" si="8"/>
        <v>0</v>
      </c>
      <c r="P5" s="18" t="str">
        <f t="shared" si="3"/>
        <v>(3,0)</v>
      </c>
    </row>
    <row r="6" spans="1:16" hidden="1" x14ac:dyDescent="0.2">
      <c r="A6" s="4">
        <f t="shared" si="9"/>
        <v>4</v>
      </c>
      <c r="B6" s="26">
        <f t="shared" si="0"/>
        <v>44</v>
      </c>
      <c r="C6" s="7">
        <f t="shared" si="10"/>
        <v>45234</v>
      </c>
      <c r="D6" s="11" t="str">
        <f t="shared" si="4"/>
        <v>{2023-11-04},</v>
      </c>
      <c r="E6" s="17">
        <f>COUNTIFS(Sheet1!$C:$C,Feuil1!E$1,Sheet1!$D:$D,Feuil1!$C6)</f>
        <v>0</v>
      </c>
      <c r="F6" s="6">
        <f t="shared" si="11"/>
        <v>0</v>
      </c>
      <c r="G6" s="18" t="str">
        <f t="shared" si="5"/>
        <v>(4,0)</v>
      </c>
      <c r="H6" s="17">
        <f>COUNTIFS(Sheet1!$C:$C,Feuil1!H$1,Sheet1!$D:$D,Feuil1!$C6)</f>
        <v>0</v>
      </c>
      <c r="I6" s="6">
        <f t="shared" si="6"/>
        <v>0</v>
      </c>
      <c r="J6" s="18" t="str">
        <f t="shared" si="1"/>
        <v>(4,0)</v>
      </c>
      <c r="K6" s="17">
        <f>COUNTIFS(Sheet1!$C:$C,Feuil1!K$1,Sheet1!$D:$D,Feuil1!$C6)</f>
        <v>0</v>
      </c>
      <c r="L6" s="6">
        <f t="shared" si="7"/>
        <v>0</v>
      </c>
      <c r="M6" s="18" t="str">
        <f t="shared" si="2"/>
        <v>(4,0)</v>
      </c>
      <c r="N6" s="17">
        <f>COUNTIFS(Sheet1!$C:$C,Feuil1!N$1,Sheet1!$D:$D,Feuil1!$C6)</f>
        <v>0</v>
      </c>
      <c r="O6" s="6">
        <f t="shared" si="8"/>
        <v>0</v>
      </c>
      <c r="P6" s="18" t="str">
        <f t="shared" si="3"/>
        <v>(4,0)</v>
      </c>
    </row>
    <row r="7" spans="1:16" hidden="1" x14ac:dyDescent="0.2">
      <c r="A7" s="4">
        <f t="shared" si="9"/>
        <v>5</v>
      </c>
      <c r="B7" s="26">
        <f t="shared" si="0"/>
        <v>44</v>
      </c>
      <c r="C7" s="7">
        <f t="shared" si="10"/>
        <v>45235</v>
      </c>
      <c r="D7" s="11" t="str">
        <f t="shared" si="4"/>
        <v>{2023-11-05},</v>
      </c>
      <c r="E7" s="17">
        <f>COUNTIFS(Sheet1!$C:$C,Feuil1!E$1,Sheet1!$D:$D,Feuil1!$C7)</f>
        <v>0</v>
      </c>
      <c r="F7" s="6">
        <f t="shared" si="11"/>
        <v>0</v>
      </c>
      <c r="G7" s="18" t="str">
        <f t="shared" si="5"/>
        <v>(5,0)</v>
      </c>
      <c r="H7" s="17">
        <f>COUNTIFS(Sheet1!$C:$C,Feuil1!H$1,Sheet1!$D:$D,Feuil1!$C7)</f>
        <v>0</v>
      </c>
      <c r="I7" s="6">
        <f t="shared" si="6"/>
        <v>0</v>
      </c>
      <c r="J7" s="18" t="str">
        <f t="shared" si="1"/>
        <v>(5,0)</v>
      </c>
      <c r="K7" s="17">
        <f>COUNTIFS(Sheet1!$C:$C,Feuil1!K$1,Sheet1!$D:$D,Feuil1!$C7)</f>
        <v>0</v>
      </c>
      <c r="L7" s="6">
        <f t="shared" si="7"/>
        <v>0</v>
      </c>
      <c r="M7" s="18" t="str">
        <f t="shared" si="2"/>
        <v>(5,0)</v>
      </c>
      <c r="N7" s="17">
        <f>COUNTIFS(Sheet1!$C:$C,Feuil1!N$1,Sheet1!$D:$D,Feuil1!$C7)</f>
        <v>0</v>
      </c>
      <c r="O7" s="6">
        <f t="shared" si="8"/>
        <v>0</v>
      </c>
      <c r="P7" s="18" t="str">
        <f t="shared" si="3"/>
        <v>(5,0)</v>
      </c>
    </row>
    <row r="8" spans="1:16" x14ac:dyDescent="0.2">
      <c r="A8" s="4">
        <f t="shared" si="9"/>
        <v>6</v>
      </c>
      <c r="B8" s="25">
        <f t="shared" si="0"/>
        <v>45</v>
      </c>
      <c r="C8" s="7">
        <f t="shared" si="10"/>
        <v>45236</v>
      </c>
      <c r="D8" s="11" t="str">
        <f t="shared" si="4"/>
        <v>{2023-11-06},</v>
      </c>
      <c r="E8" s="17">
        <f>COUNTIFS(Sheet1!$C:$C,Feuil1!E$1,Sheet1!$D:$D,Feuil1!$C8)</f>
        <v>0</v>
      </c>
      <c r="F8" s="6">
        <f t="shared" si="11"/>
        <v>0</v>
      </c>
      <c r="G8" s="18" t="str">
        <f t="shared" si="5"/>
        <v>(6,0)</v>
      </c>
      <c r="H8" s="17">
        <f>COUNTIFS(Sheet1!$C:$C,Feuil1!H$1,Sheet1!$D:$D,Feuil1!$C8)</f>
        <v>0</v>
      </c>
      <c r="I8" s="6">
        <f t="shared" si="6"/>
        <v>0</v>
      </c>
      <c r="J8" s="18" t="str">
        <f t="shared" si="1"/>
        <v>(6,0)</v>
      </c>
      <c r="K8" s="17">
        <f>COUNTIFS(Sheet1!$C:$C,Feuil1!K$1,Sheet1!$D:$D,Feuil1!$C8)</f>
        <v>0</v>
      </c>
      <c r="L8" s="6">
        <f t="shared" si="7"/>
        <v>0</v>
      </c>
      <c r="M8" s="18" t="str">
        <f t="shared" si="2"/>
        <v>(6,0)</v>
      </c>
      <c r="N8" s="17">
        <f>COUNTIFS(Sheet1!$C:$C,Feuil1!N$1,Sheet1!$D:$D,Feuil1!$C8)</f>
        <v>0</v>
      </c>
      <c r="O8" s="6">
        <f t="shared" si="8"/>
        <v>0</v>
      </c>
      <c r="P8" s="18" t="str">
        <f t="shared" si="3"/>
        <v>(6,0)</v>
      </c>
    </row>
    <row r="9" spans="1:16" hidden="1" x14ac:dyDescent="0.2">
      <c r="A9" s="4">
        <f t="shared" si="9"/>
        <v>7</v>
      </c>
      <c r="B9" s="26">
        <f t="shared" si="0"/>
        <v>45</v>
      </c>
      <c r="C9" s="7">
        <f t="shared" si="10"/>
        <v>45237</v>
      </c>
      <c r="D9" s="11" t="str">
        <f t="shared" si="4"/>
        <v>{2023-11-07},</v>
      </c>
      <c r="E9" s="17">
        <f>COUNTIFS(Sheet1!$C:$C,Feuil1!E$1,Sheet1!$D:$D,Feuil1!$C9)</f>
        <v>0</v>
      </c>
      <c r="F9" s="6">
        <f t="shared" si="11"/>
        <v>0</v>
      </c>
      <c r="G9" s="18" t="str">
        <f t="shared" si="5"/>
        <v>(7,0)</v>
      </c>
      <c r="H9" s="17">
        <f>COUNTIFS(Sheet1!$C:$C,Feuil1!H$1,Sheet1!$D:$D,Feuil1!$C9)</f>
        <v>0</v>
      </c>
      <c r="I9" s="6">
        <f t="shared" si="6"/>
        <v>0</v>
      </c>
      <c r="J9" s="18" t="str">
        <f t="shared" si="1"/>
        <v>(7,0)</v>
      </c>
      <c r="K9" s="17">
        <f>COUNTIFS(Sheet1!$C:$C,Feuil1!K$1,Sheet1!$D:$D,Feuil1!$C9)</f>
        <v>0</v>
      </c>
      <c r="L9" s="6">
        <f t="shared" si="7"/>
        <v>0</v>
      </c>
      <c r="M9" s="18" t="str">
        <f t="shared" si="2"/>
        <v>(7,0)</v>
      </c>
      <c r="N9" s="17">
        <f>COUNTIFS(Sheet1!$C:$C,Feuil1!N$1,Sheet1!$D:$D,Feuil1!$C9)</f>
        <v>0</v>
      </c>
      <c r="O9" s="6">
        <f t="shared" si="8"/>
        <v>0</v>
      </c>
      <c r="P9" s="18" t="str">
        <f t="shared" si="3"/>
        <v>(7,0)</v>
      </c>
    </row>
    <row r="10" spans="1:16" hidden="1" x14ac:dyDescent="0.2">
      <c r="A10" s="4">
        <f t="shared" si="9"/>
        <v>8</v>
      </c>
      <c r="B10" s="26">
        <f t="shared" si="0"/>
        <v>45</v>
      </c>
      <c r="C10" s="7">
        <f t="shared" si="10"/>
        <v>45238</v>
      </c>
      <c r="D10" s="11" t="str">
        <f t="shared" si="4"/>
        <v>{2023-11-08},</v>
      </c>
      <c r="E10" s="17">
        <f>COUNTIFS(Sheet1!$C:$C,Feuil1!E$1,Sheet1!$D:$D,Feuil1!$C10)</f>
        <v>0</v>
      </c>
      <c r="F10" s="6">
        <f t="shared" si="11"/>
        <v>0</v>
      </c>
      <c r="G10" s="18" t="str">
        <f t="shared" si="5"/>
        <v>(8,0)</v>
      </c>
      <c r="H10" s="17">
        <f>COUNTIFS(Sheet1!$C:$C,Feuil1!H$1,Sheet1!$D:$D,Feuil1!$C10)</f>
        <v>0</v>
      </c>
      <c r="I10" s="6">
        <f t="shared" si="6"/>
        <v>0</v>
      </c>
      <c r="J10" s="18" t="str">
        <f t="shared" si="1"/>
        <v>(8,0)</v>
      </c>
      <c r="K10" s="17">
        <f>COUNTIFS(Sheet1!$C:$C,Feuil1!K$1,Sheet1!$D:$D,Feuil1!$C10)</f>
        <v>0</v>
      </c>
      <c r="L10" s="6">
        <f t="shared" si="7"/>
        <v>0</v>
      </c>
      <c r="M10" s="18" t="str">
        <f t="shared" si="2"/>
        <v>(8,0)</v>
      </c>
      <c r="N10" s="17">
        <f>COUNTIFS(Sheet1!$C:$C,Feuil1!N$1,Sheet1!$D:$D,Feuil1!$C10)</f>
        <v>0</v>
      </c>
      <c r="O10" s="6">
        <f t="shared" si="8"/>
        <v>0</v>
      </c>
      <c r="P10" s="18" t="str">
        <f t="shared" si="3"/>
        <v>(8,0)</v>
      </c>
    </row>
    <row r="11" spans="1:16" hidden="1" x14ac:dyDescent="0.2">
      <c r="A11" s="4">
        <f t="shared" si="9"/>
        <v>9</v>
      </c>
      <c r="B11" s="26">
        <f t="shared" si="0"/>
        <v>45</v>
      </c>
      <c r="C11" s="7">
        <f t="shared" si="10"/>
        <v>45239</v>
      </c>
      <c r="D11" s="11" t="str">
        <f t="shared" si="4"/>
        <v>{2023-11-09},</v>
      </c>
      <c r="E11" s="17">
        <f>COUNTIFS(Sheet1!$C:$C,Feuil1!E$1,Sheet1!$D:$D,Feuil1!$C11)</f>
        <v>1</v>
      </c>
      <c r="F11" s="6">
        <f t="shared" si="11"/>
        <v>1</v>
      </c>
      <c r="G11" s="18" t="str">
        <f t="shared" si="5"/>
        <v>(9,1)</v>
      </c>
      <c r="H11" s="17">
        <f>COUNTIFS(Sheet1!$C:$C,Feuil1!H$1,Sheet1!$D:$D,Feuil1!$C11)</f>
        <v>0</v>
      </c>
      <c r="I11" s="6">
        <f t="shared" si="6"/>
        <v>0</v>
      </c>
      <c r="J11" s="18" t="str">
        <f t="shared" si="1"/>
        <v>(9,0)</v>
      </c>
      <c r="K11" s="17">
        <f>COUNTIFS(Sheet1!$C:$C,Feuil1!K$1,Sheet1!$D:$D,Feuil1!$C11)</f>
        <v>0</v>
      </c>
      <c r="L11" s="6">
        <f t="shared" si="7"/>
        <v>0</v>
      </c>
      <c r="M11" s="18" t="str">
        <f t="shared" si="2"/>
        <v>(9,0)</v>
      </c>
      <c r="N11" s="17">
        <f>COUNTIFS(Sheet1!$C:$C,Feuil1!N$1,Sheet1!$D:$D,Feuil1!$C11)</f>
        <v>0</v>
      </c>
      <c r="O11" s="6">
        <f t="shared" si="8"/>
        <v>0</v>
      </c>
      <c r="P11" s="18" t="str">
        <f t="shared" si="3"/>
        <v>(9,0)</v>
      </c>
    </row>
    <row r="12" spans="1:16" hidden="1" x14ac:dyDescent="0.2">
      <c r="A12" s="4">
        <f t="shared" si="9"/>
        <v>10</v>
      </c>
      <c r="B12" s="26">
        <f t="shared" si="0"/>
        <v>45</v>
      </c>
      <c r="C12" s="7">
        <f t="shared" si="10"/>
        <v>45240</v>
      </c>
      <c r="D12" s="11" t="str">
        <f t="shared" si="4"/>
        <v>{2023-11-10},</v>
      </c>
      <c r="E12" s="17">
        <f>COUNTIFS(Sheet1!$C:$C,Feuil1!E$1,Sheet1!$D:$D,Feuil1!$C12)</f>
        <v>0</v>
      </c>
      <c r="F12" s="6">
        <f t="shared" si="11"/>
        <v>1</v>
      </c>
      <c r="G12" s="18" t="str">
        <f t="shared" si="5"/>
        <v>(10,1)</v>
      </c>
      <c r="H12" s="17">
        <f>COUNTIFS(Sheet1!$C:$C,Feuil1!H$1,Sheet1!$D:$D,Feuil1!$C12)</f>
        <v>0</v>
      </c>
      <c r="I12" s="6">
        <f t="shared" si="6"/>
        <v>0</v>
      </c>
      <c r="J12" s="18" t="str">
        <f t="shared" si="1"/>
        <v>(10,0)</v>
      </c>
      <c r="K12" s="17">
        <f>COUNTIFS(Sheet1!$C:$C,Feuil1!K$1,Sheet1!$D:$D,Feuil1!$C12)</f>
        <v>0</v>
      </c>
      <c r="L12" s="6">
        <f t="shared" si="7"/>
        <v>0</v>
      </c>
      <c r="M12" s="18" t="str">
        <f t="shared" si="2"/>
        <v>(10,0)</v>
      </c>
      <c r="N12" s="17">
        <f>COUNTIFS(Sheet1!$C:$C,Feuil1!N$1,Sheet1!$D:$D,Feuil1!$C12)</f>
        <v>0</v>
      </c>
      <c r="O12" s="6">
        <f t="shared" si="8"/>
        <v>0</v>
      </c>
      <c r="P12" s="18" t="str">
        <f t="shared" si="3"/>
        <v>(10,0)</v>
      </c>
    </row>
    <row r="13" spans="1:16" hidden="1" x14ac:dyDescent="0.2">
      <c r="A13" s="4">
        <f t="shared" si="9"/>
        <v>11</v>
      </c>
      <c r="B13" s="26">
        <f t="shared" si="0"/>
        <v>45</v>
      </c>
      <c r="C13" s="7">
        <f t="shared" si="10"/>
        <v>45241</v>
      </c>
      <c r="D13" s="11" t="str">
        <f t="shared" si="4"/>
        <v>{2023-11-11},</v>
      </c>
      <c r="E13" s="17">
        <f>COUNTIFS(Sheet1!$C:$C,Feuil1!E$1,Sheet1!$D:$D,Feuil1!$C13)</f>
        <v>0</v>
      </c>
      <c r="F13" s="6">
        <f t="shared" si="11"/>
        <v>1</v>
      </c>
      <c r="G13" s="18" t="str">
        <f t="shared" si="5"/>
        <v>(11,1)</v>
      </c>
      <c r="H13" s="17">
        <f>COUNTIFS(Sheet1!$C:$C,Feuil1!H$1,Sheet1!$D:$D,Feuil1!$C13)</f>
        <v>0</v>
      </c>
      <c r="I13" s="6">
        <f t="shared" si="6"/>
        <v>0</v>
      </c>
      <c r="J13" s="18" t="str">
        <f t="shared" si="1"/>
        <v>(11,0)</v>
      </c>
      <c r="K13" s="17">
        <f>COUNTIFS(Sheet1!$C:$C,Feuil1!K$1,Sheet1!$D:$D,Feuil1!$C13)</f>
        <v>0</v>
      </c>
      <c r="L13" s="6">
        <f t="shared" si="7"/>
        <v>0</v>
      </c>
      <c r="M13" s="18" t="str">
        <f t="shared" si="2"/>
        <v>(11,0)</v>
      </c>
      <c r="N13" s="17">
        <f>COUNTIFS(Sheet1!$C:$C,Feuil1!N$1,Sheet1!$D:$D,Feuil1!$C13)</f>
        <v>0</v>
      </c>
      <c r="O13" s="6">
        <f t="shared" si="8"/>
        <v>0</v>
      </c>
      <c r="P13" s="18" t="str">
        <f t="shared" si="3"/>
        <v>(11,0)</v>
      </c>
    </row>
    <row r="14" spans="1:16" hidden="1" x14ac:dyDescent="0.2">
      <c r="A14" s="4">
        <f t="shared" si="9"/>
        <v>12</v>
      </c>
      <c r="B14" s="26">
        <f t="shared" si="0"/>
        <v>45</v>
      </c>
      <c r="C14" s="7">
        <f t="shared" si="10"/>
        <v>45242</v>
      </c>
      <c r="D14" s="11" t="str">
        <f t="shared" si="4"/>
        <v>{2023-11-12},</v>
      </c>
      <c r="E14" s="17">
        <f>COUNTIFS(Sheet1!$C:$C,Feuil1!E$1,Sheet1!$D:$D,Feuil1!$C14)</f>
        <v>0</v>
      </c>
      <c r="F14" s="6">
        <f t="shared" si="11"/>
        <v>1</v>
      </c>
      <c r="G14" s="18" t="str">
        <f t="shared" si="5"/>
        <v>(12,1)</v>
      </c>
      <c r="H14" s="17">
        <f>COUNTIFS(Sheet1!$C:$C,Feuil1!H$1,Sheet1!$D:$D,Feuil1!$C14)</f>
        <v>0</v>
      </c>
      <c r="I14" s="6">
        <f t="shared" si="6"/>
        <v>0</v>
      </c>
      <c r="J14" s="18" t="str">
        <f t="shared" si="1"/>
        <v>(12,0)</v>
      </c>
      <c r="K14" s="17">
        <f>COUNTIFS(Sheet1!$C:$C,Feuil1!K$1,Sheet1!$D:$D,Feuil1!$C14)</f>
        <v>0</v>
      </c>
      <c r="L14" s="6">
        <f t="shared" si="7"/>
        <v>0</v>
      </c>
      <c r="M14" s="18" t="str">
        <f t="shared" si="2"/>
        <v>(12,0)</v>
      </c>
      <c r="N14" s="17">
        <f>COUNTIFS(Sheet1!$C:$C,Feuil1!N$1,Sheet1!$D:$D,Feuil1!$C14)</f>
        <v>0</v>
      </c>
      <c r="O14" s="6">
        <f t="shared" si="8"/>
        <v>0</v>
      </c>
      <c r="P14" s="18" t="str">
        <f t="shared" si="3"/>
        <v>(12,0)</v>
      </c>
    </row>
    <row r="15" spans="1:16" x14ac:dyDescent="0.2">
      <c r="A15" s="4">
        <f t="shared" si="9"/>
        <v>13</v>
      </c>
      <c r="B15" s="25">
        <f t="shared" si="0"/>
        <v>46</v>
      </c>
      <c r="C15" s="7">
        <f t="shared" si="10"/>
        <v>45243</v>
      </c>
      <c r="D15" s="11" t="str">
        <f t="shared" si="4"/>
        <v>{2023-11-13},</v>
      </c>
      <c r="E15" s="17">
        <f>COUNTIFS(Sheet1!$C:$C,Feuil1!E$1,Sheet1!$D:$D,Feuil1!$C15)</f>
        <v>0</v>
      </c>
      <c r="F15" s="6">
        <f t="shared" si="11"/>
        <v>1</v>
      </c>
      <c r="G15" s="18" t="str">
        <f t="shared" si="5"/>
        <v>(13,1)</v>
      </c>
      <c r="H15" s="17">
        <f>COUNTIFS(Sheet1!$C:$C,Feuil1!H$1,Sheet1!$D:$D,Feuil1!$C15)</f>
        <v>0</v>
      </c>
      <c r="I15" s="6">
        <f t="shared" si="6"/>
        <v>0</v>
      </c>
      <c r="J15" s="18" t="str">
        <f t="shared" si="1"/>
        <v>(13,0)</v>
      </c>
      <c r="K15" s="17">
        <f>COUNTIFS(Sheet1!$C:$C,Feuil1!K$1,Sheet1!$D:$D,Feuil1!$C15)</f>
        <v>2</v>
      </c>
      <c r="L15" s="6">
        <f t="shared" si="7"/>
        <v>2</v>
      </c>
      <c r="M15" s="18" t="str">
        <f t="shared" si="2"/>
        <v>(13,2)</v>
      </c>
      <c r="N15" s="17">
        <f>COUNTIFS(Sheet1!$C:$C,Feuil1!N$1,Sheet1!$D:$D,Feuil1!$C15)</f>
        <v>0</v>
      </c>
      <c r="O15" s="6">
        <f t="shared" si="8"/>
        <v>0</v>
      </c>
      <c r="P15" s="18" t="str">
        <f t="shared" si="3"/>
        <v>(13,0)</v>
      </c>
    </row>
    <row r="16" spans="1:16" hidden="1" x14ac:dyDescent="0.2">
      <c r="A16" s="4">
        <f t="shared" si="9"/>
        <v>14</v>
      </c>
      <c r="B16" s="26">
        <f t="shared" si="0"/>
        <v>46</v>
      </c>
      <c r="C16" s="7">
        <f t="shared" si="10"/>
        <v>45244</v>
      </c>
      <c r="D16" s="11" t="str">
        <f t="shared" si="4"/>
        <v>{2023-11-14},</v>
      </c>
      <c r="E16" s="17">
        <f>COUNTIFS(Sheet1!$C:$C,Feuil1!E$1,Sheet1!$D:$D,Feuil1!$C16)</f>
        <v>0</v>
      </c>
      <c r="F16" s="6">
        <f t="shared" si="11"/>
        <v>1</v>
      </c>
      <c r="G16" s="18" t="str">
        <f t="shared" si="5"/>
        <v>(14,1)</v>
      </c>
      <c r="H16" s="17">
        <f>COUNTIFS(Sheet1!$C:$C,Feuil1!H$1,Sheet1!$D:$D,Feuil1!$C16)</f>
        <v>0</v>
      </c>
      <c r="I16" s="6">
        <f t="shared" si="6"/>
        <v>0</v>
      </c>
      <c r="J16" s="18" t="str">
        <f t="shared" si="1"/>
        <v>(14,0)</v>
      </c>
      <c r="K16" s="17">
        <f>COUNTIFS(Sheet1!$C:$C,Feuil1!K$1,Sheet1!$D:$D,Feuil1!$C16)</f>
        <v>0</v>
      </c>
      <c r="L16" s="6">
        <f t="shared" si="7"/>
        <v>2</v>
      </c>
      <c r="M16" s="18" t="str">
        <f t="shared" si="2"/>
        <v>(14,2)</v>
      </c>
      <c r="N16" s="17">
        <f>COUNTIFS(Sheet1!$C:$C,Feuil1!N$1,Sheet1!$D:$D,Feuil1!$C16)</f>
        <v>0</v>
      </c>
      <c r="O16" s="6">
        <f t="shared" si="8"/>
        <v>0</v>
      </c>
      <c r="P16" s="18" t="str">
        <f t="shared" si="3"/>
        <v>(14,0)</v>
      </c>
    </row>
    <row r="17" spans="1:16" hidden="1" x14ac:dyDescent="0.2">
      <c r="A17" s="4">
        <f t="shared" si="9"/>
        <v>15</v>
      </c>
      <c r="B17" s="26">
        <f t="shared" si="0"/>
        <v>46</v>
      </c>
      <c r="C17" s="7">
        <f t="shared" si="10"/>
        <v>45245</v>
      </c>
      <c r="D17" s="11" t="str">
        <f t="shared" si="4"/>
        <v>{2023-11-15},</v>
      </c>
      <c r="E17" s="17">
        <f>COUNTIFS(Sheet1!$C:$C,Feuil1!E$1,Sheet1!$D:$D,Feuil1!$C17)</f>
        <v>0</v>
      </c>
      <c r="F17" s="6">
        <f t="shared" si="11"/>
        <v>1</v>
      </c>
      <c r="G17" s="18" t="str">
        <f t="shared" si="5"/>
        <v>(15,1)</v>
      </c>
      <c r="H17" s="17">
        <f>COUNTIFS(Sheet1!$C:$C,Feuil1!H$1,Sheet1!$D:$D,Feuil1!$C17)</f>
        <v>0</v>
      </c>
      <c r="I17" s="6">
        <f t="shared" si="6"/>
        <v>0</v>
      </c>
      <c r="J17" s="18" t="str">
        <f t="shared" si="1"/>
        <v>(15,0)</v>
      </c>
      <c r="K17" s="17">
        <f>COUNTIFS(Sheet1!$C:$C,Feuil1!K$1,Sheet1!$D:$D,Feuil1!$C17)</f>
        <v>0</v>
      </c>
      <c r="L17" s="6">
        <f t="shared" si="7"/>
        <v>2</v>
      </c>
      <c r="M17" s="18" t="str">
        <f t="shared" si="2"/>
        <v>(15,2)</v>
      </c>
      <c r="N17" s="17">
        <f>COUNTIFS(Sheet1!$C:$C,Feuil1!N$1,Sheet1!$D:$D,Feuil1!$C17)</f>
        <v>1</v>
      </c>
      <c r="O17" s="6">
        <f t="shared" si="8"/>
        <v>1</v>
      </c>
      <c r="P17" s="18" t="str">
        <f t="shared" si="3"/>
        <v>(15,1)</v>
      </c>
    </row>
    <row r="18" spans="1:16" hidden="1" x14ac:dyDescent="0.2">
      <c r="A18" s="4">
        <f t="shared" si="9"/>
        <v>16</v>
      </c>
      <c r="B18" s="26">
        <f t="shared" si="0"/>
        <v>46</v>
      </c>
      <c r="C18" s="7">
        <f t="shared" si="10"/>
        <v>45246</v>
      </c>
      <c r="D18" s="11" t="str">
        <f t="shared" si="4"/>
        <v>{2023-11-16},</v>
      </c>
      <c r="E18" s="17">
        <f>COUNTIFS(Sheet1!$C:$C,Feuil1!E$1,Sheet1!$D:$D,Feuil1!$C18)</f>
        <v>0</v>
      </c>
      <c r="F18" s="6">
        <f t="shared" si="11"/>
        <v>1</v>
      </c>
      <c r="G18" s="18" t="str">
        <f t="shared" si="5"/>
        <v>(16,1)</v>
      </c>
      <c r="H18" s="17">
        <f>COUNTIFS(Sheet1!$C:$C,Feuil1!H$1,Sheet1!$D:$D,Feuil1!$C18)</f>
        <v>0</v>
      </c>
      <c r="I18" s="6">
        <f t="shared" si="6"/>
        <v>0</v>
      </c>
      <c r="J18" s="18" t="str">
        <f t="shared" si="1"/>
        <v>(16,0)</v>
      </c>
      <c r="K18" s="17">
        <f>COUNTIFS(Sheet1!$C:$C,Feuil1!K$1,Sheet1!$D:$D,Feuil1!$C18)</f>
        <v>1</v>
      </c>
      <c r="L18" s="6">
        <f t="shared" si="7"/>
        <v>3</v>
      </c>
      <c r="M18" s="18" t="str">
        <f t="shared" si="2"/>
        <v>(16,3)</v>
      </c>
      <c r="N18" s="17">
        <f>COUNTIFS(Sheet1!$C:$C,Feuil1!N$1,Sheet1!$D:$D,Feuil1!$C18)</f>
        <v>0</v>
      </c>
      <c r="O18" s="6">
        <f t="shared" si="8"/>
        <v>1</v>
      </c>
      <c r="P18" s="18" t="str">
        <f t="shared" si="3"/>
        <v>(16,1)</v>
      </c>
    </row>
    <row r="19" spans="1:16" hidden="1" x14ac:dyDescent="0.2">
      <c r="A19" s="4">
        <f t="shared" si="9"/>
        <v>17</v>
      </c>
      <c r="B19" s="26">
        <f t="shared" si="0"/>
        <v>46</v>
      </c>
      <c r="C19" s="7">
        <f t="shared" si="10"/>
        <v>45247</v>
      </c>
      <c r="D19" s="11" t="str">
        <f t="shared" si="4"/>
        <v>{2023-11-17},</v>
      </c>
      <c r="E19" s="17">
        <f>COUNTIFS(Sheet1!$C:$C,Feuil1!E$1,Sheet1!$D:$D,Feuil1!$C19)</f>
        <v>1</v>
      </c>
      <c r="F19" s="6">
        <f t="shared" si="11"/>
        <v>2</v>
      </c>
      <c r="G19" s="18" t="str">
        <f t="shared" si="5"/>
        <v>(17,2)</v>
      </c>
      <c r="H19" s="17">
        <f>COUNTIFS(Sheet1!$C:$C,Feuil1!H$1,Sheet1!$D:$D,Feuil1!$C19)</f>
        <v>0</v>
      </c>
      <c r="I19" s="6">
        <f t="shared" si="6"/>
        <v>0</v>
      </c>
      <c r="J19" s="18" t="str">
        <f t="shared" si="1"/>
        <v>(17,0)</v>
      </c>
      <c r="K19" s="17">
        <f>COUNTIFS(Sheet1!$C:$C,Feuil1!K$1,Sheet1!$D:$D,Feuil1!$C19)</f>
        <v>0</v>
      </c>
      <c r="L19" s="6">
        <f t="shared" si="7"/>
        <v>3</v>
      </c>
      <c r="M19" s="18" t="str">
        <f t="shared" si="2"/>
        <v>(17,3)</v>
      </c>
      <c r="N19" s="17">
        <f>COUNTIFS(Sheet1!$C:$C,Feuil1!N$1,Sheet1!$D:$D,Feuil1!$C19)</f>
        <v>0</v>
      </c>
      <c r="O19" s="6">
        <f t="shared" si="8"/>
        <v>1</v>
      </c>
      <c r="P19" s="18" t="str">
        <f t="shared" si="3"/>
        <v>(17,1)</v>
      </c>
    </row>
    <row r="20" spans="1:16" hidden="1" x14ac:dyDescent="0.2">
      <c r="A20" s="4">
        <f t="shared" si="9"/>
        <v>18</v>
      </c>
      <c r="B20" s="26">
        <f t="shared" si="0"/>
        <v>46</v>
      </c>
      <c r="C20" s="7">
        <f t="shared" si="10"/>
        <v>45248</v>
      </c>
      <c r="D20" s="11" t="str">
        <f t="shared" si="4"/>
        <v>{2023-11-18},</v>
      </c>
      <c r="E20" s="17">
        <f>COUNTIFS(Sheet1!$C:$C,Feuil1!E$1,Sheet1!$D:$D,Feuil1!$C20)</f>
        <v>0</v>
      </c>
      <c r="F20" s="6">
        <f t="shared" si="11"/>
        <v>2</v>
      </c>
      <c r="G20" s="18" t="str">
        <f t="shared" si="5"/>
        <v>(18,2)</v>
      </c>
      <c r="H20" s="17">
        <f>COUNTIFS(Sheet1!$C:$C,Feuil1!H$1,Sheet1!$D:$D,Feuil1!$C20)</f>
        <v>0</v>
      </c>
      <c r="I20" s="6">
        <f t="shared" si="6"/>
        <v>0</v>
      </c>
      <c r="J20" s="18" t="str">
        <f t="shared" si="1"/>
        <v>(18,0)</v>
      </c>
      <c r="K20" s="17">
        <f>COUNTIFS(Sheet1!$C:$C,Feuil1!K$1,Sheet1!$D:$D,Feuil1!$C20)</f>
        <v>0</v>
      </c>
      <c r="L20" s="6">
        <f t="shared" si="7"/>
        <v>3</v>
      </c>
      <c r="M20" s="18" t="str">
        <f t="shared" si="2"/>
        <v>(18,3)</v>
      </c>
      <c r="N20" s="17">
        <f>COUNTIFS(Sheet1!$C:$C,Feuil1!N$1,Sheet1!$D:$D,Feuil1!$C20)</f>
        <v>0</v>
      </c>
      <c r="O20" s="6">
        <f t="shared" si="8"/>
        <v>1</v>
      </c>
      <c r="P20" s="18" t="str">
        <f t="shared" si="3"/>
        <v>(18,1)</v>
      </c>
    </row>
    <row r="21" spans="1:16" hidden="1" x14ac:dyDescent="0.2">
      <c r="A21" s="4">
        <f t="shared" si="9"/>
        <v>19</v>
      </c>
      <c r="B21" s="26">
        <f t="shared" si="0"/>
        <v>46</v>
      </c>
      <c r="C21" s="7">
        <f t="shared" si="10"/>
        <v>45249</v>
      </c>
      <c r="D21" s="11" t="str">
        <f t="shared" si="4"/>
        <v>{2023-11-19},</v>
      </c>
      <c r="E21" s="17">
        <f>COUNTIFS(Sheet1!$C:$C,Feuil1!E$1,Sheet1!$D:$D,Feuil1!$C21)</f>
        <v>1</v>
      </c>
      <c r="F21" s="6">
        <f t="shared" si="11"/>
        <v>3</v>
      </c>
      <c r="G21" s="18" t="str">
        <f t="shared" si="5"/>
        <v>(19,3)</v>
      </c>
      <c r="H21" s="17">
        <f>COUNTIFS(Sheet1!$C:$C,Feuil1!H$1,Sheet1!$D:$D,Feuil1!$C21)</f>
        <v>0</v>
      </c>
      <c r="I21" s="6">
        <f t="shared" si="6"/>
        <v>0</v>
      </c>
      <c r="J21" s="18" t="str">
        <f t="shared" si="1"/>
        <v>(19,0)</v>
      </c>
      <c r="K21" s="17">
        <f>COUNTIFS(Sheet1!$C:$C,Feuil1!K$1,Sheet1!$D:$D,Feuil1!$C21)</f>
        <v>0</v>
      </c>
      <c r="L21" s="6">
        <f t="shared" si="7"/>
        <v>3</v>
      </c>
      <c r="M21" s="18" t="str">
        <f t="shared" si="2"/>
        <v>(19,3)</v>
      </c>
      <c r="N21" s="17">
        <f>COUNTIFS(Sheet1!$C:$C,Feuil1!N$1,Sheet1!$D:$D,Feuil1!$C21)</f>
        <v>0</v>
      </c>
      <c r="O21" s="6">
        <f t="shared" si="8"/>
        <v>1</v>
      </c>
      <c r="P21" s="18" t="str">
        <f t="shared" si="3"/>
        <v>(19,1)</v>
      </c>
    </row>
    <row r="22" spans="1:16" x14ac:dyDescent="0.2">
      <c r="A22" s="4">
        <f t="shared" si="9"/>
        <v>20</v>
      </c>
      <c r="B22" s="25">
        <f t="shared" si="0"/>
        <v>47</v>
      </c>
      <c r="C22" s="7">
        <f t="shared" si="10"/>
        <v>45250</v>
      </c>
      <c r="D22" s="11" t="str">
        <f t="shared" si="4"/>
        <v>{2023-11-20},</v>
      </c>
      <c r="E22" s="17">
        <f>COUNTIFS(Sheet1!$C:$C,Feuil1!E$1,Sheet1!$D:$D,Feuil1!$C22)</f>
        <v>1</v>
      </c>
      <c r="F22" s="6">
        <f t="shared" si="11"/>
        <v>4</v>
      </c>
      <c r="G22" s="18" t="str">
        <f t="shared" si="5"/>
        <v>(20,4)</v>
      </c>
      <c r="H22" s="17">
        <f>COUNTIFS(Sheet1!$C:$C,Feuil1!H$1,Sheet1!$D:$D,Feuil1!$C22)</f>
        <v>0</v>
      </c>
      <c r="I22" s="6">
        <f t="shared" si="6"/>
        <v>0</v>
      </c>
      <c r="J22" s="18" t="str">
        <f t="shared" si="1"/>
        <v>(20,0)</v>
      </c>
      <c r="K22" s="17">
        <f>COUNTIFS(Sheet1!$C:$C,Feuil1!K$1,Sheet1!$D:$D,Feuil1!$C22)</f>
        <v>0</v>
      </c>
      <c r="L22" s="6">
        <f t="shared" si="7"/>
        <v>3</v>
      </c>
      <c r="M22" s="18" t="str">
        <f t="shared" si="2"/>
        <v>(20,3)</v>
      </c>
      <c r="N22" s="17">
        <f>COUNTIFS(Sheet1!$C:$C,Feuil1!N$1,Sheet1!$D:$D,Feuil1!$C22)</f>
        <v>0</v>
      </c>
      <c r="O22" s="6">
        <f t="shared" si="8"/>
        <v>1</v>
      </c>
      <c r="P22" s="18" t="str">
        <f t="shared" si="3"/>
        <v>(20,1)</v>
      </c>
    </row>
    <row r="23" spans="1:16" hidden="1" x14ac:dyDescent="0.2">
      <c r="A23" s="4">
        <f t="shared" si="9"/>
        <v>21</v>
      </c>
      <c r="B23" s="26">
        <f t="shared" si="0"/>
        <v>47</v>
      </c>
      <c r="C23" s="7">
        <f t="shared" si="10"/>
        <v>45251</v>
      </c>
      <c r="D23" s="11" t="str">
        <f t="shared" si="4"/>
        <v>{2023-11-21},</v>
      </c>
      <c r="E23" s="17">
        <f>COUNTIFS(Sheet1!$C:$C,Feuil1!E$1,Sheet1!$D:$D,Feuil1!$C23)</f>
        <v>0</v>
      </c>
      <c r="F23" s="6">
        <f t="shared" si="11"/>
        <v>4</v>
      </c>
      <c r="G23" s="18" t="str">
        <f t="shared" si="5"/>
        <v>(21,4)</v>
      </c>
      <c r="H23" s="17">
        <f>COUNTIFS(Sheet1!$C:$C,Feuil1!H$1,Sheet1!$D:$D,Feuil1!$C23)</f>
        <v>0</v>
      </c>
      <c r="I23" s="6">
        <f t="shared" si="6"/>
        <v>0</v>
      </c>
      <c r="J23" s="18" t="str">
        <f t="shared" si="1"/>
        <v>(21,0)</v>
      </c>
      <c r="K23" s="17">
        <f>COUNTIFS(Sheet1!$C:$C,Feuil1!K$1,Sheet1!$D:$D,Feuil1!$C23)</f>
        <v>0</v>
      </c>
      <c r="L23" s="6">
        <f t="shared" si="7"/>
        <v>3</v>
      </c>
      <c r="M23" s="18" t="str">
        <f t="shared" si="2"/>
        <v>(21,3)</v>
      </c>
      <c r="N23" s="17">
        <f>COUNTIFS(Sheet1!$C:$C,Feuil1!N$1,Sheet1!$D:$D,Feuil1!$C23)</f>
        <v>1</v>
      </c>
      <c r="O23" s="6">
        <f t="shared" si="8"/>
        <v>2</v>
      </c>
      <c r="P23" s="18" t="str">
        <f t="shared" si="3"/>
        <v>(21,2)</v>
      </c>
    </row>
    <row r="24" spans="1:16" hidden="1" x14ac:dyDescent="0.2">
      <c r="A24" s="4">
        <f t="shared" si="9"/>
        <v>22</v>
      </c>
      <c r="B24" s="26">
        <f t="shared" si="0"/>
        <v>47</v>
      </c>
      <c r="C24" s="7">
        <f t="shared" si="10"/>
        <v>45252</v>
      </c>
      <c r="D24" s="11" t="str">
        <f t="shared" si="4"/>
        <v>{2023-11-22},</v>
      </c>
      <c r="E24" s="17">
        <f>COUNTIFS(Sheet1!$C:$C,Feuil1!E$1,Sheet1!$D:$D,Feuil1!$C24)</f>
        <v>0</v>
      </c>
      <c r="F24" s="6">
        <f t="shared" si="11"/>
        <v>4</v>
      </c>
      <c r="G24" s="18" t="str">
        <f t="shared" si="5"/>
        <v>(22,4)</v>
      </c>
      <c r="H24" s="17">
        <f>COUNTIFS(Sheet1!$C:$C,Feuil1!H$1,Sheet1!$D:$D,Feuil1!$C24)</f>
        <v>0</v>
      </c>
      <c r="I24" s="6">
        <f t="shared" si="6"/>
        <v>0</v>
      </c>
      <c r="J24" s="18" t="str">
        <f t="shared" si="1"/>
        <v>(22,0)</v>
      </c>
      <c r="K24" s="17">
        <f>COUNTIFS(Sheet1!$C:$C,Feuil1!K$1,Sheet1!$D:$D,Feuil1!$C24)</f>
        <v>0</v>
      </c>
      <c r="L24" s="6">
        <f t="shared" si="7"/>
        <v>3</v>
      </c>
      <c r="M24" s="18" t="str">
        <f t="shared" si="2"/>
        <v>(22,3)</v>
      </c>
      <c r="N24" s="17">
        <f>COUNTIFS(Sheet1!$C:$C,Feuil1!N$1,Sheet1!$D:$D,Feuil1!$C24)</f>
        <v>0</v>
      </c>
      <c r="O24" s="6">
        <f t="shared" si="8"/>
        <v>2</v>
      </c>
      <c r="P24" s="18" t="str">
        <f t="shared" si="3"/>
        <v>(22,2)</v>
      </c>
    </row>
    <row r="25" spans="1:16" hidden="1" x14ac:dyDescent="0.2">
      <c r="A25" s="4">
        <f t="shared" si="9"/>
        <v>23</v>
      </c>
      <c r="B25" s="26">
        <f t="shared" si="0"/>
        <v>47</v>
      </c>
      <c r="C25" s="7">
        <f t="shared" si="10"/>
        <v>45253</v>
      </c>
      <c r="D25" s="11" t="str">
        <f t="shared" si="4"/>
        <v>{2023-11-23},</v>
      </c>
      <c r="E25" s="17">
        <f>COUNTIFS(Sheet1!$C:$C,Feuil1!E$1,Sheet1!$D:$D,Feuil1!$C25)</f>
        <v>0</v>
      </c>
      <c r="F25" s="6">
        <f t="shared" si="11"/>
        <v>4</v>
      </c>
      <c r="G25" s="18" t="str">
        <f t="shared" si="5"/>
        <v>(23,4)</v>
      </c>
      <c r="H25" s="17">
        <f>COUNTIFS(Sheet1!$C:$C,Feuil1!H$1,Sheet1!$D:$D,Feuil1!$C25)</f>
        <v>0</v>
      </c>
      <c r="I25" s="6">
        <f t="shared" si="6"/>
        <v>0</v>
      </c>
      <c r="J25" s="18" t="str">
        <f t="shared" si="1"/>
        <v>(23,0)</v>
      </c>
      <c r="K25" s="17">
        <f>COUNTIFS(Sheet1!$C:$C,Feuil1!K$1,Sheet1!$D:$D,Feuil1!$C25)</f>
        <v>0</v>
      </c>
      <c r="L25" s="6">
        <f t="shared" si="7"/>
        <v>3</v>
      </c>
      <c r="M25" s="18" t="str">
        <f t="shared" si="2"/>
        <v>(23,3)</v>
      </c>
      <c r="N25" s="17">
        <f>COUNTIFS(Sheet1!$C:$C,Feuil1!N$1,Sheet1!$D:$D,Feuil1!$C25)</f>
        <v>0</v>
      </c>
      <c r="O25" s="6">
        <f t="shared" si="8"/>
        <v>2</v>
      </c>
      <c r="P25" s="18" t="str">
        <f t="shared" si="3"/>
        <v>(23,2)</v>
      </c>
    </row>
    <row r="26" spans="1:16" hidden="1" x14ac:dyDescent="0.2">
      <c r="A26" s="4">
        <f t="shared" si="9"/>
        <v>24</v>
      </c>
      <c r="B26" s="26">
        <f t="shared" si="0"/>
        <v>47</v>
      </c>
      <c r="C26" s="7">
        <f t="shared" si="10"/>
        <v>45254</v>
      </c>
      <c r="D26" s="11" t="str">
        <f t="shared" si="4"/>
        <v>{2023-11-24},</v>
      </c>
      <c r="E26" s="17">
        <f>COUNTIFS(Sheet1!$C:$C,Feuil1!E$1,Sheet1!$D:$D,Feuil1!$C26)</f>
        <v>0</v>
      </c>
      <c r="F26" s="6">
        <f t="shared" si="11"/>
        <v>4</v>
      </c>
      <c r="G26" s="18" t="str">
        <f t="shared" si="5"/>
        <v>(24,4)</v>
      </c>
      <c r="H26" s="17">
        <f>COUNTIFS(Sheet1!$C:$C,Feuil1!H$1,Sheet1!$D:$D,Feuil1!$C26)</f>
        <v>0</v>
      </c>
      <c r="I26" s="6">
        <f t="shared" si="6"/>
        <v>0</v>
      </c>
      <c r="J26" s="18" t="str">
        <f t="shared" si="1"/>
        <v>(24,0)</v>
      </c>
      <c r="K26" s="17">
        <f>COUNTIFS(Sheet1!$C:$C,Feuil1!K$1,Sheet1!$D:$D,Feuil1!$C26)</f>
        <v>0</v>
      </c>
      <c r="L26" s="6">
        <f t="shared" si="7"/>
        <v>3</v>
      </c>
      <c r="M26" s="18" t="str">
        <f t="shared" si="2"/>
        <v>(24,3)</v>
      </c>
      <c r="N26" s="17">
        <f>COUNTIFS(Sheet1!$C:$C,Feuil1!N$1,Sheet1!$D:$D,Feuil1!$C26)</f>
        <v>1</v>
      </c>
      <c r="O26" s="6">
        <f t="shared" si="8"/>
        <v>3</v>
      </c>
      <c r="P26" s="18" t="str">
        <f t="shared" si="3"/>
        <v>(24,3)</v>
      </c>
    </row>
    <row r="27" spans="1:16" hidden="1" x14ac:dyDescent="0.2">
      <c r="A27" s="4">
        <f t="shared" si="9"/>
        <v>25</v>
      </c>
      <c r="B27" s="26">
        <f t="shared" si="0"/>
        <v>47</v>
      </c>
      <c r="C27" s="7">
        <f t="shared" si="10"/>
        <v>45255</v>
      </c>
      <c r="D27" s="11" t="str">
        <f t="shared" si="4"/>
        <v>{2023-11-25},</v>
      </c>
      <c r="E27" s="17">
        <f>COUNTIFS(Sheet1!$C:$C,Feuil1!E$1,Sheet1!$D:$D,Feuil1!$C27)</f>
        <v>0</v>
      </c>
      <c r="F27" s="6">
        <f t="shared" si="11"/>
        <v>4</v>
      </c>
      <c r="G27" s="18" t="str">
        <f t="shared" si="5"/>
        <v>(25,4)</v>
      </c>
      <c r="H27" s="17">
        <f>COUNTIFS(Sheet1!$C:$C,Feuil1!H$1,Sheet1!$D:$D,Feuil1!$C27)</f>
        <v>0</v>
      </c>
      <c r="I27" s="6">
        <f t="shared" si="6"/>
        <v>0</v>
      </c>
      <c r="J27" s="18" t="str">
        <f t="shared" si="1"/>
        <v>(25,0)</v>
      </c>
      <c r="K27" s="17">
        <f>COUNTIFS(Sheet1!$C:$C,Feuil1!K$1,Sheet1!$D:$D,Feuil1!$C27)</f>
        <v>0</v>
      </c>
      <c r="L27" s="6">
        <f t="shared" si="7"/>
        <v>3</v>
      </c>
      <c r="M27" s="18" t="str">
        <f t="shared" si="2"/>
        <v>(25,3)</v>
      </c>
      <c r="N27" s="17">
        <f>COUNTIFS(Sheet1!$C:$C,Feuil1!N$1,Sheet1!$D:$D,Feuil1!$C27)</f>
        <v>0</v>
      </c>
      <c r="O27" s="6">
        <f t="shared" si="8"/>
        <v>3</v>
      </c>
      <c r="P27" s="18" t="str">
        <f t="shared" si="3"/>
        <v>(25,3)</v>
      </c>
    </row>
    <row r="28" spans="1:16" hidden="1" x14ac:dyDescent="0.2">
      <c r="A28" s="4">
        <f t="shared" si="9"/>
        <v>26</v>
      </c>
      <c r="B28" s="26">
        <f t="shared" si="0"/>
        <v>47</v>
      </c>
      <c r="C28" s="7">
        <f t="shared" si="10"/>
        <v>45256</v>
      </c>
      <c r="D28" s="11" t="str">
        <f t="shared" si="4"/>
        <v>{2023-11-26},</v>
      </c>
      <c r="E28" s="17">
        <f>COUNTIFS(Sheet1!$C:$C,Feuil1!E$1,Sheet1!$D:$D,Feuil1!$C28)</f>
        <v>1</v>
      </c>
      <c r="F28" s="6">
        <f t="shared" si="11"/>
        <v>5</v>
      </c>
      <c r="G28" s="18" t="str">
        <f t="shared" si="5"/>
        <v>(26,5)</v>
      </c>
      <c r="H28" s="17">
        <f>COUNTIFS(Sheet1!$C:$C,Feuil1!H$1,Sheet1!$D:$D,Feuil1!$C28)</f>
        <v>1</v>
      </c>
      <c r="I28" s="6">
        <f t="shared" si="6"/>
        <v>1</v>
      </c>
      <c r="J28" s="18" t="str">
        <f t="shared" si="1"/>
        <v>(26,1)</v>
      </c>
      <c r="K28" s="17">
        <f>COUNTIFS(Sheet1!$C:$C,Feuil1!K$1,Sheet1!$D:$D,Feuil1!$C28)</f>
        <v>0</v>
      </c>
      <c r="L28" s="6">
        <f t="shared" si="7"/>
        <v>3</v>
      </c>
      <c r="M28" s="18" t="str">
        <f t="shared" si="2"/>
        <v>(26,3)</v>
      </c>
      <c r="N28" s="17">
        <f>COUNTIFS(Sheet1!$C:$C,Feuil1!N$1,Sheet1!$D:$D,Feuil1!$C28)</f>
        <v>0</v>
      </c>
      <c r="O28" s="6">
        <f t="shared" si="8"/>
        <v>3</v>
      </c>
      <c r="P28" s="18" t="str">
        <f t="shared" si="3"/>
        <v>(26,3)</v>
      </c>
    </row>
    <row r="29" spans="1:16" x14ac:dyDescent="0.2">
      <c r="A29" s="4">
        <f t="shared" si="9"/>
        <v>27</v>
      </c>
      <c r="B29" s="25">
        <f t="shared" si="0"/>
        <v>48</v>
      </c>
      <c r="C29" s="7">
        <f t="shared" si="10"/>
        <v>45257</v>
      </c>
      <c r="D29" s="11" t="str">
        <f t="shared" si="4"/>
        <v>{2023-11-27},</v>
      </c>
      <c r="E29" s="17">
        <f>COUNTIFS(Sheet1!$C:$C,Feuil1!E$1,Sheet1!$D:$D,Feuil1!$C29)</f>
        <v>0</v>
      </c>
      <c r="F29" s="6">
        <f t="shared" si="11"/>
        <v>5</v>
      </c>
      <c r="G29" s="18" t="str">
        <f t="shared" si="5"/>
        <v>(27,5)</v>
      </c>
      <c r="H29" s="17">
        <f>COUNTIFS(Sheet1!$C:$C,Feuil1!H$1,Sheet1!$D:$D,Feuil1!$C29)</f>
        <v>0</v>
      </c>
      <c r="I29" s="6">
        <f t="shared" si="6"/>
        <v>1</v>
      </c>
      <c r="J29" s="18" t="str">
        <f t="shared" si="1"/>
        <v>(27,1)</v>
      </c>
      <c r="K29" s="17">
        <f>COUNTIFS(Sheet1!$C:$C,Feuil1!K$1,Sheet1!$D:$D,Feuil1!$C29)</f>
        <v>0</v>
      </c>
      <c r="L29" s="6">
        <f t="shared" si="7"/>
        <v>3</v>
      </c>
      <c r="M29" s="18" t="str">
        <f t="shared" si="2"/>
        <v>(27,3)</v>
      </c>
      <c r="N29" s="17">
        <f>COUNTIFS(Sheet1!$C:$C,Feuil1!N$1,Sheet1!$D:$D,Feuil1!$C29)</f>
        <v>0</v>
      </c>
      <c r="O29" s="6">
        <f t="shared" si="8"/>
        <v>3</v>
      </c>
      <c r="P29" s="18" t="str">
        <f t="shared" si="3"/>
        <v>(27,3)</v>
      </c>
    </row>
    <row r="30" spans="1:16" hidden="1" x14ac:dyDescent="0.2">
      <c r="A30" s="4">
        <f t="shared" si="9"/>
        <v>28</v>
      </c>
      <c r="B30" s="26">
        <f t="shared" si="0"/>
        <v>48</v>
      </c>
      <c r="C30" s="7">
        <f t="shared" si="10"/>
        <v>45258</v>
      </c>
      <c r="D30" s="11" t="str">
        <f t="shared" si="4"/>
        <v>{2023-11-28},</v>
      </c>
      <c r="E30" s="17">
        <f>COUNTIFS(Sheet1!$C:$C,Feuil1!E$1,Sheet1!$D:$D,Feuil1!$C30)</f>
        <v>0</v>
      </c>
      <c r="F30" s="6">
        <f t="shared" si="11"/>
        <v>5</v>
      </c>
      <c r="G30" s="18" t="str">
        <f t="shared" si="5"/>
        <v>(28,5)</v>
      </c>
      <c r="H30" s="17">
        <f>COUNTIFS(Sheet1!$C:$C,Feuil1!H$1,Sheet1!$D:$D,Feuil1!$C30)</f>
        <v>0</v>
      </c>
      <c r="I30" s="6">
        <f t="shared" si="6"/>
        <v>1</v>
      </c>
      <c r="J30" s="18" t="str">
        <f t="shared" si="1"/>
        <v>(28,1)</v>
      </c>
      <c r="K30" s="17">
        <f>COUNTIFS(Sheet1!$C:$C,Feuil1!K$1,Sheet1!$D:$D,Feuil1!$C30)</f>
        <v>0</v>
      </c>
      <c r="L30" s="6">
        <f t="shared" si="7"/>
        <v>3</v>
      </c>
      <c r="M30" s="18" t="str">
        <f t="shared" si="2"/>
        <v>(28,3)</v>
      </c>
      <c r="N30" s="17">
        <f>COUNTIFS(Sheet1!$C:$C,Feuil1!N$1,Sheet1!$D:$D,Feuil1!$C30)</f>
        <v>0</v>
      </c>
      <c r="O30" s="6">
        <f t="shared" si="8"/>
        <v>3</v>
      </c>
      <c r="P30" s="18" t="str">
        <f t="shared" si="3"/>
        <v>(28,3)</v>
      </c>
    </row>
    <row r="31" spans="1:16" hidden="1" x14ac:dyDescent="0.2">
      <c r="A31" s="4">
        <f t="shared" si="9"/>
        <v>29</v>
      </c>
      <c r="B31" s="26">
        <f t="shared" si="0"/>
        <v>48</v>
      </c>
      <c r="C31" s="7">
        <f t="shared" si="10"/>
        <v>45259</v>
      </c>
      <c r="D31" s="11" t="str">
        <f t="shared" si="4"/>
        <v>{2023-11-29},</v>
      </c>
      <c r="E31" s="17">
        <f>COUNTIFS(Sheet1!$C:$C,Feuil1!E$1,Sheet1!$D:$D,Feuil1!$C31)</f>
        <v>0</v>
      </c>
      <c r="F31" s="6">
        <f t="shared" si="11"/>
        <v>5</v>
      </c>
      <c r="G31" s="18" t="str">
        <f t="shared" si="5"/>
        <v>(29,5)</v>
      </c>
      <c r="H31" s="17">
        <f>COUNTIFS(Sheet1!$C:$C,Feuil1!H$1,Sheet1!$D:$D,Feuil1!$C31)</f>
        <v>0</v>
      </c>
      <c r="I31" s="6">
        <f t="shared" si="6"/>
        <v>1</v>
      </c>
      <c r="J31" s="18" t="str">
        <f t="shared" si="1"/>
        <v>(29,1)</v>
      </c>
      <c r="K31" s="17">
        <f>COUNTIFS(Sheet1!$C:$C,Feuil1!K$1,Sheet1!$D:$D,Feuil1!$C31)</f>
        <v>0</v>
      </c>
      <c r="L31" s="6">
        <f t="shared" si="7"/>
        <v>3</v>
      </c>
      <c r="M31" s="18" t="str">
        <f t="shared" si="2"/>
        <v>(29,3)</v>
      </c>
      <c r="N31" s="17">
        <f>COUNTIFS(Sheet1!$C:$C,Feuil1!N$1,Sheet1!$D:$D,Feuil1!$C31)</f>
        <v>0</v>
      </c>
      <c r="O31" s="6">
        <f t="shared" si="8"/>
        <v>3</v>
      </c>
      <c r="P31" s="18" t="str">
        <f t="shared" si="3"/>
        <v>(29,3)</v>
      </c>
    </row>
    <row r="32" spans="1:16" hidden="1" x14ac:dyDescent="0.2">
      <c r="A32" s="4">
        <f t="shared" si="9"/>
        <v>30</v>
      </c>
      <c r="B32" s="26">
        <f t="shared" si="0"/>
        <v>48</v>
      </c>
      <c r="C32" s="7">
        <f t="shared" si="10"/>
        <v>45260</v>
      </c>
      <c r="D32" s="11" t="str">
        <f t="shared" si="4"/>
        <v>{2023-11-30},</v>
      </c>
      <c r="E32" s="17">
        <f>COUNTIFS(Sheet1!$C:$C,Feuil1!E$1,Sheet1!$D:$D,Feuil1!$C32)</f>
        <v>0</v>
      </c>
      <c r="F32" s="6">
        <f t="shared" si="11"/>
        <v>5</v>
      </c>
      <c r="G32" s="18" t="str">
        <f t="shared" si="5"/>
        <v>(30,5)</v>
      </c>
      <c r="H32" s="17">
        <f>COUNTIFS(Sheet1!$C:$C,Feuil1!H$1,Sheet1!$D:$D,Feuil1!$C32)</f>
        <v>0</v>
      </c>
      <c r="I32" s="6">
        <f t="shared" si="6"/>
        <v>1</v>
      </c>
      <c r="J32" s="18" t="str">
        <f t="shared" si="1"/>
        <v>(30,1)</v>
      </c>
      <c r="K32" s="17">
        <f>COUNTIFS(Sheet1!$C:$C,Feuil1!K$1,Sheet1!$D:$D,Feuil1!$C32)</f>
        <v>0</v>
      </c>
      <c r="L32" s="6">
        <f t="shared" si="7"/>
        <v>3</v>
      </c>
      <c r="M32" s="18" t="str">
        <f t="shared" si="2"/>
        <v>(30,3)</v>
      </c>
      <c r="N32" s="17">
        <f>COUNTIFS(Sheet1!$C:$C,Feuil1!N$1,Sheet1!$D:$D,Feuil1!$C32)</f>
        <v>0</v>
      </c>
      <c r="O32" s="6">
        <f t="shared" si="8"/>
        <v>3</v>
      </c>
      <c r="P32" s="18" t="str">
        <f t="shared" si="3"/>
        <v>(30,3)</v>
      </c>
    </row>
    <row r="33" spans="1:16" hidden="1" x14ac:dyDescent="0.2">
      <c r="A33" s="4">
        <f t="shared" si="9"/>
        <v>31</v>
      </c>
      <c r="B33" s="26">
        <f t="shared" si="0"/>
        <v>48</v>
      </c>
      <c r="C33" s="5">
        <f t="shared" si="10"/>
        <v>45261</v>
      </c>
      <c r="D33" s="11" t="str">
        <f t="shared" si="4"/>
        <v>{2023-12-01},</v>
      </c>
      <c r="E33" s="17">
        <f>COUNTIFS(Sheet1!$C:$C,Feuil1!E$1,Sheet1!$D:$D,Feuil1!$C33)</f>
        <v>0</v>
      </c>
      <c r="F33" s="6">
        <f t="shared" si="11"/>
        <v>5</v>
      </c>
      <c r="G33" s="18" t="str">
        <f t="shared" si="5"/>
        <v>(31,5)</v>
      </c>
      <c r="H33" s="17">
        <f>COUNTIFS(Sheet1!$C:$C,Feuil1!H$1,Sheet1!$D:$D,Feuil1!$C33)</f>
        <v>0</v>
      </c>
      <c r="I33" s="6">
        <f t="shared" si="6"/>
        <v>1</v>
      </c>
      <c r="J33" s="18" t="str">
        <f t="shared" si="1"/>
        <v>(31,1)</v>
      </c>
      <c r="K33" s="17">
        <f>COUNTIFS(Sheet1!$C:$C,Feuil1!K$1,Sheet1!$D:$D,Feuil1!$C33)</f>
        <v>0</v>
      </c>
      <c r="L33" s="6">
        <f t="shared" si="7"/>
        <v>3</v>
      </c>
      <c r="M33" s="18" t="str">
        <f t="shared" si="2"/>
        <v>(31,3)</v>
      </c>
      <c r="N33" s="17">
        <f>COUNTIFS(Sheet1!$C:$C,Feuil1!N$1,Sheet1!$D:$D,Feuil1!$C33)</f>
        <v>0</v>
      </c>
      <c r="O33" s="6">
        <f t="shared" si="8"/>
        <v>3</v>
      </c>
      <c r="P33" s="18" t="str">
        <f t="shared" si="3"/>
        <v>(31,3)</v>
      </c>
    </row>
    <row r="34" spans="1:16" hidden="1" x14ac:dyDescent="0.2">
      <c r="A34" s="4">
        <f t="shared" si="9"/>
        <v>32</v>
      </c>
      <c r="B34" s="26">
        <f t="shared" si="0"/>
        <v>48</v>
      </c>
      <c r="C34" s="7">
        <f t="shared" si="10"/>
        <v>45262</v>
      </c>
      <c r="D34" s="11" t="str">
        <f t="shared" si="4"/>
        <v>{2023-12-02},</v>
      </c>
      <c r="E34" s="17">
        <f>COUNTIFS(Sheet1!$C:$C,Feuil1!E$1,Sheet1!$D:$D,Feuil1!$C34)</f>
        <v>0</v>
      </c>
      <c r="F34" s="6">
        <f t="shared" si="11"/>
        <v>5</v>
      </c>
      <c r="G34" s="18" t="str">
        <f t="shared" si="5"/>
        <v>(32,5)</v>
      </c>
      <c r="H34" s="17">
        <f>COUNTIFS(Sheet1!$C:$C,Feuil1!H$1,Sheet1!$D:$D,Feuil1!$C34)</f>
        <v>1</v>
      </c>
      <c r="I34" s="6">
        <f t="shared" si="6"/>
        <v>2</v>
      </c>
      <c r="J34" s="18" t="str">
        <f t="shared" si="1"/>
        <v>(32,2)</v>
      </c>
      <c r="K34" s="17">
        <f>COUNTIFS(Sheet1!$C:$C,Feuil1!K$1,Sheet1!$D:$D,Feuil1!$C34)</f>
        <v>0</v>
      </c>
      <c r="L34" s="6">
        <f t="shared" si="7"/>
        <v>3</v>
      </c>
      <c r="M34" s="18" t="str">
        <f t="shared" si="2"/>
        <v>(32,3)</v>
      </c>
      <c r="N34" s="17">
        <f>COUNTIFS(Sheet1!$C:$C,Feuil1!N$1,Sheet1!$D:$D,Feuil1!$C34)</f>
        <v>0</v>
      </c>
      <c r="O34" s="6">
        <f t="shared" si="8"/>
        <v>3</v>
      </c>
      <c r="P34" s="18" t="str">
        <f t="shared" si="3"/>
        <v>(32,3)</v>
      </c>
    </row>
    <row r="35" spans="1:16" hidden="1" x14ac:dyDescent="0.2">
      <c r="A35" s="4">
        <f t="shared" si="9"/>
        <v>33</v>
      </c>
      <c r="B35" s="26">
        <f t="shared" si="0"/>
        <v>48</v>
      </c>
      <c r="C35" s="7">
        <f t="shared" si="10"/>
        <v>45263</v>
      </c>
      <c r="D35" s="11" t="str">
        <f t="shared" si="4"/>
        <v>{2023-12-03},</v>
      </c>
      <c r="E35" s="17">
        <f>COUNTIFS(Sheet1!$C:$C,Feuil1!E$1,Sheet1!$D:$D,Feuil1!$C35)</f>
        <v>0</v>
      </c>
      <c r="F35" s="6">
        <f t="shared" si="11"/>
        <v>5</v>
      </c>
      <c r="G35" s="18" t="str">
        <f t="shared" si="5"/>
        <v>(33,5)</v>
      </c>
      <c r="H35" s="17">
        <f>COUNTIFS(Sheet1!$C:$C,Feuil1!H$1,Sheet1!$D:$D,Feuil1!$C35)</f>
        <v>0</v>
      </c>
      <c r="I35" s="6">
        <f t="shared" si="6"/>
        <v>2</v>
      </c>
      <c r="J35" s="18" t="str">
        <f t="shared" si="1"/>
        <v>(33,2)</v>
      </c>
      <c r="K35" s="17">
        <f>COUNTIFS(Sheet1!$C:$C,Feuil1!K$1,Sheet1!$D:$D,Feuil1!$C35)</f>
        <v>0</v>
      </c>
      <c r="L35" s="6">
        <f t="shared" si="7"/>
        <v>3</v>
      </c>
      <c r="M35" s="18" t="str">
        <f t="shared" si="2"/>
        <v>(33,3)</v>
      </c>
      <c r="N35" s="17">
        <f>COUNTIFS(Sheet1!$C:$C,Feuil1!N$1,Sheet1!$D:$D,Feuil1!$C35)</f>
        <v>0</v>
      </c>
      <c r="O35" s="6">
        <f t="shared" si="8"/>
        <v>3</v>
      </c>
      <c r="P35" s="18" t="str">
        <f t="shared" si="3"/>
        <v>(33,3)</v>
      </c>
    </row>
    <row r="36" spans="1:16" x14ac:dyDescent="0.2">
      <c r="A36" s="4">
        <f t="shared" si="9"/>
        <v>34</v>
      </c>
      <c r="B36" s="25">
        <f t="shared" si="0"/>
        <v>49</v>
      </c>
      <c r="C36" s="7">
        <f t="shared" si="10"/>
        <v>45264</v>
      </c>
      <c r="D36" s="11" t="str">
        <f t="shared" si="4"/>
        <v>{2023-12-04},</v>
      </c>
      <c r="E36" s="17">
        <f>COUNTIFS(Sheet1!$C:$C,Feuil1!E$1,Sheet1!$D:$D,Feuil1!$C36)</f>
        <v>0</v>
      </c>
      <c r="F36" s="6">
        <f t="shared" si="11"/>
        <v>5</v>
      </c>
      <c r="G36" s="18" t="str">
        <f t="shared" si="5"/>
        <v>(34,5)</v>
      </c>
      <c r="H36" s="17">
        <f>COUNTIFS(Sheet1!$C:$C,Feuil1!H$1,Sheet1!$D:$D,Feuil1!$C36)</f>
        <v>1</v>
      </c>
      <c r="I36" s="6">
        <f t="shared" si="6"/>
        <v>3</v>
      </c>
      <c r="J36" s="18" t="str">
        <f t="shared" si="1"/>
        <v>(34,3)</v>
      </c>
      <c r="K36" s="17">
        <f>COUNTIFS(Sheet1!$C:$C,Feuil1!K$1,Sheet1!$D:$D,Feuil1!$C36)</f>
        <v>0</v>
      </c>
      <c r="L36" s="6">
        <f t="shared" si="7"/>
        <v>3</v>
      </c>
      <c r="M36" s="18" t="str">
        <f t="shared" si="2"/>
        <v>(34,3)</v>
      </c>
      <c r="N36" s="17">
        <f>COUNTIFS(Sheet1!$C:$C,Feuil1!N$1,Sheet1!$D:$D,Feuil1!$C36)</f>
        <v>0</v>
      </c>
      <c r="O36" s="6">
        <f t="shared" si="8"/>
        <v>3</v>
      </c>
      <c r="P36" s="18" t="str">
        <f t="shared" si="3"/>
        <v>(34,3)</v>
      </c>
    </row>
    <row r="37" spans="1:16" hidden="1" x14ac:dyDescent="0.2">
      <c r="A37" s="4">
        <f t="shared" si="9"/>
        <v>35</v>
      </c>
      <c r="B37" s="26">
        <f t="shared" si="0"/>
        <v>49</v>
      </c>
      <c r="C37" s="7">
        <f t="shared" si="10"/>
        <v>45265</v>
      </c>
      <c r="D37" s="11" t="str">
        <f t="shared" si="4"/>
        <v>{2023-12-05},</v>
      </c>
      <c r="E37" s="17">
        <f>COUNTIFS(Sheet1!$C:$C,Feuil1!E$1,Sheet1!$D:$D,Feuil1!$C37)</f>
        <v>0</v>
      </c>
      <c r="F37" s="6">
        <f t="shared" si="11"/>
        <v>5</v>
      </c>
      <c r="G37" s="18" t="str">
        <f t="shared" si="5"/>
        <v>(35,5)</v>
      </c>
      <c r="H37" s="17">
        <f>COUNTIFS(Sheet1!$C:$C,Feuil1!H$1,Sheet1!$D:$D,Feuil1!$C37)</f>
        <v>1</v>
      </c>
      <c r="I37" s="6">
        <f t="shared" si="6"/>
        <v>4</v>
      </c>
      <c r="J37" s="18" t="str">
        <f t="shared" si="1"/>
        <v>(35,4)</v>
      </c>
      <c r="K37" s="17">
        <f>COUNTIFS(Sheet1!$C:$C,Feuil1!K$1,Sheet1!$D:$D,Feuil1!$C37)</f>
        <v>0</v>
      </c>
      <c r="L37" s="6">
        <f t="shared" si="7"/>
        <v>3</v>
      </c>
      <c r="M37" s="18" t="str">
        <f t="shared" si="2"/>
        <v>(35,3)</v>
      </c>
      <c r="N37" s="17">
        <f>COUNTIFS(Sheet1!$C:$C,Feuil1!N$1,Sheet1!$D:$D,Feuil1!$C37)</f>
        <v>0</v>
      </c>
      <c r="O37" s="6">
        <f t="shared" si="8"/>
        <v>3</v>
      </c>
      <c r="P37" s="18" t="str">
        <f t="shared" si="3"/>
        <v>(35,3)</v>
      </c>
    </row>
    <row r="38" spans="1:16" hidden="1" x14ac:dyDescent="0.2">
      <c r="A38" s="4">
        <f t="shared" si="9"/>
        <v>36</v>
      </c>
      <c r="B38" s="26">
        <f t="shared" si="0"/>
        <v>49</v>
      </c>
      <c r="C38" s="7">
        <f t="shared" si="10"/>
        <v>45266</v>
      </c>
      <c r="D38" s="11" t="str">
        <f t="shared" si="4"/>
        <v>{2023-12-06},</v>
      </c>
      <c r="E38" s="17">
        <f>COUNTIFS(Sheet1!$C:$C,Feuil1!E$1,Sheet1!$D:$D,Feuil1!$C38)</f>
        <v>0</v>
      </c>
      <c r="F38" s="6">
        <f t="shared" si="11"/>
        <v>5</v>
      </c>
      <c r="G38" s="18" t="str">
        <f t="shared" si="5"/>
        <v>(36,5)</v>
      </c>
      <c r="H38" s="17">
        <f>COUNTIFS(Sheet1!$C:$C,Feuil1!H$1,Sheet1!$D:$D,Feuil1!$C38)</f>
        <v>0</v>
      </c>
      <c r="I38" s="6">
        <f t="shared" si="6"/>
        <v>4</v>
      </c>
      <c r="J38" s="18" t="str">
        <f t="shared" si="1"/>
        <v>(36,4)</v>
      </c>
      <c r="K38" s="17">
        <f>COUNTIFS(Sheet1!$C:$C,Feuil1!K$1,Sheet1!$D:$D,Feuil1!$C38)</f>
        <v>0</v>
      </c>
      <c r="L38" s="6">
        <f t="shared" si="7"/>
        <v>3</v>
      </c>
      <c r="M38" s="18" t="str">
        <f t="shared" si="2"/>
        <v>(36,3)</v>
      </c>
      <c r="N38" s="17">
        <f>COUNTIFS(Sheet1!$C:$C,Feuil1!N$1,Sheet1!$D:$D,Feuil1!$C38)</f>
        <v>0</v>
      </c>
      <c r="O38" s="6">
        <f t="shared" si="8"/>
        <v>3</v>
      </c>
      <c r="P38" s="18" t="str">
        <f t="shared" si="3"/>
        <v>(36,3)</v>
      </c>
    </row>
    <row r="39" spans="1:16" hidden="1" x14ac:dyDescent="0.2">
      <c r="A39" s="4">
        <f t="shared" si="9"/>
        <v>37</v>
      </c>
      <c r="B39" s="26">
        <f t="shared" si="0"/>
        <v>49</v>
      </c>
      <c r="C39" s="7">
        <f t="shared" si="10"/>
        <v>45267</v>
      </c>
      <c r="D39" s="11" t="str">
        <f t="shared" si="4"/>
        <v>{2023-12-07},</v>
      </c>
      <c r="E39" s="17">
        <f>COUNTIFS(Sheet1!$C:$C,Feuil1!E$1,Sheet1!$D:$D,Feuil1!$C39)</f>
        <v>0</v>
      </c>
      <c r="F39" s="6">
        <f t="shared" si="11"/>
        <v>5</v>
      </c>
      <c r="G39" s="18" t="str">
        <f t="shared" si="5"/>
        <v>(37,5)</v>
      </c>
      <c r="H39" s="17">
        <f>COUNTIFS(Sheet1!$C:$C,Feuil1!H$1,Sheet1!$D:$D,Feuil1!$C39)</f>
        <v>0</v>
      </c>
      <c r="I39" s="6">
        <f t="shared" si="6"/>
        <v>4</v>
      </c>
      <c r="J39" s="18" t="str">
        <f t="shared" si="1"/>
        <v>(37,4)</v>
      </c>
      <c r="K39" s="17">
        <f>COUNTIFS(Sheet1!$C:$C,Feuil1!K$1,Sheet1!$D:$D,Feuil1!$C39)</f>
        <v>0</v>
      </c>
      <c r="L39" s="6">
        <f t="shared" si="7"/>
        <v>3</v>
      </c>
      <c r="M39" s="18" t="str">
        <f t="shared" si="2"/>
        <v>(37,3)</v>
      </c>
      <c r="N39" s="17">
        <f>COUNTIFS(Sheet1!$C:$C,Feuil1!N$1,Sheet1!$D:$D,Feuil1!$C39)</f>
        <v>0</v>
      </c>
      <c r="O39" s="6">
        <f t="shared" si="8"/>
        <v>3</v>
      </c>
      <c r="P39" s="18" t="str">
        <f t="shared" si="3"/>
        <v>(37,3)</v>
      </c>
    </row>
    <row r="40" spans="1:16" hidden="1" x14ac:dyDescent="0.2">
      <c r="A40" s="4">
        <f t="shared" si="9"/>
        <v>38</v>
      </c>
      <c r="B40" s="26">
        <f t="shared" si="0"/>
        <v>49</v>
      </c>
      <c r="C40" s="7">
        <f t="shared" si="10"/>
        <v>45268</v>
      </c>
      <c r="D40" s="11" t="str">
        <f t="shared" si="4"/>
        <v>{2023-12-08},</v>
      </c>
      <c r="E40" s="17">
        <f>COUNTIFS(Sheet1!$C:$C,Feuil1!E$1,Sheet1!$D:$D,Feuil1!$C40)</f>
        <v>0</v>
      </c>
      <c r="F40" s="6">
        <f t="shared" si="11"/>
        <v>5</v>
      </c>
      <c r="G40" s="18" t="str">
        <f t="shared" si="5"/>
        <v>(38,5)</v>
      </c>
      <c r="H40" s="17">
        <f>COUNTIFS(Sheet1!$C:$C,Feuil1!H$1,Sheet1!$D:$D,Feuil1!$C40)</f>
        <v>0</v>
      </c>
      <c r="I40" s="6">
        <f t="shared" si="6"/>
        <v>4</v>
      </c>
      <c r="J40" s="18" t="str">
        <f t="shared" si="1"/>
        <v>(38,4)</v>
      </c>
      <c r="K40" s="17">
        <f>COUNTIFS(Sheet1!$C:$C,Feuil1!K$1,Sheet1!$D:$D,Feuil1!$C40)</f>
        <v>0</v>
      </c>
      <c r="L40" s="6">
        <f t="shared" si="7"/>
        <v>3</v>
      </c>
      <c r="M40" s="18" t="str">
        <f t="shared" si="2"/>
        <v>(38,3)</v>
      </c>
      <c r="N40" s="17">
        <f>COUNTIFS(Sheet1!$C:$C,Feuil1!N$1,Sheet1!$D:$D,Feuil1!$C40)</f>
        <v>1</v>
      </c>
      <c r="O40" s="6">
        <f t="shared" si="8"/>
        <v>4</v>
      </c>
      <c r="P40" s="18" t="str">
        <f t="shared" si="3"/>
        <v>(38,4)</v>
      </c>
    </row>
    <row r="41" spans="1:16" hidden="1" x14ac:dyDescent="0.2">
      <c r="A41" s="4">
        <f t="shared" si="9"/>
        <v>39</v>
      </c>
      <c r="B41" s="26">
        <f t="shared" si="0"/>
        <v>49</v>
      </c>
      <c r="C41" s="7">
        <f t="shared" si="10"/>
        <v>45269</v>
      </c>
      <c r="D41" s="11" t="str">
        <f t="shared" si="4"/>
        <v>{2023-12-09},</v>
      </c>
      <c r="E41" s="17">
        <f>COUNTIFS(Sheet1!$C:$C,Feuil1!E$1,Sheet1!$D:$D,Feuil1!$C41)</f>
        <v>0</v>
      </c>
      <c r="F41" s="6">
        <f t="shared" si="11"/>
        <v>5</v>
      </c>
      <c r="G41" s="18" t="str">
        <f t="shared" si="5"/>
        <v>(39,5)</v>
      </c>
      <c r="H41" s="17">
        <f>COUNTIFS(Sheet1!$C:$C,Feuil1!H$1,Sheet1!$D:$D,Feuil1!$C41)</f>
        <v>0</v>
      </c>
      <c r="I41" s="6">
        <f t="shared" si="6"/>
        <v>4</v>
      </c>
      <c r="J41" s="18" t="str">
        <f t="shared" si="1"/>
        <v>(39,4)</v>
      </c>
      <c r="K41" s="17">
        <f>COUNTIFS(Sheet1!$C:$C,Feuil1!K$1,Sheet1!$D:$D,Feuil1!$C41)</f>
        <v>0</v>
      </c>
      <c r="L41" s="6">
        <f t="shared" si="7"/>
        <v>3</v>
      </c>
      <c r="M41" s="18" t="str">
        <f t="shared" si="2"/>
        <v>(39,3)</v>
      </c>
      <c r="N41" s="17">
        <f>COUNTIFS(Sheet1!$C:$C,Feuil1!N$1,Sheet1!$D:$D,Feuil1!$C41)</f>
        <v>0</v>
      </c>
      <c r="O41" s="6">
        <f t="shared" si="8"/>
        <v>4</v>
      </c>
      <c r="P41" s="18" t="str">
        <f t="shared" si="3"/>
        <v>(39,4)</v>
      </c>
    </row>
    <row r="42" spans="1:16" hidden="1" x14ac:dyDescent="0.2">
      <c r="A42" s="4">
        <f t="shared" si="9"/>
        <v>40</v>
      </c>
      <c r="B42" s="26">
        <f t="shared" si="0"/>
        <v>49</v>
      </c>
      <c r="C42" s="7">
        <f t="shared" si="10"/>
        <v>45270</v>
      </c>
      <c r="D42" s="11" t="str">
        <f t="shared" si="4"/>
        <v>{2023-12-10},</v>
      </c>
      <c r="E42" s="17">
        <f>COUNTIFS(Sheet1!$C:$C,Feuil1!E$1,Sheet1!$D:$D,Feuil1!$C42)</f>
        <v>0</v>
      </c>
      <c r="F42" s="6">
        <f t="shared" si="11"/>
        <v>5</v>
      </c>
      <c r="G42" s="18" t="str">
        <f t="shared" si="5"/>
        <v>(40,5)</v>
      </c>
      <c r="H42" s="17">
        <f>COUNTIFS(Sheet1!$C:$C,Feuil1!H$1,Sheet1!$D:$D,Feuil1!$C42)</f>
        <v>0</v>
      </c>
      <c r="I42" s="6">
        <f t="shared" si="6"/>
        <v>4</v>
      </c>
      <c r="J42" s="18" t="str">
        <f t="shared" si="1"/>
        <v>(40,4)</v>
      </c>
      <c r="K42" s="17">
        <f>COUNTIFS(Sheet1!$C:$C,Feuil1!K$1,Sheet1!$D:$D,Feuil1!$C42)</f>
        <v>0</v>
      </c>
      <c r="L42" s="6">
        <f t="shared" si="7"/>
        <v>3</v>
      </c>
      <c r="M42" s="18" t="str">
        <f t="shared" si="2"/>
        <v>(40,3)</v>
      </c>
      <c r="N42" s="17">
        <f>COUNTIFS(Sheet1!$C:$C,Feuil1!N$1,Sheet1!$D:$D,Feuil1!$C42)</f>
        <v>0</v>
      </c>
      <c r="O42" s="6">
        <f t="shared" si="8"/>
        <v>4</v>
      </c>
      <c r="P42" s="18" t="str">
        <f t="shared" si="3"/>
        <v>(40,4)</v>
      </c>
    </row>
    <row r="43" spans="1:16" x14ac:dyDescent="0.2">
      <c r="A43" s="4">
        <f t="shared" si="9"/>
        <v>41</v>
      </c>
      <c r="B43" s="25">
        <f t="shared" si="0"/>
        <v>50</v>
      </c>
      <c r="C43" s="7">
        <f t="shared" si="10"/>
        <v>45271</v>
      </c>
      <c r="D43" s="11" t="str">
        <f t="shared" si="4"/>
        <v>{2023-12-11},</v>
      </c>
      <c r="E43" s="17">
        <f>COUNTIFS(Sheet1!$C:$C,Feuil1!E$1,Sheet1!$D:$D,Feuil1!$C43)</f>
        <v>0</v>
      </c>
      <c r="F43" s="6">
        <f t="shared" si="11"/>
        <v>5</v>
      </c>
      <c r="G43" s="18" t="str">
        <f t="shared" si="5"/>
        <v>(41,5)</v>
      </c>
      <c r="H43" s="17">
        <f>COUNTIFS(Sheet1!$C:$C,Feuil1!H$1,Sheet1!$D:$D,Feuil1!$C43)</f>
        <v>0</v>
      </c>
      <c r="I43" s="6">
        <f t="shared" si="6"/>
        <v>4</v>
      </c>
      <c r="J43" s="18" t="str">
        <f t="shared" si="1"/>
        <v>(41,4)</v>
      </c>
      <c r="K43" s="17">
        <f>COUNTIFS(Sheet1!$C:$C,Feuil1!K$1,Sheet1!$D:$D,Feuil1!$C43)</f>
        <v>0</v>
      </c>
      <c r="L43" s="6">
        <f t="shared" si="7"/>
        <v>3</v>
      </c>
      <c r="M43" s="18" t="str">
        <f t="shared" si="2"/>
        <v>(41,3)</v>
      </c>
      <c r="N43" s="17">
        <f>COUNTIFS(Sheet1!$C:$C,Feuil1!N$1,Sheet1!$D:$D,Feuil1!$C43)</f>
        <v>0</v>
      </c>
      <c r="O43" s="6">
        <f t="shared" si="8"/>
        <v>4</v>
      </c>
      <c r="P43" s="18" t="str">
        <f t="shared" si="3"/>
        <v>(41,4)</v>
      </c>
    </row>
    <row r="44" spans="1:16" hidden="1" x14ac:dyDescent="0.2">
      <c r="A44" s="4">
        <f t="shared" si="9"/>
        <v>42</v>
      </c>
      <c r="B44" s="26">
        <f t="shared" si="0"/>
        <v>50</v>
      </c>
      <c r="C44" s="7">
        <f t="shared" si="10"/>
        <v>45272</v>
      </c>
      <c r="D44" s="11" t="str">
        <f t="shared" si="4"/>
        <v>{2023-12-12},</v>
      </c>
      <c r="E44" s="17">
        <f>COUNTIFS(Sheet1!$C:$C,Feuil1!E$1,Sheet1!$D:$D,Feuil1!$C44)</f>
        <v>0</v>
      </c>
      <c r="F44" s="6">
        <f t="shared" si="11"/>
        <v>5</v>
      </c>
      <c r="G44" s="18" t="str">
        <f t="shared" si="5"/>
        <v>(42,5)</v>
      </c>
      <c r="H44" s="17">
        <f>COUNTIFS(Sheet1!$C:$C,Feuil1!H$1,Sheet1!$D:$D,Feuil1!$C44)</f>
        <v>0</v>
      </c>
      <c r="I44" s="6">
        <f t="shared" si="6"/>
        <v>4</v>
      </c>
      <c r="J44" s="18" t="str">
        <f t="shared" si="1"/>
        <v>(42,4)</v>
      </c>
      <c r="K44" s="17">
        <f>COUNTIFS(Sheet1!$C:$C,Feuil1!K$1,Sheet1!$D:$D,Feuil1!$C44)</f>
        <v>0</v>
      </c>
      <c r="L44" s="6">
        <f t="shared" si="7"/>
        <v>3</v>
      </c>
      <c r="M44" s="18" t="str">
        <f t="shared" si="2"/>
        <v>(42,3)</v>
      </c>
      <c r="N44" s="17">
        <f>COUNTIFS(Sheet1!$C:$C,Feuil1!N$1,Sheet1!$D:$D,Feuil1!$C44)</f>
        <v>0</v>
      </c>
      <c r="O44" s="6">
        <f t="shared" si="8"/>
        <v>4</v>
      </c>
      <c r="P44" s="18" t="str">
        <f t="shared" si="3"/>
        <v>(42,4)</v>
      </c>
    </row>
    <row r="45" spans="1:16" hidden="1" x14ac:dyDescent="0.2">
      <c r="A45" s="4">
        <f t="shared" si="9"/>
        <v>43</v>
      </c>
      <c r="B45" s="26">
        <f t="shared" si="0"/>
        <v>50</v>
      </c>
      <c r="C45" s="7">
        <f t="shared" si="10"/>
        <v>45273</v>
      </c>
      <c r="D45" s="11" t="str">
        <f t="shared" si="4"/>
        <v>{2023-12-13},</v>
      </c>
      <c r="E45" s="17">
        <f>COUNTIFS(Sheet1!$C:$C,Feuil1!E$1,Sheet1!$D:$D,Feuil1!$C45)</f>
        <v>0</v>
      </c>
      <c r="F45" s="6">
        <f t="shared" si="11"/>
        <v>5</v>
      </c>
      <c r="G45" s="18" t="str">
        <f t="shared" si="5"/>
        <v>(43,5)</v>
      </c>
      <c r="H45" s="17">
        <f>COUNTIFS(Sheet1!$C:$C,Feuil1!H$1,Sheet1!$D:$D,Feuil1!$C45)</f>
        <v>0</v>
      </c>
      <c r="I45" s="6">
        <f t="shared" si="6"/>
        <v>4</v>
      </c>
      <c r="J45" s="18" t="str">
        <f t="shared" si="1"/>
        <v>(43,4)</v>
      </c>
      <c r="K45" s="17">
        <f>COUNTIFS(Sheet1!$C:$C,Feuil1!K$1,Sheet1!$D:$D,Feuil1!$C45)</f>
        <v>0</v>
      </c>
      <c r="L45" s="6">
        <f t="shared" si="7"/>
        <v>3</v>
      </c>
      <c r="M45" s="18" t="str">
        <f t="shared" si="2"/>
        <v>(43,3)</v>
      </c>
      <c r="N45" s="17">
        <f>COUNTIFS(Sheet1!$C:$C,Feuil1!N$1,Sheet1!$D:$D,Feuil1!$C45)</f>
        <v>0</v>
      </c>
      <c r="O45" s="6">
        <f t="shared" si="8"/>
        <v>4</v>
      </c>
      <c r="P45" s="18" t="str">
        <f t="shared" si="3"/>
        <v>(43,4)</v>
      </c>
    </row>
    <row r="46" spans="1:16" hidden="1" x14ac:dyDescent="0.2">
      <c r="A46" s="4">
        <f t="shared" si="9"/>
        <v>44</v>
      </c>
      <c r="B46" s="26">
        <f t="shared" si="0"/>
        <v>50</v>
      </c>
      <c r="C46" s="7">
        <f t="shared" si="10"/>
        <v>45274</v>
      </c>
      <c r="D46" s="11" t="str">
        <f t="shared" si="4"/>
        <v>{2023-12-14},</v>
      </c>
      <c r="E46" s="17">
        <f>COUNTIFS(Sheet1!$C:$C,Feuil1!E$1,Sheet1!$D:$D,Feuil1!$C46)</f>
        <v>0</v>
      </c>
      <c r="F46" s="6">
        <f t="shared" si="11"/>
        <v>5</v>
      </c>
      <c r="G46" s="18" t="str">
        <f t="shared" si="5"/>
        <v>(44,5)</v>
      </c>
      <c r="H46" s="17">
        <f>COUNTIFS(Sheet1!$C:$C,Feuil1!H$1,Sheet1!$D:$D,Feuil1!$C46)</f>
        <v>0</v>
      </c>
      <c r="I46" s="6">
        <f t="shared" si="6"/>
        <v>4</v>
      </c>
      <c r="J46" s="18" t="str">
        <f t="shared" si="1"/>
        <v>(44,4)</v>
      </c>
      <c r="K46" s="17">
        <f>COUNTIFS(Sheet1!$C:$C,Feuil1!K$1,Sheet1!$D:$D,Feuil1!$C46)</f>
        <v>0</v>
      </c>
      <c r="L46" s="6">
        <f t="shared" si="7"/>
        <v>3</v>
      </c>
      <c r="M46" s="18" t="str">
        <f t="shared" si="2"/>
        <v>(44,3)</v>
      </c>
      <c r="N46" s="17">
        <f>COUNTIFS(Sheet1!$C:$C,Feuil1!N$1,Sheet1!$D:$D,Feuil1!$C46)</f>
        <v>0</v>
      </c>
      <c r="O46" s="6">
        <f t="shared" si="8"/>
        <v>4</v>
      </c>
      <c r="P46" s="18" t="str">
        <f t="shared" si="3"/>
        <v>(44,4)</v>
      </c>
    </row>
    <row r="47" spans="1:16" hidden="1" x14ac:dyDescent="0.2">
      <c r="A47" s="4">
        <f t="shared" si="9"/>
        <v>45</v>
      </c>
      <c r="B47" s="26">
        <f t="shared" si="0"/>
        <v>50</v>
      </c>
      <c r="C47" s="7">
        <f t="shared" si="10"/>
        <v>45275</v>
      </c>
      <c r="D47" s="11" t="str">
        <f t="shared" si="4"/>
        <v>{2023-12-15},</v>
      </c>
      <c r="E47" s="17">
        <f>COUNTIFS(Sheet1!$C:$C,Feuil1!E$1,Sheet1!$D:$D,Feuil1!$C47)</f>
        <v>0</v>
      </c>
      <c r="F47" s="6">
        <f t="shared" si="11"/>
        <v>5</v>
      </c>
      <c r="G47" s="18" t="str">
        <f t="shared" si="5"/>
        <v>(45,5)</v>
      </c>
      <c r="H47" s="17">
        <f>COUNTIFS(Sheet1!$C:$C,Feuil1!H$1,Sheet1!$D:$D,Feuil1!$C47)</f>
        <v>0</v>
      </c>
      <c r="I47" s="6">
        <f t="shared" si="6"/>
        <v>4</v>
      </c>
      <c r="J47" s="18" t="str">
        <f t="shared" si="1"/>
        <v>(45,4)</v>
      </c>
      <c r="K47" s="17">
        <f>COUNTIFS(Sheet1!$C:$C,Feuil1!K$1,Sheet1!$D:$D,Feuil1!$C47)</f>
        <v>0</v>
      </c>
      <c r="L47" s="6">
        <f t="shared" si="7"/>
        <v>3</v>
      </c>
      <c r="M47" s="18" t="str">
        <f t="shared" si="2"/>
        <v>(45,3)</v>
      </c>
      <c r="N47" s="17">
        <f>COUNTIFS(Sheet1!$C:$C,Feuil1!N$1,Sheet1!$D:$D,Feuil1!$C47)</f>
        <v>0</v>
      </c>
      <c r="O47" s="6">
        <f t="shared" si="8"/>
        <v>4</v>
      </c>
      <c r="P47" s="18" t="str">
        <f t="shared" si="3"/>
        <v>(45,4)</v>
      </c>
    </row>
    <row r="48" spans="1:16" hidden="1" x14ac:dyDescent="0.2">
      <c r="A48" s="4">
        <f t="shared" si="9"/>
        <v>46</v>
      </c>
      <c r="B48" s="26">
        <f t="shared" si="0"/>
        <v>50</v>
      </c>
      <c r="C48" s="7">
        <f t="shared" si="10"/>
        <v>45276</v>
      </c>
      <c r="D48" s="11" t="str">
        <f t="shared" si="4"/>
        <v>{2023-12-16},</v>
      </c>
      <c r="E48" s="17">
        <f>COUNTIFS(Sheet1!$C:$C,Feuil1!E$1,Sheet1!$D:$D,Feuil1!$C48)</f>
        <v>0</v>
      </c>
      <c r="F48" s="6">
        <f t="shared" si="11"/>
        <v>5</v>
      </c>
      <c r="G48" s="18" t="str">
        <f t="shared" si="5"/>
        <v>(46,5)</v>
      </c>
      <c r="H48" s="17">
        <f>COUNTIFS(Sheet1!$C:$C,Feuil1!H$1,Sheet1!$D:$D,Feuil1!$C48)</f>
        <v>0</v>
      </c>
      <c r="I48" s="6">
        <f t="shared" si="6"/>
        <v>4</v>
      </c>
      <c r="J48" s="18" t="str">
        <f t="shared" si="1"/>
        <v>(46,4)</v>
      </c>
      <c r="K48" s="17">
        <f>COUNTIFS(Sheet1!$C:$C,Feuil1!K$1,Sheet1!$D:$D,Feuil1!$C48)</f>
        <v>0</v>
      </c>
      <c r="L48" s="6">
        <f t="shared" si="7"/>
        <v>3</v>
      </c>
      <c r="M48" s="18" t="str">
        <f t="shared" si="2"/>
        <v>(46,3)</v>
      </c>
      <c r="N48" s="17">
        <f>COUNTIFS(Sheet1!$C:$C,Feuil1!N$1,Sheet1!$D:$D,Feuil1!$C48)</f>
        <v>0</v>
      </c>
      <c r="O48" s="6">
        <f t="shared" si="8"/>
        <v>4</v>
      </c>
      <c r="P48" s="18" t="str">
        <f t="shared" si="3"/>
        <v>(46,4)</v>
      </c>
    </row>
    <row r="49" spans="1:16" hidden="1" x14ac:dyDescent="0.2">
      <c r="A49" s="4">
        <f t="shared" si="9"/>
        <v>47</v>
      </c>
      <c r="B49" s="26">
        <f t="shared" si="0"/>
        <v>50</v>
      </c>
      <c r="C49" s="7">
        <f t="shared" si="10"/>
        <v>45277</v>
      </c>
      <c r="D49" s="11" t="str">
        <f t="shared" si="4"/>
        <v>{2023-12-17},</v>
      </c>
      <c r="E49" s="17">
        <f>COUNTIFS(Sheet1!$C:$C,Feuil1!E$1,Sheet1!$D:$D,Feuil1!$C49)</f>
        <v>0</v>
      </c>
      <c r="F49" s="6">
        <f t="shared" si="11"/>
        <v>5</v>
      </c>
      <c r="G49" s="18" t="str">
        <f t="shared" si="5"/>
        <v>(47,5)</v>
      </c>
      <c r="H49" s="17">
        <f>COUNTIFS(Sheet1!$C:$C,Feuil1!H$1,Sheet1!$D:$D,Feuil1!$C49)</f>
        <v>0</v>
      </c>
      <c r="I49" s="6">
        <f t="shared" si="6"/>
        <v>4</v>
      </c>
      <c r="J49" s="18" t="str">
        <f t="shared" si="1"/>
        <v>(47,4)</v>
      </c>
      <c r="K49" s="17">
        <f>COUNTIFS(Sheet1!$C:$C,Feuil1!K$1,Sheet1!$D:$D,Feuil1!$C49)</f>
        <v>0</v>
      </c>
      <c r="L49" s="6">
        <f t="shared" si="7"/>
        <v>3</v>
      </c>
      <c r="M49" s="18" t="str">
        <f t="shared" si="2"/>
        <v>(47,3)</v>
      </c>
      <c r="N49" s="17">
        <f>COUNTIFS(Sheet1!$C:$C,Feuil1!N$1,Sheet1!$D:$D,Feuil1!$C49)</f>
        <v>0</v>
      </c>
      <c r="O49" s="6">
        <f t="shared" si="8"/>
        <v>4</v>
      </c>
      <c r="P49" s="18" t="str">
        <f t="shared" si="3"/>
        <v>(47,4)</v>
      </c>
    </row>
    <row r="50" spans="1:16" x14ac:dyDescent="0.2">
      <c r="A50" s="4">
        <f t="shared" si="9"/>
        <v>48</v>
      </c>
      <c r="B50" s="25">
        <f t="shared" si="0"/>
        <v>51</v>
      </c>
      <c r="C50" s="7">
        <f t="shared" si="10"/>
        <v>45278</v>
      </c>
      <c r="D50" s="11" t="str">
        <f t="shared" si="4"/>
        <v>{2023-12-18},</v>
      </c>
      <c r="E50" s="17">
        <f>COUNTIFS(Sheet1!$C:$C,Feuil1!E$1,Sheet1!$D:$D,Feuil1!$C50)</f>
        <v>0</v>
      </c>
      <c r="F50" s="6">
        <f t="shared" si="11"/>
        <v>5</v>
      </c>
      <c r="G50" s="18" t="str">
        <f t="shared" si="5"/>
        <v>(48,5)</v>
      </c>
      <c r="H50" s="17">
        <f>COUNTIFS(Sheet1!$C:$C,Feuil1!H$1,Sheet1!$D:$D,Feuil1!$C50)</f>
        <v>0</v>
      </c>
      <c r="I50" s="6">
        <f t="shared" si="6"/>
        <v>4</v>
      </c>
      <c r="J50" s="18" t="str">
        <f t="shared" si="1"/>
        <v>(48,4)</v>
      </c>
      <c r="K50" s="17">
        <f>COUNTIFS(Sheet1!$C:$C,Feuil1!K$1,Sheet1!$D:$D,Feuil1!$C50)</f>
        <v>0</v>
      </c>
      <c r="L50" s="6">
        <f t="shared" si="7"/>
        <v>3</v>
      </c>
      <c r="M50" s="18" t="str">
        <f t="shared" si="2"/>
        <v>(48,3)</v>
      </c>
      <c r="N50" s="17">
        <f>COUNTIFS(Sheet1!$C:$C,Feuil1!N$1,Sheet1!$D:$D,Feuil1!$C50)</f>
        <v>1</v>
      </c>
      <c r="O50" s="6">
        <f t="shared" si="8"/>
        <v>5</v>
      </c>
      <c r="P50" s="18" t="str">
        <f t="shared" si="3"/>
        <v>(48,5)</v>
      </c>
    </row>
    <row r="51" spans="1:16" hidden="1" x14ac:dyDescent="0.2">
      <c r="A51" s="4">
        <f t="shared" si="9"/>
        <v>49</v>
      </c>
      <c r="B51" s="26">
        <f t="shared" si="0"/>
        <v>51</v>
      </c>
      <c r="C51" s="7">
        <f t="shared" si="10"/>
        <v>45279</v>
      </c>
      <c r="D51" s="11" t="str">
        <f t="shared" si="4"/>
        <v>{2023-12-19},</v>
      </c>
      <c r="E51" s="17">
        <f>COUNTIFS(Sheet1!$C:$C,Feuil1!E$1,Sheet1!$D:$D,Feuil1!$C51)</f>
        <v>0</v>
      </c>
      <c r="F51" s="6">
        <f t="shared" si="11"/>
        <v>5</v>
      </c>
      <c r="G51" s="18" t="str">
        <f t="shared" si="5"/>
        <v>(49,5)</v>
      </c>
      <c r="H51" s="17">
        <f>COUNTIFS(Sheet1!$C:$C,Feuil1!H$1,Sheet1!$D:$D,Feuil1!$C51)</f>
        <v>0</v>
      </c>
      <c r="I51" s="6">
        <f t="shared" si="6"/>
        <v>4</v>
      </c>
      <c r="J51" s="18" t="str">
        <f t="shared" si="1"/>
        <v>(49,4)</v>
      </c>
      <c r="K51" s="17">
        <f>COUNTIFS(Sheet1!$C:$C,Feuil1!K$1,Sheet1!$D:$D,Feuil1!$C51)</f>
        <v>0</v>
      </c>
      <c r="L51" s="6">
        <f t="shared" si="7"/>
        <v>3</v>
      </c>
      <c r="M51" s="18" t="str">
        <f t="shared" si="2"/>
        <v>(49,3)</v>
      </c>
      <c r="N51" s="17">
        <f>COUNTIFS(Sheet1!$C:$C,Feuil1!N$1,Sheet1!$D:$D,Feuil1!$C51)</f>
        <v>0</v>
      </c>
      <c r="O51" s="6">
        <f t="shared" si="8"/>
        <v>5</v>
      </c>
      <c r="P51" s="18" t="str">
        <f t="shared" si="3"/>
        <v>(49,5)</v>
      </c>
    </row>
    <row r="52" spans="1:16" hidden="1" x14ac:dyDescent="0.2">
      <c r="A52" s="4">
        <f t="shared" si="9"/>
        <v>50</v>
      </c>
      <c r="B52" s="26">
        <f t="shared" si="0"/>
        <v>51</v>
      </c>
      <c r="C52" s="7">
        <f t="shared" si="10"/>
        <v>45280</v>
      </c>
      <c r="D52" s="11" t="str">
        <f t="shared" si="4"/>
        <v>{2023-12-20},</v>
      </c>
      <c r="E52" s="17">
        <f>COUNTIFS(Sheet1!$C:$C,Feuil1!E$1,Sheet1!$D:$D,Feuil1!$C52)</f>
        <v>0</v>
      </c>
      <c r="F52" s="6">
        <f t="shared" si="11"/>
        <v>5</v>
      </c>
      <c r="G52" s="18" t="str">
        <f t="shared" si="5"/>
        <v>(50,5)</v>
      </c>
      <c r="H52" s="17">
        <f>COUNTIFS(Sheet1!$C:$C,Feuil1!H$1,Sheet1!$D:$D,Feuil1!$C52)</f>
        <v>0</v>
      </c>
      <c r="I52" s="6">
        <f t="shared" si="6"/>
        <v>4</v>
      </c>
      <c r="J52" s="18" t="str">
        <f t="shared" si="1"/>
        <v>(50,4)</v>
      </c>
      <c r="K52" s="17">
        <f>COUNTIFS(Sheet1!$C:$C,Feuil1!K$1,Sheet1!$D:$D,Feuil1!$C52)</f>
        <v>0</v>
      </c>
      <c r="L52" s="6">
        <f t="shared" si="7"/>
        <v>3</v>
      </c>
      <c r="M52" s="18" t="str">
        <f t="shared" si="2"/>
        <v>(50,3)</v>
      </c>
      <c r="N52" s="17">
        <f>COUNTIFS(Sheet1!$C:$C,Feuil1!N$1,Sheet1!$D:$D,Feuil1!$C52)</f>
        <v>0</v>
      </c>
      <c r="O52" s="6">
        <f t="shared" si="8"/>
        <v>5</v>
      </c>
      <c r="P52" s="18" t="str">
        <f t="shared" si="3"/>
        <v>(50,5)</v>
      </c>
    </row>
    <row r="53" spans="1:16" hidden="1" x14ac:dyDescent="0.2">
      <c r="A53" s="4">
        <f t="shared" si="9"/>
        <v>51</v>
      </c>
      <c r="B53" s="26">
        <f t="shared" si="0"/>
        <v>51</v>
      </c>
      <c r="C53" s="7">
        <f t="shared" si="10"/>
        <v>45281</v>
      </c>
      <c r="D53" s="11" t="str">
        <f t="shared" si="4"/>
        <v>{2023-12-21},</v>
      </c>
      <c r="E53" s="17">
        <f>COUNTIFS(Sheet1!$C:$C,Feuil1!E$1,Sheet1!$D:$D,Feuil1!$C53)</f>
        <v>0</v>
      </c>
      <c r="F53" s="6">
        <f t="shared" si="11"/>
        <v>5</v>
      </c>
      <c r="G53" s="18" t="str">
        <f t="shared" si="5"/>
        <v>(51,5)</v>
      </c>
      <c r="H53" s="17">
        <f>COUNTIFS(Sheet1!$C:$C,Feuil1!H$1,Sheet1!$D:$D,Feuil1!$C53)</f>
        <v>0</v>
      </c>
      <c r="I53" s="6">
        <f t="shared" si="6"/>
        <v>4</v>
      </c>
      <c r="J53" s="18" t="str">
        <f t="shared" si="1"/>
        <v>(51,4)</v>
      </c>
      <c r="K53" s="17">
        <f>COUNTIFS(Sheet1!$C:$C,Feuil1!K$1,Sheet1!$D:$D,Feuil1!$C53)</f>
        <v>0</v>
      </c>
      <c r="L53" s="6">
        <f t="shared" si="7"/>
        <v>3</v>
      </c>
      <c r="M53" s="18" t="str">
        <f t="shared" si="2"/>
        <v>(51,3)</v>
      </c>
      <c r="N53" s="17">
        <f>COUNTIFS(Sheet1!$C:$C,Feuil1!N$1,Sheet1!$D:$D,Feuil1!$C53)</f>
        <v>0</v>
      </c>
      <c r="O53" s="6">
        <f t="shared" si="8"/>
        <v>5</v>
      </c>
      <c r="P53" s="18" t="str">
        <f t="shared" si="3"/>
        <v>(51,5)</v>
      </c>
    </row>
    <row r="54" spans="1:16" hidden="1" x14ac:dyDescent="0.2">
      <c r="A54" s="4">
        <f t="shared" si="9"/>
        <v>52</v>
      </c>
      <c r="B54" s="26">
        <f t="shared" si="0"/>
        <v>51</v>
      </c>
      <c r="C54" s="7">
        <f t="shared" si="10"/>
        <v>45282</v>
      </c>
      <c r="D54" s="11" t="str">
        <f t="shared" si="4"/>
        <v>{2023-12-22},</v>
      </c>
      <c r="E54" s="17">
        <f>COUNTIFS(Sheet1!$C:$C,Feuil1!E$1,Sheet1!$D:$D,Feuil1!$C54)</f>
        <v>0</v>
      </c>
      <c r="F54" s="6">
        <f t="shared" si="11"/>
        <v>5</v>
      </c>
      <c r="G54" s="18" t="str">
        <f t="shared" si="5"/>
        <v>(52,5)</v>
      </c>
      <c r="H54" s="17">
        <f>COUNTIFS(Sheet1!$C:$C,Feuil1!H$1,Sheet1!$D:$D,Feuil1!$C54)</f>
        <v>0</v>
      </c>
      <c r="I54" s="6">
        <f t="shared" si="6"/>
        <v>4</v>
      </c>
      <c r="J54" s="18" t="str">
        <f t="shared" si="1"/>
        <v>(52,4)</v>
      </c>
      <c r="K54" s="17">
        <f>COUNTIFS(Sheet1!$C:$C,Feuil1!K$1,Sheet1!$D:$D,Feuil1!$C54)</f>
        <v>0</v>
      </c>
      <c r="L54" s="6">
        <f t="shared" si="7"/>
        <v>3</v>
      </c>
      <c r="M54" s="18" t="str">
        <f t="shared" si="2"/>
        <v>(52,3)</v>
      </c>
      <c r="N54" s="17">
        <f>COUNTIFS(Sheet1!$C:$C,Feuil1!N$1,Sheet1!$D:$D,Feuil1!$C54)</f>
        <v>1</v>
      </c>
      <c r="O54" s="6">
        <f t="shared" si="8"/>
        <v>6</v>
      </c>
      <c r="P54" s="18" t="str">
        <f t="shared" si="3"/>
        <v>(52,6)</v>
      </c>
    </row>
    <row r="55" spans="1:16" hidden="1" x14ac:dyDescent="0.2">
      <c r="A55" s="4">
        <f t="shared" si="9"/>
        <v>53</v>
      </c>
      <c r="B55" s="26">
        <f t="shared" si="0"/>
        <v>51</v>
      </c>
      <c r="C55" s="7">
        <f t="shared" si="10"/>
        <v>45283</v>
      </c>
      <c r="D55" s="11" t="str">
        <f t="shared" si="4"/>
        <v>{2023-12-23},</v>
      </c>
      <c r="E55" s="17">
        <f>COUNTIFS(Sheet1!$C:$C,Feuil1!E$1,Sheet1!$D:$D,Feuil1!$C55)</f>
        <v>0</v>
      </c>
      <c r="F55" s="6">
        <f t="shared" si="11"/>
        <v>5</v>
      </c>
      <c r="G55" s="18" t="str">
        <f t="shared" si="5"/>
        <v>(53,5)</v>
      </c>
      <c r="H55" s="17">
        <f>COUNTIFS(Sheet1!$C:$C,Feuil1!H$1,Sheet1!$D:$D,Feuil1!$C55)</f>
        <v>0</v>
      </c>
      <c r="I55" s="6">
        <f t="shared" si="6"/>
        <v>4</v>
      </c>
      <c r="J55" s="18" t="str">
        <f t="shared" si="1"/>
        <v>(53,4)</v>
      </c>
      <c r="K55" s="17">
        <f>COUNTIFS(Sheet1!$C:$C,Feuil1!K$1,Sheet1!$D:$D,Feuil1!$C55)</f>
        <v>0</v>
      </c>
      <c r="L55" s="6">
        <f t="shared" si="7"/>
        <v>3</v>
      </c>
      <c r="M55" s="18" t="str">
        <f t="shared" si="2"/>
        <v>(53,3)</v>
      </c>
      <c r="N55" s="17">
        <f>COUNTIFS(Sheet1!$C:$C,Feuil1!N$1,Sheet1!$D:$D,Feuil1!$C55)</f>
        <v>0</v>
      </c>
      <c r="O55" s="6">
        <f t="shared" si="8"/>
        <v>6</v>
      </c>
      <c r="P55" s="18" t="str">
        <f t="shared" si="3"/>
        <v>(53,6)</v>
      </c>
    </row>
    <row r="56" spans="1:16" hidden="1" x14ac:dyDescent="0.2">
      <c r="A56" s="4">
        <f t="shared" si="9"/>
        <v>54</v>
      </c>
      <c r="B56" s="26">
        <f t="shared" si="0"/>
        <v>51</v>
      </c>
      <c r="C56" s="7">
        <f t="shared" si="10"/>
        <v>45284</v>
      </c>
      <c r="D56" s="11" t="str">
        <f t="shared" si="4"/>
        <v>{2023-12-24},</v>
      </c>
      <c r="E56" s="17">
        <f>COUNTIFS(Sheet1!$C:$C,Feuil1!E$1,Sheet1!$D:$D,Feuil1!$C56)</f>
        <v>0</v>
      </c>
      <c r="F56" s="6">
        <f t="shared" si="11"/>
        <v>5</v>
      </c>
      <c r="G56" s="18" t="str">
        <f t="shared" si="5"/>
        <v>(54,5)</v>
      </c>
      <c r="H56" s="17">
        <f>COUNTIFS(Sheet1!$C:$C,Feuil1!H$1,Sheet1!$D:$D,Feuil1!$C56)</f>
        <v>0</v>
      </c>
      <c r="I56" s="6">
        <f t="shared" si="6"/>
        <v>4</v>
      </c>
      <c r="J56" s="18" t="str">
        <f t="shared" si="1"/>
        <v>(54,4)</v>
      </c>
      <c r="K56" s="17">
        <f>COUNTIFS(Sheet1!$C:$C,Feuil1!K$1,Sheet1!$D:$D,Feuil1!$C56)</f>
        <v>0</v>
      </c>
      <c r="L56" s="6">
        <f t="shared" si="7"/>
        <v>3</v>
      </c>
      <c r="M56" s="18" t="str">
        <f t="shared" si="2"/>
        <v>(54,3)</v>
      </c>
      <c r="N56" s="17">
        <f>COUNTIFS(Sheet1!$C:$C,Feuil1!N$1,Sheet1!$D:$D,Feuil1!$C56)</f>
        <v>0</v>
      </c>
      <c r="O56" s="6">
        <f t="shared" si="8"/>
        <v>6</v>
      </c>
      <c r="P56" s="18" t="str">
        <f t="shared" si="3"/>
        <v>(54,6)</v>
      </c>
    </row>
    <row r="57" spans="1:16" x14ac:dyDescent="0.2">
      <c r="A57" s="4">
        <f t="shared" si="9"/>
        <v>55</v>
      </c>
      <c r="B57" s="25">
        <f t="shared" si="0"/>
        <v>52</v>
      </c>
      <c r="C57" s="7">
        <f t="shared" si="10"/>
        <v>45285</v>
      </c>
      <c r="D57" s="11" t="str">
        <f t="shared" si="4"/>
        <v>{2023-12-25},</v>
      </c>
      <c r="E57" s="17">
        <f>COUNTIFS(Sheet1!$C:$C,Feuil1!E$1,Sheet1!$D:$D,Feuil1!$C57)</f>
        <v>0</v>
      </c>
      <c r="F57" s="6">
        <f t="shared" si="11"/>
        <v>5</v>
      </c>
      <c r="G57" s="18" t="str">
        <f t="shared" si="5"/>
        <v>(55,5)</v>
      </c>
      <c r="H57" s="17">
        <f>COUNTIFS(Sheet1!$C:$C,Feuil1!H$1,Sheet1!$D:$D,Feuil1!$C57)</f>
        <v>0</v>
      </c>
      <c r="I57" s="6">
        <f t="shared" si="6"/>
        <v>4</v>
      </c>
      <c r="J57" s="18" t="str">
        <f t="shared" si="1"/>
        <v>(55,4)</v>
      </c>
      <c r="K57" s="17">
        <f>COUNTIFS(Sheet1!$C:$C,Feuil1!K$1,Sheet1!$D:$D,Feuil1!$C57)</f>
        <v>0</v>
      </c>
      <c r="L57" s="6">
        <f t="shared" si="7"/>
        <v>3</v>
      </c>
      <c r="M57" s="18" t="str">
        <f t="shared" si="2"/>
        <v>(55,3)</v>
      </c>
      <c r="N57" s="17">
        <f>COUNTIFS(Sheet1!$C:$C,Feuil1!N$1,Sheet1!$D:$D,Feuil1!$C57)</f>
        <v>0</v>
      </c>
      <c r="O57" s="6">
        <f t="shared" si="8"/>
        <v>6</v>
      </c>
      <c r="P57" s="18" t="str">
        <f t="shared" si="3"/>
        <v>(55,6)</v>
      </c>
    </row>
    <row r="58" spans="1:16" hidden="1" x14ac:dyDescent="0.2">
      <c r="A58" s="4">
        <f t="shared" si="9"/>
        <v>56</v>
      </c>
      <c r="B58" s="26">
        <f t="shared" si="0"/>
        <v>52</v>
      </c>
      <c r="C58" s="7">
        <f t="shared" si="10"/>
        <v>45286</v>
      </c>
      <c r="D58" s="11" t="str">
        <f t="shared" si="4"/>
        <v>{2023-12-26},</v>
      </c>
      <c r="E58" s="17">
        <f>COUNTIFS(Sheet1!$C:$C,Feuil1!E$1,Sheet1!$D:$D,Feuil1!$C58)</f>
        <v>0</v>
      </c>
      <c r="F58" s="6">
        <f t="shared" si="11"/>
        <v>5</v>
      </c>
      <c r="G58" s="18" t="str">
        <f t="shared" si="5"/>
        <v>(56,5)</v>
      </c>
      <c r="H58" s="17">
        <f>COUNTIFS(Sheet1!$C:$C,Feuil1!H$1,Sheet1!$D:$D,Feuil1!$C58)</f>
        <v>0</v>
      </c>
      <c r="I58" s="6">
        <f t="shared" si="6"/>
        <v>4</v>
      </c>
      <c r="J58" s="18" t="str">
        <f t="shared" si="1"/>
        <v>(56,4)</v>
      </c>
      <c r="K58" s="17">
        <f>COUNTIFS(Sheet1!$C:$C,Feuil1!K$1,Sheet1!$D:$D,Feuil1!$C58)</f>
        <v>0</v>
      </c>
      <c r="L58" s="6">
        <f t="shared" si="7"/>
        <v>3</v>
      </c>
      <c r="M58" s="18" t="str">
        <f t="shared" si="2"/>
        <v>(56,3)</v>
      </c>
      <c r="N58" s="17">
        <f>COUNTIFS(Sheet1!$C:$C,Feuil1!N$1,Sheet1!$D:$D,Feuil1!$C58)</f>
        <v>0</v>
      </c>
      <c r="O58" s="6">
        <f t="shared" si="8"/>
        <v>6</v>
      </c>
      <c r="P58" s="18" t="str">
        <f t="shared" si="3"/>
        <v>(56,6)</v>
      </c>
    </row>
    <row r="59" spans="1:16" hidden="1" x14ac:dyDescent="0.2">
      <c r="A59" s="4">
        <f t="shared" si="9"/>
        <v>57</v>
      </c>
      <c r="B59" s="26">
        <f t="shared" si="0"/>
        <v>52</v>
      </c>
      <c r="C59" s="7">
        <f t="shared" si="10"/>
        <v>45287</v>
      </c>
      <c r="D59" s="11" t="str">
        <f t="shared" si="4"/>
        <v>{2023-12-27},</v>
      </c>
      <c r="E59" s="17">
        <f>COUNTIFS(Sheet1!$C:$C,Feuil1!E$1,Sheet1!$D:$D,Feuil1!$C59)</f>
        <v>0</v>
      </c>
      <c r="F59" s="6">
        <f t="shared" si="11"/>
        <v>5</v>
      </c>
      <c r="G59" s="18" t="str">
        <f t="shared" si="5"/>
        <v>(57,5)</v>
      </c>
      <c r="H59" s="17">
        <f>COUNTIFS(Sheet1!$C:$C,Feuil1!H$1,Sheet1!$D:$D,Feuil1!$C59)</f>
        <v>0</v>
      </c>
      <c r="I59" s="6">
        <f t="shared" si="6"/>
        <v>4</v>
      </c>
      <c r="J59" s="18" t="str">
        <f t="shared" si="1"/>
        <v>(57,4)</v>
      </c>
      <c r="K59" s="17">
        <f>COUNTIFS(Sheet1!$C:$C,Feuil1!K$1,Sheet1!$D:$D,Feuil1!$C59)</f>
        <v>0</v>
      </c>
      <c r="L59" s="6">
        <f t="shared" si="7"/>
        <v>3</v>
      </c>
      <c r="M59" s="18" t="str">
        <f t="shared" si="2"/>
        <v>(57,3)</v>
      </c>
      <c r="N59" s="17">
        <f>COUNTIFS(Sheet1!$C:$C,Feuil1!N$1,Sheet1!$D:$D,Feuil1!$C59)</f>
        <v>0</v>
      </c>
      <c r="O59" s="6">
        <f t="shared" si="8"/>
        <v>6</v>
      </c>
      <c r="P59" s="18" t="str">
        <f t="shared" si="3"/>
        <v>(57,6)</v>
      </c>
    </row>
    <row r="60" spans="1:16" hidden="1" x14ac:dyDescent="0.2">
      <c r="A60" s="4">
        <f t="shared" si="9"/>
        <v>58</v>
      </c>
      <c r="B60" s="26">
        <f t="shared" si="0"/>
        <v>52</v>
      </c>
      <c r="C60" s="7">
        <f t="shared" si="10"/>
        <v>45288</v>
      </c>
      <c r="D60" s="11" t="str">
        <f t="shared" si="4"/>
        <v>{2023-12-28},</v>
      </c>
      <c r="E60" s="17">
        <f>COUNTIFS(Sheet1!$C:$C,Feuil1!E$1,Sheet1!$D:$D,Feuil1!$C60)</f>
        <v>0</v>
      </c>
      <c r="F60" s="6">
        <f t="shared" si="11"/>
        <v>5</v>
      </c>
      <c r="G60" s="18" t="str">
        <f t="shared" si="5"/>
        <v>(58,5)</v>
      </c>
      <c r="H60" s="17">
        <f>COUNTIFS(Sheet1!$C:$C,Feuil1!H$1,Sheet1!$D:$D,Feuil1!$C60)</f>
        <v>0</v>
      </c>
      <c r="I60" s="6">
        <f t="shared" si="6"/>
        <v>4</v>
      </c>
      <c r="J60" s="18" t="str">
        <f t="shared" si="1"/>
        <v>(58,4)</v>
      </c>
      <c r="K60" s="17">
        <f>COUNTIFS(Sheet1!$C:$C,Feuil1!K$1,Sheet1!$D:$D,Feuil1!$C60)</f>
        <v>0</v>
      </c>
      <c r="L60" s="6">
        <f t="shared" si="7"/>
        <v>3</v>
      </c>
      <c r="M60" s="18" t="str">
        <f t="shared" si="2"/>
        <v>(58,3)</v>
      </c>
      <c r="N60" s="17">
        <f>COUNTIFS(Sheet1!$C:$C,Feuil1!N$1,Sheet1!$D:$D,Feuil1!$C60)</f>
        <v>1</v>
      </c>
      <c r="O60" s="6">
        <f t="shared" si="8"/>
        <v>7</v>
      </c>
      <c r="P60" s="18" t="str">
        <f t="shared" si="3"/>
        <v>(58,7)</v>
      </c>
    </row>
    <row r="61" spans="1:16" hidden="1" x14ac:dyDescent="0.2">
      <c r="A61" s="4">
        <f t="shared" si="9"/>
        <v>59</v>
      </c>
      <c r="B61" s="26">
        <f t="shared" si="0"/>
        <v>52</v>
      </c>
      <c r="C61" s="7">
        <f t="shared" si="10"/>
        <v>45289</v>
      </c>
      <c r="D61" s="11" t="str">
        <f t="shared" si="4"/>
        <v>{2023-12-29},</v>
      </c>
      <c r="E61" s="17">
        <f>COUNTIFS(Sheet1!$C:$C,Feuil1!E$1,Sheet1!$D:$D,Feuil1!$C61)</f>
        <v>0</v>
      </c>
      <c r="F61" s="6">
        <f t="shared" si="11"/>
        <v>5</v>
      </c>
      <c r="G61" s="18" t="str">
        <f t="shared" si="5"/>
        <v>(59,5)</v>
      </c>
      <c r="H61" s="17">
        <f>COUNTIFS(Sheet1!$C:$C,Feuil1!H$1,Sheet1!$D:$D,Feuil1!$C61)</f>
        <v>0</v>
      </c>
      <c r="I61" s="6">
        <f t="shared" si="6"/>
        <v>4</v>
      </c>
      <c r="J61" s="18" t="str">
        <f t="shared" si="1"/>
        <v>(59,4)</v>
      </c>
      <c r="K61" s="17">
        <f>COUNTIFS(Sheet1!$C:$C,Feuil1!K$1,Sheet1!$D:$D,Feuil1!$C61)</f>
        <v>0</v>
      </c>
      <c r="L61" s="6">
        <f t="shared" si="7"/>
        <v>3</v>
      </c>
      <c r="M61" s="18" t="str">
        <f t="shared" si="2"/>
        <v>(59,3)</v>
      </c>
      <c r="N61" s="17">
        <f>COUNTIFS(Sheet1!$C:$C,Feuil1!N$1,Sheet1!$D:$D,Feuil1!$C61)</f>
        <v>1</v>
      </c>
      <c r="O61" s="6">
        <f t="shared" si="8"/>
        <v>8</v>
      </c>
      <c r="P61" s="18" t="str">
        <f t="shared" si="3"/>
        <v>(59,8)</v>
      </c>
    </row>
    <row r="62" spans="1:16" hidden="1" x14ac:dyDescent="0.2">
      <c r="A62" s="4">
        <f t="shared" si="9"/>
        <v>60</v>
      </c>
      <c r="B62" s="26">
        <f t="shared" si="0"/>
        <v>52</v>
      </c>
      <c r="C62" s="7">
        <f t="shared" si="10"/>
        <v>45290</v>
      </c>
      <c r="D62" s="11" t="str">
        <f t="shared" si="4"/>
        <v>{2023-12-30},</v>
      </c>
      <c r="E62" s="17">
        <f>COUNTIFS(Sheet1!$C:$C,Feuil1!E$1,Sheet1!$D:$D,Feuil1!$C62)</f>
        <v>0</v>
      </c>
      <c r="F62" s="6">
        <f t="shared" si="11"/>
        <v>5</v>
      </c>
      <c r="G62" s="18" t="str">
        <f t="shared" si="5"/>
        <v>(60,5)</v>
      </c>
      <c r="H62" s="17">
        <f>COUNTIFS(Sheet1!$C:$C,Feuil1!H$1,Sheet1!$D:$D,Feuil1!$C62)</f>
        <v>0</v>
      </c>
      <c r="I62" s="6">
        <f t="shared" si="6"/>
        <v>4</v>
      </c>
      <c r="J62" s="18" t="str">
        <f t="shared" si="1"/>
        <v>(60,4)</v>
      </c>
      <c r="K62" s="17">
        <f>COUNTIFS(Sheet1!$C:$C,Feuil1!K$1,Sheet1!$D:$D,Feuil1!$C62)</f>
        <v>0</v>
      </c>
      <c r="L62" s="6">
        <f t="shared" si="7"/>
        <v>3</v>
      </c>
      <c r="M62" s="18" t="str">
        <f t="shared" si="2"/>
        <v>(60,3)</v>
      </c>
      <c r="N62" s="17">
        <f>COUNTIFS(Sheet1!$C:$C,Feuil1!N$1,Sheet1!$D:$D,Feuil1!$C62)</f>
        <v>1</v>
      </c>
      <c r="O62" s="6">
        <f t="shared" si="8"/>
        <v>9</v>
      </c>
      <c r="P62" s="18" t="str">
        <f t="shared" si="3"/>
        <v>(60,9)</v>
      </c>
    </row>
    <row r="63" spans="1:16" hidden="1" x14ac:dyDescent="0.2">
      <c r="A63" s="4">
        <f t="shared" si="9"/>
        <v>61</v>
      </c>
      <c r="B63" s="26">
        <f t="shared" si="0"/>
        <v>52</v>
      </c>
      <c r="C63" s="7">
        <f t="shared" si="10"/>
        <v>45291</v>
      </c>
      <c r="D63" s="11" t="str">
        <f t="shared" si="4"/>
        <v>{2023-12-31},</v>
      </c>
      <c r="E63" s="17">
        <f>COUNTIFS(Sheet1!$C:$C,Feuil1!E$1,Sheet1!$D:$D,Feuil1!$C63)</f>
        <v>0</v>
      </c>
      <c r="F63" s="6">
        <f t="shared" si="11"/>
        <v>5</v>
      </c>
      <c r="G63" s="18" t="str">
        <f t="shared" si="5"/>
        <v>(61,5)</v>
      </c>
      <c r="H63" s="17">
        <f>COUNTIFS(Sheet1!$C:$C,Feuil1!H$1,Sheet1!$D:$D,Feuil1!$C63)</f>
        <v>0</v>
      </c>
      <c r="I63" s="6">
        <f t="shared" si="6"/>
        <v>4</v>
      </c>
      <c r="J63" s="18" t="str">
        <f t="shared" si="1"/>
        <v>(61,4)</v>
      </c>
      <c r="K63" s="17">
        <f>COUNTIFS(Sheet1!$C:$C,Feuil1!K$1,Sheet1!$D:$D,Feuil1!$C63)</f>
        <v>0</v>
      </c>
      <c r="L63" s="6">
        <f t="shared" si="7"/>
        <v>3</v>
      </c>
      <c r="M63" s="18" t="str">
        <f t="shared" si="2"/>
        <v>(61,3)</v>
      </c>
      <c r="N63" s="17">
        <f>COUNTIFS(Sheet1!$C:$C,Feuil1!N$1,Sheet1!$D:$D,Feuil1!$C63)</f>
        <v>0</v>
      </c>
      <c r="O63" s="6">
        <f t="shared" si="8"/>
        <v>9</v>
      </c>
      <c r="P63" s="18" t="str">
        <f t="shared" si="3"/>
        <v>(61,9)</v>
      </c>
    </row>
    <row r="64" spans="1:16" x14ac:dyDescent="0.2">
      <c r="A64" s="4">
        <f t="shared" si="9"/>
        <v>62</v>
      </c>
      <c r="B64" s="25">
        <f t="shared" si="0"/>
        <v>1</v>
      </c>
      <c r="C64" s="5">
        <f t="shared" si="10"/>
        <v>45292</v>
      </c>
      <c r="D64" s="11" t="str">
        <f t="shared" si="4"/>
        <v>{2024-01-01},</v>
      </c>
      <c r="E64" s="17">
        <f>COUNTIFS(Sheet1!$C:$C,Feuil1!E$1,Sheet1!$D:$D,Feuil1!$C64)</f>
        <v>0</v>
      </c>
      <c r="F64" s="6">
        <f t="shared" si="11"/>
        <v>5</v>
      </c>
      <c r="G64" s="18" t="str">
        <f t="shared" si="5"/>
        <v>(62,5)</v>
      </c>
      <c r="H64" s="17">
        <f>COUNTIFS(Sheet1!$C:$C,Feuil1!H$1,Sheet1!$D:$D,Feuil1!$C64)</f>
        <v>0</v>
      </c>
      <c r="I64" s="6">
        <f t="shared" si="6"/>
        <v>4</v>
      </c>
      <c r="J64" s="18" t="str">
        <f t="shared" si="1"/>
        <v>(62,4)</v>
      </c>
      <c r="K64" s="17">
        <f>COUNTIFS(Sheet1!$C:$C,Feuil1!K$1,Sheet1!$D:$D,Feuil1!$C64)</f>
        <v>0</v>
      </c>
      <c r="L64" s="6">
        <f t="shared" si="7"/>
        <v>3</v>
      </c>
      <c r="M64" s="18" t="str">
        <f t="shared" si="2"/>
        <v>(62,3)</v>
      </c>
      <c r="N64" s="17">
        <f>COUNTIFS(Sheet1!$C:$C,Feuil1!N$1,Sheet1!$D:$D,Feuil1!$C64)</f>
        <v>0</v>
      </c>
      <c r="O64" s="6">
        <f t="shared" si="8"/>
        <v>9</v>
      </c>
      <c r="P64" s="18" t="str">
        <f t="shared" si="3"/>
        <v>(62,9)</v>
      </c>
    </row>
    <row r="65" spans="1:16" hidden="1" x14ac:dyDescent="0.2">
      <c r="A65" s="4">
        <f t="shared" si="9"/>
        <v>63</v>
      </c>
      <c r="B65" s="26">
        <f t="shared" si="0"/>
        <v>1</v>
      </c>
      <c r="C65" s="7">
        <f t="shared" si="10"/>
        <v>45293</v>
      </c>
      <c r="D65" s="11" t="str">
        <f t="shared" si="4"/>
        <v>{2024-01-02},</v>
      </c>
      <c r="E65" s="17">
        <f>COUNTIFS(Sheet1!$C:$C,Feuil1!E$1,Sheet1!$D:$D,Feuil1!$C65)</f>
        <v>0</v>
      </c>
      <c r="F65" s="6">
        <f t="shared" si="11"/>
        <v>5</v>
      </c>
      <c r="G65" s="18" t="str">
        <f t="shared" si="5"/>
        <v>(63,5)</v>
      </c>
      <c r="H65" s="17">
        <f>COUNTIFS(Sheet1!$C:$C,Feuil1!H$1,Sheet1!$D:$D,Feuil1!$C65)</f>
        <v>0</v>
      </c>
      <c r="I65" s="6">
        <f t="shared" si="6"/>
        <v>4</v>
      </c>
      <c r="J65" s="18" t="str">
        <f t="shared" si="1"/>
        <v>(63,4)</v>
      </c>
      <c r="K65" s="17">
        <f>COUNTIFS(Sheet1!$C:$C,Feuil1!K$1,Sheet1!$D:$D,Feuil1!$C65)</f>
        <v>0</v>
      </c>
      <c r="L65" s="6">
        <f t="shared" si="7"/>
        <v>3</v>
      </c>
      <c r="M65" s="18" t="str">
        <f t="shared" si="2"/>
        <v>(63,3)</v>
      </c>
      <c r="N65" s="17">
        <f>COUNTIFS(Sheet1!$C:$C,Feuil1!N$1,Sheet1!$D:$D,Feuil1!$C65)</f>
        <v>1</v>
      </c>
      <c r="O65" s="6">
        <f t="shared" si="8"/>
        <v>10</v>
      </c>
      <c r="P65" s="18" t="str">
        <f t="shared" si="3"/>
        <v>(63,10)</v>
      </c>
    </row>
    <row r="66" spans="1:16" hidden="1" x14ac:dyDescent="0.2">
      <c r="A66" s="4">
        <f t="shared" si="9"/>
        <v>64</v>
      </c>
      <c r="B66" s="26">
        <f t="shared" si="0"/>
        <v>1</v>
      </c>
      <c r="C66" s="7">
        <f t="shared" si="10"/>
        <v>45294</v>
      </c>
      <c r="D66" s="11" t="str">
        <f t="shared" si="4"/>
        <v>{2024-01-03},</v>
      </c>
      <c r="E66" s="17">
        <f>COUNTIFS(Sheet1!$C:$C,Feuil1!E$1,Sheet1!$D:$D,Feuil1!$C66)</f>
        <v>0</v>
      </c>
      <c r="F66" s="6">
        <f t="shared" si="11"/>
        <v>5</v>
      </c>
      <c r="G66" s="18" t="str">
        <f t="shared" si="5"/>
        <v>(64,5)</v>
      </c>
      <c r="H66" s="17">
        <f>COUNTIFS(Sheet1!$C:$C,Feuil1!H$1,Sheet1!$D:$D,Feuil1!$C66)</f>
        <v>0</v>
      </c>
      <c r="I66" s="6">
        <f t="shared" si="6"/>
        <v>4</v>
      </c>
      <c r="J66" s="18" t="str">
        <f t="shared" si="1"/>
        <v>(64,4)</v>
      </c>
      <c r="K66" s="17">
        <f>COUNTIFS(Sheet1!$C:$C,Feuil1!K$1,Sheet1!$D:$D,Feuil1!$C66)</f>
        <v>0</v>
      </c>
      <c r="L66" s="6">
        <f t="shared" si="7"/>
        <v>3</v>
      </c>
      <c r="M66" s="18" t="str">
        <f t="shared" si="2"/>
        <v>(64,3)</v>
      </c>
      <c r="N66" s="17">
        <f>COUNTIFS(Sheet1!$C:$C,Feuil1!N$1,Sheet1!$D:$D,Feuil1!$C66)</f>
        <v>1</v>
      </c>
      <c r="O66" s="6">
        <f t="shared" si="8"/>
        <v>11</v>
      </c>
      <c r="P66" s="18" t="str">
        <f t="shared" si="3"/>
        <v>(64,11)</v>
      </c>
    </row>
    <row r="67" spans="1:16" hidden="1" x14ac:dyDescent="0.2">
      <c r="A67" s="4">
        <f t="shared" si="9"/>
        <v>65</v>
      </c>
      <c r="B67" s="26">
        <f t="shared" si="0"/>
        <v>1</v>
      </c>
      <c r="C67" s="7">
        <f t="shared" si="10"/>
        <v>45295</v>
      </c>
      <c r="D67" s="11" t="str">
        <f t="shared" si="4"/>
        <v>{2024-01-04},</v>
      </c>
      <c r="E67" s="17">
        <f>COUNTIFS(Sheet1!$C:$C,Feuil1!E$1,Sheet1!$D:$D,Feuil1!$C67)</f>
        <v>0</v>
      </c>
      <c r="F67" s="6">
        <f t="shared" si="11"/>
        <v>5</v>
      </c>
      <c r="G67" s="18" t="str">
        <f t="shared" si="5"/>
        <v>(65,5)</v>
      </c>
      <c r="H67" s="17">
        <f>COUNTIFS(Sheet1!$C:$C,Feuil1!H$1,Sheet1!$D:$D,Feuil1!$C67)</f>
        <v>0</v>
      </c>
      <c r="I67" s="6">
        <f t="shared" si="6"/>
        <v>4</v>
      </c>
      <c r="J67" s="18" t="str">
        <f t="shared" ref="J67:J130" si="12">_xlfn.CONCAT("(",$A67,",",I67,")")</f>
        <v>(65,4)</v>
      </c>
      <c r="K67" s="17">
        <f>COUNTIFS(Sheet1!$C:$C,Feuil1!K$1,Sheet1!$D:$D,Feuil1!$C67)</f>
        <v>0</v>
      </c>
      <c r="L67" s="6">
        <f t="shared" si="7"/>
        <v>3</v>
      </c>
      <c r="M67" s="18" t="str">
        <f t="shared" ref="M67:M130" si="13">_xlfn.CONCAT("(",$A67,",",L67,")")</f>
        <v>(65,3)</v>
      </c>
      <c r="N67" s="17">
        <f>COUNTIFS(Sheet1!$C:$C,Feuil1!N$1,Sheet1!$D:$D,Feuil1!$C67)</f>
        <v>0</v>
      </c>
      <c r="O67" s="6">
        <f t="shared" si="8"/>
        <v>11</v>
      </c>
      <c r="P67" s="18" t="str">
        <f t="shared" ref="P67:P130" si="14">_xlfn.CONCAT("(",$A67,",",O67,")")</f>
        <v>(65,11)</v>
      </c>
    </row>
    <row r="68" spans="1:16" hidden="1" x14ac:dyDescent="0.2">
      <c r="A68" s="4">
        <f t="shared" si="9"/>
        <v>66</v>
      </c>
      <c r="B68" s="26">
        <f t="shared" ref="B68:B94" si="15">_xlfn.ISOWEEKNUM(C68)</f>
        <v>1</v>
      </c>
      <c r="C68" s="7">
        <f t="shared" si="10"/>
        <v>45296</v>
      </c>
      <c r="D68" s="11" t="str">
        <f t="shared" ref="D68:D131" si="16">_xlfn.CONCAT("{",TEXT(C68,"aaaa-mm-dd"),"},")</f>
        <v>{2024-01-05},</v>
      </c>
      <c r="E68" s="17">
        <f>COUNTIFS(Sheet1!$C:$C,Feuil1!E$1,Sheet1!$D:$D,Feuil1!$C68)</f>
        <v>0</v>
      </c>
      <c r="F68" s="6">
        <f t="shared" si="11"/>
        <v>5</v>
      </c>
      <c r="G68" s="18" t="str">
        <f t="shared" ref="G68:G131" si="17">_xlfn.CONCAT("(",$A68,",",F68,")")</f>
        <v>(66,5)</v>
      </c>
      <c r="H68" s="17">
        <f>COUNTIFS(Sheet1!$C:$C,Feuil1!H$1,Sheet1!$D:$D,Feuil1!$C68)</f>
        <v>0</v>
      </c>
      <c r="I68" s="6">
        <f t="shared" ref="I68:I131" si="18">I67+H68</f>
        <v>4</v>
      </c>
      <c r="J68" s="18" t="str">
        <f t="shared" si="12"/>
        <v>(66,4)</v>
      </c>
      <c r="K68" s="17">
        <f>COUNTIFS(Sheet1!$C:$C,Feuil1!K$1,Sheet1!$D:$D,Feuil1!$C68)</f>
        <v>0</v>
      </c>
      <c r="L68" s="6">
        <f t="shared" ref="L68:L131" si="19">L67+K68</f>
        <v>3</v>
      </c>
      <c r="M68" s="18" t="str">
        <f t="shared" si="13"/>
        <v>(66,3)</v>
      </c>
      <c r="N68" s="17">
        <f>COUNTIFS(Sheet1!$C:$C,Feuil1!N$1,Sheet1!$D:$D,Feuil1!$C68)</f>
        <v>1</v>
      </c>
      <c r="O68" s="6">
        <f t="shared" ref="O68:O131" si="20">O67+N68</f>
        <v>12</v>
      </c>
      <c r="P68" s="18" t="str">
        <f t="shared" si="14"/>
        <v>(66,12)</v>
      </c>
    </row>
    <row r="69" spans="1:16" hidden="1" x14ac:dyDescent="0.2">
      <c r="A69" s="4">
        <f t="shared" ref="A69:A132" si="21">A68+1</f>
        <v>67</v>
      </c>
      <c r="B69" s="26">
        <f t="shared" si="15"/>
        <v>1</v>
      </c>
      <c r="C69" s="7">
        <f t="shared" ref="C69:C132" si="22">C68+1</f>
        <v>45297</v>
      </c>
      <c r="D69" s="11" t="str">
        <f t="shared" si="16"/>
        <v>{2024-01-06},</v>
      </c>
      <c r="E69" s="17">
        <f>COUNTIFS(Sheet1!$C:$C,Feuil1!E$1,Sheet1!$D:$D,Feuil1!$C69)</f>
        <v>0</v>
      </c>
      <c r="F69" s="6">
        <f t="shared" ref="F69:F132" si="23">F68+E69</f>
        <v>5</v>
      </c>
      <c r="G69" s="18" t="str">
        <f t="shared" si="17"/>
        <v>(67,5)</v>
      </c>
      <c r="H69" s="17">
        <f>COUNTIFS(Sheet1!$C:$C,Feuil1!H$1,Sheet1!$D:$D,Feuil1!$C69)</f>
        <v>0</v>
      </c>
      <c r="I69" s="6">
        <f t="shared" si="18"/>
        <v>4</v>
      </c>
      <c r="J69" s="18" t="str">
        <f t="shared" si="12"/>
        <v>(67,4)</v>
      </c>
      <c r="K69" s="17">
        <f>COUNTIFS(Sheet1!$C:$C,Feuil1!K$1,Sheet1!$D:$D,Feuil1!$C69)</f>
        <v>0</v>
      </c>
      <c r="L69" s="6">
        <f t="shared" si="19"/>
        <v>3</v>
      </c>
      <c r="M69" s="18" t="str">
        <f t="shared" si="13"/>
        <v>(67,3)</v>
      </c>
      <c r="N69" s="17">
        <f>COUNTIFS(Sheet1!$C:$C,Feuil1!N$1,Sheet1!$D:$D,Feuil1!$C69)</f>
        <v>0</v>
      </c>
      <c r="O69" s="6">
        <f t="shared" si="20"/>
        <v>12</v>
      </c>
      <c r="P69" s="18" t="str">
        <f t="shared" si="14"/>
        <v>(67,12)</v>
      </c>
    </row>
    <row r="70" spans="1:16" hidden="1" x14ac:dyDescent="0.2">
      <c r="A70" s="4">
        <f t="shared" si="21"/>
        <v>68</v>
      </c>
      <c r="B70" s="26">
        <f t="shared" si="15"/>
        <v>1</v>
      </c>
      <c r="C70" s="7">
        <f t="shared" si="22"/>
        <v>45298</v>
      </c>
      <c r="D70" s="11" t="str">
        <f t="shared" si="16"/>
        <v>{2024-01-07},</v>
      </c>
      <c r="E70" s="17">
        <f>COUNTIFS(Sheet1!$C:$C,Feuil1!E$1,Sheet1!$D:$D,Feuil1!$C70)</f>
        <v>0</v>
      </c>
      <c r="F70" s="6">
        <f t="shared" si="23"/>
        <v>5</v>
      </c>
      <c r="G70" s="18" t="str">
        <f t="shared" si="17"/>
        <v>(68,5)</v>
      </c>
      <c r="H70" s="17">
        <f>COUNTIFS(Sheet1!$C:$C,Feuil1!H$1,Sheet1!$D:$D,Feuil1!$C70)</f>
        <v>0</v>
      </c>
      <c r="I70" s="6">
        <f t="shared" si="18"/>
        <v>4</v>
      </c>
      <c r="J70" s="18" t="str">
        <f t="shared" si="12"/>
        <v>(68,4)</v>
      </c>
      <c r="K70" s="17">
        <f>COUNTIFS(Sheet1!$C:$C,Feuil1!K$1,Sheet1!$D:$D,Feuil1!$C70)</f>
        <v>0</v>
      </c>
      <c r="L70" s="6">
        <f t="shared" si="19"/>
        <v>3</v>
      </c>
      <c r="M70" s="18" t="str">
        <f t="shared" si="13"/>
        <v>(68,3)</v>
      </c>
      <c r="N70" s="17">
        <f>COUNTIFS(Sheet1!$C:$C,Feuil1!N$1,Sheet1!$D:$D,Feuil1!$C70)</f>
        <v>0</v>
      </c>
      <c r="O70" s="6">
        <f t="shared" si="20"/>
        <v>12</v>
      </c>
      <c r="P70" s="18" t="str">
        <f t="shared" si="14"/>
        <v>(68,12)</v>
      </c>
    </row>
    <row r="71" spans="1:16" hidden="1" x14ac:dyDescent="0.2">
      <c r="A71" s="4">
        <f t="shared" si="21"/>
        <v>69</v>
      </c>
      <c r="B71" s="26">
        <f t="shared" si="15"/>
        <v>2</v>
      </c>
      <c r="C71" s="7">
        <f t="shared" si="22"/>
        <v>45299</v>
      </c>
      <c r="D71" s="11" t="str">
        <f t="shared" si="16"/>
        <v>{2024-01-08},</v>
      </c>
      <c r="E71" s="17">
        <f>COUNTIFS(Sheet1!$C:$C,Feuil1!E$1,Sheet1!$D:$D,Feuil1!$C71)</f>
        <v>0</v>
      </c>
      <c r="F71" s="6">
        <f t="shared" si="23"/>
        <v>5</v>
      </c>
      <c r="G71" s="18" t="str">
        <f t="shared" si="17"/>
        <v>(69,5)</v>
      </c>
      <c r="H71" s="17">
        <f>COUNTIFS(Sheet1!$C:$C,Feuil1!H$1,Sheet1!$D:$D,Feuil1!$C71)</f>
        <v>0</v>
      </c>
      <c r="I71" s="6">
        <f t="shared" si="18"/>
        <v>4</v>
      </c>
      <c r="J71" s="18" t="str">
        <f t="shared" si="12"/>
        <v>(69,4)</v>
      </c>
      <c r="K71" s="17">
        <f>COUNTIFS(Sheet1!$C:$C,Feuil1!K$1,Sheet1!$D:$D,Feuil1!$C71)</f>
        <v>0</v>
      </c>
      <c r="L71" s="6">
        <f t="shared" si="19"/>
        <v>3</v>
      </c>
      <c r="M71" s="18" t="str">
        <f t="shared" si="13"/>
        <v>(69,3)</v>
      </c>
      <c r="N71" s="17">
        <f>COUNTIFS(Sheet1!$C:$C,Feuil1!N$1,Sheet1!$D:$D,Feuil1!$C71)</f>
        <v>1</v>
      </c>
      <c r="O71" s="6">
        <f t="shared" si="20"/>
        <v>13</v>
      </c>
      <c r="P71" s="18" t="str">
        <f t="shared" si="14"/>
        <v>(69,13)</v>
      </c>
    </row>
    <row r="72" spans="1:16" hidden="1" x14ac:dyDescent="0.2">
      <c r="A72" s="4">
        <f t="shared" si="21"/>
        <v>70</v>
      </c>
      <c r="B72" s="26">
        <f t="shared" si="15"/>
        <v>2</v>
      </c>
      <c r="C72" s="7">
        <f t="shared" si="22"/>
        <v>45300</v>
      </c>
      <c r="D72" s="11" t="str">
        <f t="shared" si="16"/>
        <v>{2024-01-09},</v>
      </c>
      <c r="E72" s="17">
        <f>COUNTIFS(Sheet1!$C:$C,Feuil1!E$1,Sheet1!$D:$D,Feuil1!$C72)</f>
        <v>0</v>
      </c>
      <c r="F72" s="6">
        <f t="shared" si="23"/>
        <v>5</v>
      </c>
      <c r="G72" s="18" t="str">
        <f t="shared" si="17"/>
        <v>(70,5)</v>
      </c>
      <c r="H72" s="17">
        <f>COUNTIFS(Sheet1!$C:$C,Feuil1!H$1,Sheet1!$D:$D,Feuil1!$C72)</f>
        <v>0</v>
      </c>
      <c r="I72" s="6">
        <f t="shared" si="18"/>
        <v>4</v>
      </c>
      <c r="J72" s="18" t="str">
        <f t="shared" si="12"/>
        <v>(70,4)</v>
      </c>
      <c r="K72" s="17">
        <f>COUNTIFS(Sheet1!$C:$C,Feuil1!K$1,Sheet1!$D:$D,Feuil1!$C72)</f>
        <v>0</v>
      </c>
      <c r="L72" s="6">
        <f t="shared" si="19"/>
        <v>3</v>
      </c>
      <c r="M72" s="18" t="str">
        <f t="shared" si="13"/>
        <v>(70,3)</v>
      </c>
      <c r="N72" s="17">
        <f>COUNTIFS(Sheet1!$C:$C,Feuil1!N$1,Sheet1!$D:$D,Feuil1!$C72)</f>
        <v>1</v>
      </c>
      <c r="O72" s="6">
        <f t="shared" si="20"/>
        <v>14</v>
      </c>
      <c r="P72" s="18" t="str">
        <f t="shared" si="14"/>
        <v>(70,14)</v>
      </c>
    </row>
    <row r="73" spans="1:16" hidden="1" x14ac:dyDescent="0.2">
      <c r="A73" s="4">
        <f t="shared" si="21"/>
        <v>71</v>
      </c>
      <c r="B73" s="26">
        <f t="shared" si="15"/>
        <v>2</v>
      </c>
      <c r="C73" s="7">
        <f t="shared" si="22"/>
        <v>45301</v>
      </c>
      <c r="D73" s="11" t="str">
        <f t="shared" si="16"/>
        <v>{2024-01-10},</v>
      </c>
      <c r="E73" s="17">
        <f>COUNTIFS(Sheet1!$C:$C,Feuil1!E$1,Sheet1!$D:$D,Feuil1!$C73)</f>
        <v>0</v>
      </c>
      <c r="F73" s="6">
        <f t="shared" si="23"/>
        <v>5</v>
      </c>
      <c r="G73" s="18" t="str">
        <f t="shared" si="17"/>
        <v>(71,5)</v>
      </c>
      <c r="H73" s="17">
        <f>COUNTIFS(Sheet1!$C:$C,Feuil1!H$1,Sheet1!$D:$D,Feuil1!$C73)</f>
        <v>0</v>
      </c>
      <c r="I73" s="6">
        <f t="shared" si="18"/>
        <v>4</v>
      </c>
      <c r="J73" s="18" t="str">
        <f t="shared" si="12"/>
        <v>(71,4)</v>
      </c>
      <c r="K73" s="17">
        <f>COUNTIFS(Sheet1!$C:$C,Feuil1!K$1,Sheet1!$D:$D,Feuil1!$C73)</f>
        <v>0</v>
      </c>
      <c r="L73" s="6">
        <f t="shared" si="19"/>
        <v>3</v>
      </c>
      <c r="M73" s="18" t="str">
        <f t="shared" si="13"/>
        <v>(71,3)</v>
      </c>
      <c r="N73" s="17">
        <f>COUNTIFS(Sheet1!$C:$C,Feuil1!N$1,Sheet1!$D:$D,Feuil1!$C73)</f>
        <v>0</v>
      </c>
      <c r="O73" s="6">
        <f t="shared" si="20"/>
        <v>14</v>
      </c>
      <c r="P73" s="18" t="str">
        <f t="shared" si="14"/>
        <v>(71,14)</v>
      </c>
    </row>
    <row r="74" spans="1:16" hidden="1" x14ac:dyDescent="0.2">
      <c r="A74" s="4">
        <f t="shared" si="21"/>
        <v>72</v>
      </c>
      <c r="B74" s="26">
        <f t="shared" si="15"/>
        <v>2</v>
      </c>
      <c r="C74" s="7">
        <f t="shared" si="22"/>
        <v>45302</v>
      </c>
      <c r="D74" s="11" t="str">
        <f t="shared" si="16"/>
        <v>{2024-01-11},</v>
      </c>
      <c r="E74" s="17">
        <f>COUNTIFS(Sheet1!$C:$C,Feuil1!E$1,Sheet1!$D:$D,Feuil1!$C74)</f>
        <v>0</v>
      </c>
      <c r="F74" s="6">
        <f t="shared" si="23"/>
        <v>5</v>
      </c>
      <c r="G74" s="18" t="str">
        <f t="shared" si="17"/>
        <v>(72,5)</v>
      </c>
      <c r="H74" s="17">
        <f>COUNTIFS(Sheet1!$C:$C,Feuil1!H$1,Sheet1!$D:$D,Feuil1!$C74)</f>
        <v>0</v>
      </c>
      <c r="I74" s="6">
        <f t="shared" si="18"/>
        <v>4</v>
      </c>
      <c r="J74" s="18" t="str">
        <f t="shared" si="12"/>
        <v>(72,4)</v>
      </c>
      <c r="K74" s="17">
        <f>COUNTIFS(Sheet1!$C:$C,Feuil1!K$1,Sheet1!$D:$D,Feuil1!$C74)</f>
        <v>0</v>
      </c>
      <c r="L74" s="6">
        <f t="shared" si="19"/>
        <v>3</v>
      </c>
      <c r="M74" s="18" t="str">
        <f t="shared" si="13"/>
        <v>(72,3)</v>
      </c>
      <c r="N74" s="17">
        <f>COUNTIFS(Sheet1!$C:$C,Feuil1!N$1,Sheet1!$D:$D,Feuil1!$C74)</f>
        <v>0</v>
      </c>
      <c r="O74" s="6">
        <f t="shared" si="20"/>
        <v>14</v>
      </c>
      <c r="P74" s="18" t="str">
        <f t="shared" si="14"/>
        <v>(72,14)</v>
      </c>
    </row>
    <row r="75" spans="1:16" hidden="1" x14ac:dyDescent="0.2">
      <c r="A75" s="4">
        <f t="shared" si="21"/>
        <v>73</v>
      </c>
      <c r="B75" s="26">
        <f t="shared" si="15"/>
        <v>2</v>
      </c>
      <c r="C75" s="7">
        <f t="shared" si="22"/>
        <v>45303</v>
      </c>
      <c r="D75" s="11" t="str">
        <f t="shared" si="16"/>
        <v>{2024-01-12},</v>
      </c>
      <c r="E75" s="17">
        <f>COUNTIFS(Sheet1!$C:$C,Feuil1!E$1,Sheet1!$D:$D,Feuil1!$C75)</f>
        <v>0</v>
      </c>
      <c r="F75" s="6">
        <f t="shared" si="23"/>
        <v>5</v>
      </c>
      <c r="G75" s="18" t="str">
        <f t="shared" si="17"/>
        <v>(73,5)</v>
      </c>
      <c r="H75" s="17">
        <f>COUNTIFS(Sheet1!$C:$C,Feuil1!H$1,Sheet1!$D:$D,Feuil1!$C75)</f>
        <v>0</v>
      </c>
      <c r="I75" s="6">
        <f t="shared" si="18"/>
        <v>4</v>
      </c>
      <c r="J75" s="18" t="str">
        <f t="shared" si="12"/>
        <v>(73,4)</v>
      </c>
      <c r="K75" s="17">
        <f>COUNTIFS(Sheet1!$C:$C,Feuil1!K$1,Sheet1!$D:$D,Feuil1!$C75)</f>
        <v>0</v>
      </c>
      <c r="L75" s="6">
        <f t="shared" si="19"/>
        <v>3</v>
      </c>
      <c r="M75" s="18" t="str">
        <f t="shared" si="13"/>
        <v>(73,3)</v>
      </c>
      <c r="N75" s="17">
        <f>COUNTIFS(Sheet1!$C:$C,Feuil1!N$1,Sheet1!$D:$D,Feuil1!$C75)</f>
        <v>0</v>
      </c>
      <c r="O75" s="6">
        <f t="shared" si="20"/>
        <v>14</v>
      </c>
      <c r="P75" s="18" t="str">
        <f t="shared" si="14"/>
        <v>(73,14)</v>
      </c>
    </row>
    <row r="76" spans="1:16" hidden="1" x14ac:dyDescent="0.2">
      <c r="A76" s="4">
        <f t="shared" si="21"/>
        <v>74</v>
      </c>
      <c r="B76" s="26">
        <f t="shared" si="15"/>
        <v>2</v>
      </c>
      <c r="C76" s="7">
        <f t="shared" si="22"/>
        <v>45304</v>
      </c>
      <c r="D76" s="11" t="str">
        <f t="shared" si="16"/>
        <v>{2024-01-13},</v>
      </c>
      <c r="E76" s="17">
        <f>COUNTIFS(Sheet1!$C:$C,Feuil1!E$1,Sheet1!$D:$D,Feuil1!$C76)</f>
        <v>0</v>
      </c>
      <c r="F76" s="6">
        <f t="shared" si="23"/>
        <v>5</v>
      </c>
      <c r="G76" s="18" t="str">
        <f t="shared" si="17"/>
        <v>(74,5)</v>
      </c>
      <c r="H76" s="17">
        <f>COUNTIFS(Sheet1!$C:$C,Feuil1!H$1,Sheet1!$D:$D,Feuil1!$C76)</f>
        <v>1</v>
      </c>
      <c r="I76" s="6">
        <f t="shared" si="18"/>
        <v>5</v>
      </c>
      <c r="J76" s="18" t="str">
        <f t="shared" si="12"/>
        <v>(74,5)</v>
      </c>
      <c r="K76" s="17">
        <f>COUNTIFS(Sheet1!$C:$C,Feuil1!K$1,Sheet1!$D:$D,Feuil1!$C76)</f>
        <v>0</v>
      </c>
      <c r="L76" s="6">
        <f t="shared" si="19"/>
        <v>3</v>
      </c>
      <c r="M76" s="18" t="str">
        <f t="shared" si="13"/>
        <v>(74,3)</v>
      </c>
      <c r="N76" s="17">
        <f>COUNTIFS(Sheet1!$C:$C,Feuil1!N$1,Sheet1!$D:$D,Feuil1!$C76)</f>
        <v>0</v>
      </c>
      <c r="O76" s="6">
        <f t="shared" si="20"/>
        <v>14</v>
      </c>
      <c r="P76" s="18" t="str">
        <f t="shared" si="14"/>
        <v>(74,14)</v>
      </c>
    </row>
    <row r="77" spans="1:16" hidden="1" x14ac:dyDescent="0.2">
      <c r="A77" s="4">
        <f t="shared" si="21"/>
        <v>75</v>
      </c>
      <c r="B77" s="26">
        <f t="shared" si="15"/>
        <v>2</v>
      </c>
      <c r="C77" s="7">
        <f t="shared" si="22"/>
        <v>45305</v>
      </c>
      <c r="D77" s="11" t="str">
        <f t="shared" si="16"/>
        <v>{2024-01-14},</v>
      </c>
      <c r="E77" s="17">
        <f>COUNTIFS(Sheet1!$C:$C,Feuil1!E$1,Sheet1!$D:$D,Feuil1!$C77)</f>
        <v>0</v>
      </c>
      <c r="F77" s="6">
        <f t="shared" si="23"/>
        <v>5</v>
      </c>
      <c r="G77" s="18" t="str">
        <f t="shared" si="17"/>
        <v>(75,5)</v>
      </c>
      <c r="H77" s="17">
        <f>COUNTIFS(Sheet1!$C:$C,Feuil1!H$1,Sheet1!$D:$D,Feuil1!$C77)</f>
        <v>0</v>
      </c>
      <c r="I77" s="6">
        <f t="shared" si="18"/>
        <v>5</v>
      </c>
      <c r="J77" s="18" t="str">
        <f t="shared" si="12"/>
        <v>(75,5)</v>
      </c>
      <c r="K77" s="17">
        <f>COUNTIFS(Sheet1!$C:$C,Feuil1!K$1,Sheet1!$D:$D,Feuil1!$C77)</f>
        <v>0</v>
      </c>
      <c r="L77" s="6">
        <f t="shared" si="19"/>
        <v>3</v>
      </c>
      <c r="M77" s="18" t="str">
        <f t="shared" si="13"/>
        <v>(75,3)</v>
      </c>
      <c r="N77" s="17">
        <f>COUNTIFS(Sheet1!$C:$C,Feuil1!N$1,Sheet1!$D:$D,Feuil1!$C77)</f>
        <v>0</v>
      </c>
      <c r="O77" s="6">
        <f t="shared" si="20"/>
        <v>14</v>
      </c>
      <c r="P77" s="18" t="str">
        <f t="shared" si="14"/>
        <v>(75,14)</v>
      </c>
    </row>
    <row r="78" spans="1:16" hidden="1" x14ac:dyDescent="0.2">
      <c r="A78" s="4">
        <f t="shared" si="21"/>
        <v>76</v>
      </c>
      <c r="B78" s="26">
        <f t="shared" si="15"/>
        <v>3</v>
      </c>
      <c r="C78" s="7">
        <f t="shared" si="22"/>
        <v>45306</v>
      </c>
      <c r="D78" s="11" t="str">
        <f t="shared" si="16"/>
        <v>{2024-01-15},</v>
      </c>
      <c r="E78" s="17">
        <f>COUNTIFS(Sheet1!$C:$C,Feuil1!E$1,Sheet1!$D:$D,Feuil1!$C78)</f>
        <v>0</v>
      </c>
      <c r="F78" s="6">
        <f t="shared" si="23"/>
        <v>5</v>
      </c>
      <c r="G78" s="18" t="str">
        <f t="shared" si="17"/>
        <v>(76,5)</v>
      </c>
      <c r="H78" s="17">
        <f>COUNTIFS(Sheet1!$C:$C,Feuil1!H$1,Sheet1!$D:$D,Feuil1!$C78)</f>
        <v>0</v>
      </c>
      <c r="I78" s="6">
        <f t="shared" si="18"/>
        <v>5</v>
      </c>
      <c r="J78" s="18" t="str">
        <f t="shared" si="12"/>
        <v>(76,5)</v>
      </c>
      <c r="K78" s="17">
        <f>COUNTIFS(Sheet1!$C:$C,Feuil1!K$1,Sheet1!$D:$D,Feuil1!$C78)</f>
        <v>0</v>
      </c>
      <c r="L78" s="6">
        <f t="shared" si="19"/>
        <v>3</v>
      </c>
      <c r="M78" s="18" t="str">
        <f t="shared" si="13"/>
        <v>(76,3)</v>
      </c>
      <c r="N78" s="17">
        <f>COUNTIFS(Sheet1!$C:$C,Feuil1!N$1,Sheet1!$D:$D,Feuil1!$C78)</f>
        <v>2</v>
      </c>
      <c r="O78" s="6">
        <f t="shared" si="20"/>
        <v>16</v>
      </c>
      <c r="P78" s="18" t="str">
        <f t="shared" si="14"/>
        <v>(76,16)</v>
      </c>
    </row>
    <row r="79" spans="1:16" hidden="1" x14ac:dyDescent="0.2">
      <c r="A79" s="4">
        <f t="shared" si="21"/>
        <v>77</v>
      </c>
      <c r="B79" s="26">
        <f t="shared" si="15"/>
        <v>3</v>
      </c>
      <c r="C79" s="7">
        <f t="shared" si="22"/>
        <v>45307</v>
      </c>
      <c r="D79" s="11" t="str">
        <f t="shared" si="16"/>
        <v>{2024-01-16},</v>
      </c>
      <c r="E79" s="17">
        <f>COUNTIFS(Sheet1!$C:$C,Feuil1!E$1,Sheet1!$D:$D,Feuil1!$C79)</f>
        <v>0</v>
      </c>
      <c r="F79" s="6">
        <f t="shared" si="23"/>
        <v>5</v>
      </c>
      <c r="G79" s="18" t="str">
        <f t="shared" si="17"/>
        <v>(77,5)</v>
      </c>
      <c r="H79" s="17">
        <f>COUNTIFS(Sheet1!$C:$C,Feuil1!H$1,Sheet1!$D:$D,Feuil1!$C79)</f>
        <v>2</v>
      </c>
      <c r="I79" s="6">
        <f t="shared" si="18"/>
        <v>7</v>
      </c>
      <c r="J79" s="18" t="str">
        <f t="shared" si="12"/>
        <v>(77,7)</v>
      </c>
      <c r="K79" s="17">
        <f>COUNTIFS(Sheet1!$C:$C,Feuil1!K$1,Sheet1!$D:$D,Feuil1!$C79)</f>
        <v>0</v>
      </c>
      <c r="L79" s="6">
        <f t="shared" si="19"/>
        <v>3</v>
      </c>
      <c r="M79" s="18" t="str">
        <f t="shared" si="13"/>
        <v>(77,3)</v>
      </c>
      <c r="N79" s="17">
        <f>COUNTIFS(Sheet1!$C:$C,Feuil1!N$1,Sheet1!$D:$D,Feuil1!$C79)</f>
        <v>0</v>
      </c>
      <c r="O79" s="6">
        <f t="shared" si="20"/>
        <v>16</v>
      </c>
      <c r="P79" s="18" t="str">
        <f t="shared" si="14"/>
        <v>(77,16)</v>
      </c>
    </row>
    <row r="80" spans="1:16" hidden="1" x14ac:dyDescent="0.2">
      <c r="A80" s="4">
        <f t="shared" si="21"/>
        <v>78</v>
      </c>
      <c r="B80" s="26">
        <f t="shared" si="15"/>
        <v>3</v>
      </c>
      <c r="C80" s="7">
        <f t="shared" si="22"/>
        <v>45308</v>
      </c>
      <c r="D80" s="11" t="str">
        <f t="shared" si="16"/>
        <v>{2024-01-17},</v>
      </c>
      <c r="E80" s="17">
        <f>COUNTIFS(Sheet1!$C:$C,Feuil1!E$1,Sheet1!$D:$D,Feuil1!$C80)</f>
        <v>0</v>
      </c>
      <c r="F80" s="6">
        <f t="shared" si="23"/>
        <v>5</v>
      </c>
      <c r="G80" s="18" t="str">
        <f t="shared" si="17"/>
        <v>(78,5)</v>
      </c>
      <c r="H80" s="17">
        <f>COUNTIFS(Sheet1!$C:$C,Feuil1!H$1,Sheet1!$D:$D,Feuil1!$C80)</f>
        <v>1</v>
      </c>
      <c r="I80" s="6">
        <f t="shared" si="18"/>
        <v>8</v>
      </c>
      <c r="J80" s="18" t="str">
        <f t="shared" si="12"/>
        <v>(78,8)</v>
      </c>
      <c r="K80" s="17">
        <f>COUNTIFS(Sheet1!$C:$C,Feuil1!K$1,Sheet1!$D:$D,Feuil1!$C80)</f>
        <v>0</v>
      </c>
      <c r="L80" s="6">
        <f t="shared" si="19"/>
        <v>3</v>
      </c>
      <c r="M80" s="18" t="str">
        <f t="shared" si="13"/>
        <v>(78,3)</v>
      </c>
      <c r="N80" s="17">
        <f>COUNTIFS(Sheet1!$C:$C,Feuil1!N$1,Sheet1!$D:$D,Feuil1!$C80)</f>
        <v>2</v>
      </c>
      <c r="O80" s="6">
        <f t="shared" si="20"/>
        <v>18</v>
      </c>
      <c r="P80" s="18" t="str">
        <f t="shared" si="14"/>
        <v>(78,18)</v>
      </c>
    </row>
    <row r="81" spans="1:16" hidden="1" x14ac:dyDescent="0.2">
      <c r="A81" s="4">
        <f t="shared" si="21"/>
        <v>79</v>
      </c>
      <c r="B81" s="26">
        <f t="shared" si="15"/>
        <v>3</v>
      </c>
      <c r="C81" s="7">
        <f t="shared" si="22"/>
        <v>45309</v>
      </c>
      <c r="D81" s="11" t="str">
        <f t="shared" si="16"/>
        <v>{2024-01-18},</v>
      </c>
      <c r="E81" s="17">
        <f>COUNTIFS(Sheet1!$C:$C,Feuil1!E$1,Sheet1!$D:$D,Feuil1!$C81)</f>
        <v>0</v>
      </c>
      <c r="F81" s="6">
        <f t="shared" si="23"/>
        <v>5</v>
      </c>
      <c r="G81" s="18" t="str">
        <f t="shared" si="17"/>
        <v>(79,5)</v>
      </c>
      <c r="H81" s="17">
        <f>COUNTIFS(Sheet1!$C:$C,Feuil1!H$1,Sheet1!$D:$D,Feuil1!$C81)</f>
        <v>2</v>
      </c>
      <c r="I81" s="6">
        <f t="shared" si="18"/>
        <v>10</v>
      </c>
      <c r="J81" s="18" t="str">
        <f t="shared" si="12"/>
        <v>(79,10)</v>
      </c>
      <c r="K81" s="17">
        <f>COUNTIFS(Sheet1!$C:$C,Feuil1!K$1,Sheet1!$D:$D,Feuil1!$C81)</f>
        <v>0</v>
      </c>
      <c r="L81" s="6">
        <f t="shared" si="19"/>
        <v>3</v>
      </c>
      <c r="M81" s="18" t="str">
        <f t="shared" si="13"/>
        <v>(79,3)</v>
      </c>
      <c r="N81" s="17">
        <f>COUNTIFS(Sheet1!$C:$C,Feuil1!N$1,Sheet1!$D:$D,Feuil1!$C81)</f>
        <v>0</v>
      </c>
      <c r="O81" s="6">
        <f t="shared" si="20"/>
        <v>18</v>
      </c>
      <c r="P81" s="18" t="str">
        <f t="shared" si="14"/>
        <v>(79,18)</v>
      </c>
    </row>
    <row r="82" spans="1:16" hidden="1" x14ac:dyDescent="0.2">
      <c r="A82" s="4">
        <f t="shared" si="21"/>
        <v>80</v>
      </c>
      <c r="B82" s="26">
        <f t="shared" si="15"/>
        <v>3</v>
      </c>
      <c r="C82" s="7">
        <f t="shared" si="22"/>
        <v>45310</v>
      </c>
      <c r="D82" s="11" t="str">
        <f t="shared" si="16"/>
        <v>{2024-01-19},</v>
      </c>
      <c r="E82" s="17">
        <f>COUNTIFS(Sheet1!$C:$C,Feuil1!E$1,Sheet1!$D:$D,Feuil1!$C82)</f>
        <v>0</v>
      </c>
      <c r="F82" s="6">
        <f t="shared" si="23"/>
        <v>5</v>
      </c>
      <c r="G82" s="18" t="str">
        <f t="shared" si="17"/>
        <v>(80,5)</v>
      </c>
      <c r="H82" s="17">
        <f>COUNTIFS(Sheet1!$C:$C,Feuil1!H$1,Sheet1!$D:$D,Feuil1!$C82)</f>
        <v>0</v>
      </c>
      <c r="I82" s="6">
        <f t="shared" si="18"/>
        <v>10</v>
      </c>
      <c r="J82" s="18" t="str">
        <f t="shared" si="12"/>
        <v>(80,10)</v>
      </c>
      <c r="K82" s="17">
        <f>COUNTIFS(Sheet1!$C:$C,Feuil1!K$1,Sheet1!$D:$D,Feuil1!$C82)</f>
        <v>0</v>
      </c>
      <c r="L82" s="6">
        <f t="shared" si="19"/>
        <v>3</v>
      </c>
      <c r="M82" s="18" t="str">
        <f t="shared" si="13"/>
        <v>(80,3)</v>
      </c>
      <c r="N82" s="17">
        <f>COUNTIFS(Sheet1!$C:$C,Feuil1!N$1,Sheet1!$D:$D,Feuil1!$C82)</f>
        <v>0</v>
      </c>
      <c r="O82" s="6">
        <f t="shared" si="20"/>
        <v>18</v>
      </c>
      <c r="P82" s="18" t="str">
        <f t="shared" si="14"/>
        <v>(80,18)</v>
      </c>
    </row>
    <row r="83" spans="1:16" hidden="1" x14ac:dyDescent="0.2">
      <c r="A83" s="4">
        <f t="shared" si="21"/>
        <v>81</v>
      </c>
      <c r="B83" s="26">
        <f t="shared" si="15"/>
        <v>3</v>
      </c>
      <c r="C83" s="7">
        <f t="shared" si="22"/>
        <v>45311</v>
      </c>
      <c r="D83" s="11" t="str">
        <f t="shared" si="16"/>
        <v>{2024-01-20},</v>
      </c>
      <c r="E83" s="17">
        <f>COUNTIFS(Sheet1!$C:$C,Feuil1!E$1,Sheet1!$D:$D,Feuil1!$C83)</f>
        <v>0</v>
      </c>
      <c r="F83" s="6">
        <f t="shared" si="23"/>
        <v>5</v>
      </c>
      <c r="G83" s="18" t="str">
        <f t="shared" si="17"/>
        <v>(81,5)</v>
      </c>
      <c r="H83" s="17">
        <f>COUNTIFS(Sheet1!$C:$C,Feuil1!H$1,Sheet1!$D:$D,Feuil1!$C83)</f>
        <v>0</v>
      </c>
      <c r="I83" s="6">
        <f t="shared" si="18"/>
        <v>10</v>
      </c>
      <c r="J83" s="18" t="str">
        <f t="shared" si="12"/>
        <v>(81,10)</v>
      </c>
      <c r="K83" s="17">
        <f>COUNTIFS(Sheet1!$C:$C,Feuil1!K$1,Sheet1!$D:$D,Feuil1!$C83)</f>
        <v>0</v>
      </c>
      <c r="L83" s="6">
        <f t="shared" si="19"/>
        <v>3</v>
      </c>
      <c r="M83" s="18" t="str">
        <f t="shared" si="13"/>
        <v>(81,3)</v>
      </c>
      <c r="N83" s="17">
        <f>COUNTIFS(Sheet1!$C:$C,Feuil1!N$1,Sheet1!$D:$D,Feuil1!$C83)</f>
        <v>0</v>
      </c>
      <c r="O83" s="6">
        <f t="shared" si="20"/>
        <v>18</v>
      </c>
      <c r="P83" s="18" t="str">
        <f t="shared" si="14"/>
        <v>(81,18)</v>
      </c>
    </row>
    <row r="84" spans="1:16" hidden="1" x14ac:dyDescent="0.2">
      <c r="A84" s="4">
        <f t="shared" si="21"/>
        <v>82</v>
      </c>
      <c r="B84" s="26">
        <f t="shared" si="15"/>
        <v>3</v>
      </c>
      <c r="C84" s="7">
        <f t="shared" si="22"/>
        <v>45312</v>
      </c>
      <c r="D84" s="11" t="str">
        <f t="shared" si="16"/>
        <v>{2024-01-21},</v>
      </c>
      <c r="E84" s="17">
        <f>COUNTIFS(Sheet1!$C:$C,Feuil1!E$1,Sheet1!$D:$D,Feuil1!$C84)</f>
        <v>0</v>
      </c>
      <c r="F84" s="6">
        <f t="shared" si="23"/>
        <v>5</v>
      </c>
      <c r="G84" s="18" t="str">
        <f t="shared" si="17"/>
        <v>(82,5)</v>
      </c>
      <c r="H84" s="17">
        <f>COUNTIFS(Sheet1!$C:$C,Feuil1!H$1,Sheet1!$D:$D,Feuil1!$C84)</f>
        <v>1</v>
      </c>
      <c r="I84" s="6">
        <f t="shared" si="18"/>
        <v>11</v>
      </c>
      <c r="J84" s="18" t="str">
        <f t="shared" si="12"/>
        <v>(82,11)</v>
      </c>
      <c r="K84" s="17">
        <f>COUNTIFS(Sheet1!$C:$C,Feuil1!K$1,Sheet1!$D:$D,Feuil1!$C84)</f>
        <v>0</v>
      </c>
      <c r="L84" s="6">
        <f t="shared" si="19"/>
        <v>3</v>
      </c>
      <c r="M84" s="18" t="str">
        <f t="shared" si="13"/>
        <v>(82,3)</v>
      </c>
      <c r="N84" s="17">
        <f>COUNTIFS(Sheet1!$C:$C,Feuil1!N$1,Sheet1!$D:$D,Feuil1!$C84)</f>
        <v>0</v>
      </c>
      <c r="O84" s="6">
        <f t="shared" si="20"/>
        <v>18</v>
      </c>
      <c r="P84" s="18" t="str">
        <f t="shared" si="14"/>
        <v>(82,18)</v>
      </c>
    </row>
    <row r="85" spans="1:16" hidden="1" x14ac:dyDescent="0.2">
      <c r="A85" s="4">
        <f t="shared" si="21"/>
        <v>83</v>
      </c>
      <c r="B85" s="26">
        <f t="shared" si="15"/>
        <v>4</v>
      </c>
      <c r="C85" s="7">
        <f t="shared" si="22"/>
        <v>45313</v>
      </c>
      <c r="D85" s="11" t="str">
        <f t="shared" si="16"/>
        <v>{2024-01-22},</v>
      </c>
      <c r="E85" s="17">
        <f>COUNTIFS(Sheet1!$C:$C,Feuil1!E$1,Sheet1!$D:$D,Feuil1!$C85)</f>
        <v>0</v>
      </c>
      <c r="F85" s="6">
        <f t="shared" si="23"/>
        <v>5</v>
      </c>
      <c r="G85" s="18" t="str">
        <f t="shared" si="17"/>
        <v>(83,5)</v>
      </c>
      <c r="H85" s="17">
        <f>COUNTIFS(Sheet1!$C:$C,Feuil1!H$1,Sheet1!$D:$D,Feuil1!$C85)</f>
        <v>1</v>
      </c>
      <c r="I85" s="6">
        <f t="shared" si="18"/>
        <v>12</v>
      </c>
      <c r="J85" s="18" t="str">
        <f t="shared" si="12"/>
        <v>(83,12)</v>
      </c>
      <c r="K85" s="17">
        <f>COUNTIFS(Sheet1!$C:$C,Feuil1!K$1,Sheet1!$D:$D,Feuil1!$C85)</f>
        <v>0</v>
      </c>
      <c r="L85" s="6">
        <f t="shared" si="19"/>
        <v>3</v>
      </c>
      <c r="M85" s="18" t="str">
        <f t="shared" si="13"/>
        <v>(83,3)</v>
      </c>
      <c r="N85" s="17">
        <f>COUNTIFS(Sheet1!$C:$C,Feuil1!N$1,Sheet1!$D:$D,Feuil1!$C85)</f>
        <v>0</v>
      </c>
      <c r="O85" s="6">
        <f t="shared" si="20"/>
        <v>18</v>
      </c>
      <c r="P85" s="18" t="str">
        <f t="shared" si="14"/>
        <v>(83,18)</v>
      </c>
    </row>
    <row r="86" spans="1:16" hidden="1" x14ac:dyDescent="0.2">
      <c r="A86" s="4">
        <f t="shared" si="21"/>
        <v>84</v>
      </c>
      <c r="B86" s="26">
        <f t="shared" si="15"/>
        <v>4</v>
      </c>
      <c r="C86" s="7">
        <f t="shared" si="22"/>
        <v>45314</v>
      </c>
      <c r="D86" s="11" t="str">
        <f t="shared" si="16"/>
        <v>{2024-01-23},</v>
      </c>
      <c r="E86" s="17">
        <f>COUNTIFS(Sheet1!$C:$C,Feuil1!E$1,Sheet1!$D:$D,Feuil1!$C86)</f>
        <v>0</v>
      </c>
      <c r="F86" s="6">
        <f t="shared" si="23"/>
        <v>5</v>
      </c>
      <c r="G86" s="18" t="str">
        <f t="shared" si="17"/>
        <v>(84,5)</v>
      </c>
      <c r="H86" s="17">
        <f>COUNTIFS(Sheet1!$C:$C,Feuil1!H$1,Sheet1!$D:$D,Feuil1!$C86)</f>
        <v>0</v>
      </c>
      <c r="I86" s="6">
        <f t="shared" si="18"/>
        <v>12</v>
      </c>
      <c r="J86" s="18" t="str">
        <f t="shared" si="12"/>
        <v>(84,12)</v>
      </c>
      <c r="K86" s="17">
        <f>COUNTIFS(Sheet1!$C:$C,Feuil1!K$1,Sheet1!$D:$D,Feuil1!$C86)</f>
        <v>0</v>
      </c>
      <c r="L86" s="6">
        <f t="shared" si="19"/>
        <v>3</v>
      </c>
      <c r="M86" s="18" t="str">
        <f t="shared" si="13"/>
        <v>(84,3)</v>
      </c>
      <c r="N86" s="17">
        <f>COUNTIFS(Sheet1!$C:$C,Feuil1!N$1,Sheet1!$D:$D,Feuil1!$C86)</f>
        <v>1</v>
      </c>
      <c r="O86" s="6">
        <f t="shared" si="20"/>
        <v>19</v>
      </c>
      <c r="P86" s="18" t="str">
        <f t="shared" si="14"/>
        <v>(84,19)</v>
      </c>
    </row>
    <row r="87" spans="1:16" hidden="1" x14ac:dyDescent="0.2">
      <c r="A87" s="4">
        <f t="shared" si="21"/>
        <v>85</v>
      </c>
      <c r="B87" s="26">
        <f t="shared" si="15"/>
        <v>4</v>
      </c>
      <c r="C87" s="7">
        <f t="shared" si="22"/>
        <v>45315</v>
      </c>
      <c r="D87" s="11" t="str">
        <f t="shared" si="16"/>
        <v>{2024-01-24},</v>
      </c>
      <c r="E87" s="17">
        <f>COUNTIFS(Sheet1!$C:$C,Feuil1!E$1,Sheet1!$D:$D,Feuil1!$C87)</f>
        <v>0</v>
      </c>
      <c r="F87" s="6">
        <f t="shared" si="23"/>
        <v>5</v>
      </c>
      <c r="G87" s="18" t="str">
        <f t="shared" si="17"/>
        <v>(85,5)</v>
      </c>
      <c r="H87" s="17">
        <f>COUNTIFS(Sheet1!$C:$C,Feuil1!H$1,Sheet1!$D:$D,Feuil1!$C87)</f>
        <v>0</v>
      </c>
      <c r="I87" s="6">
        <f t="shared" si="18"/>
        <v>12</v>
      </c>
      <c r="J87" s="18" t="str">
        <f t="shared" si="12"/>
        <v>(85,12)</v>
      </c>
      <c r="K87" s="17">
        <f>COUNTIFS(Sheet1!$C:$C,Feuil1!K$1,Sheet1!$D:$D,Feuil1!$C87)</f>
        <v>0</v>
      </c>
      <c r="L87" s="6">
        <f t="shared" si="19"/>
        <v>3</v>
      </c>
      <c r="M87" s="18" t="str">
        <f t="shared" si="13"/>
        <v>(85,3)</v>
      </c>
      <c r="N87" s="17">
        <f>COUNTIFS(Sheet1!$C:$C,Feuil1!N$1,Sheet1!$D:$D,Feuil1!$C87)</f>
        <v>1</v>
      </c>
      <c r="O87" s="6">
        <f t="shared" si="20"/>
        <v>20</v>
      </c>
      <c r="P87" s="18" t="str">
        <f t="shared" si="14"/>
        <v>(85,20)</v>
      </c>
    </row>
    <row r="88" spans="1:16" hidden="1" x14ac:dyDescent="0.2">
      <c r="A88" s="4">
        <f t="shared" si="21"/>
        <v>86</v>
      </c>
      <c r="B88" s="26">
        <f t="shared" si="15"/>
        <v>4</v>
      </c>
      <c r="C88" s="7">
        <f t="shared" si="22"/>
        <v>45316</v>
      </c>
      <c r="D88" s="11" t="str">
        <f t="shared" si="16"/>
        <v>{2024-01-25},</v>
      </c>
      <c r="E88" s="17">
        <f>COUNTIFS(Sheet1!$C:$C,Feuil1!E$1,Sheet1!$D:$D,Feuil1!$C88)</f>
        <v>0</v>
      </c>
      <c r="F88" s="6">
        <f t="shared" si="23"/>
        <v>5</v>
      </c>
      <c r="G88" s="18" t="str">
        <f t="shared" si="17"/>
        <v>(86,5)</v>
      </c>
      <c r="H88" s="17">
        <f>COUNTIFS(Sheet1!$C:$C,Feuil1!H$1,Sheet1!$D:$D,Feuil1!$C88)</f>
        <v>0</v>
      </c>
      <c r="I88" s="6">
        <f t="shared" si="18"/>
        <v>12</v>
      </c>
      <c r="J88" s="18" t="str">
        <f t="shared" si="12"/>
        <v>(86,12)</v>
      </c>
      <c r="K88" s="17">
        <f>COUNTIFS(Sheet1!$C:$C,Feuil1!K$1,Sheet1!$D:$D,Feuil1!$C88)</f>
        <v>0</v>
      </c>
      <c r="L88" s="6">
        <f t="shared" si="19"/>
        <v>3</v>
      </c>
      <c r="M88" s="18" t="str">
        <f t="shared" si="13"/>
        <v>(86,3)</v>
      </c>
      <c r="N88" s="17">
        <f>COUNTIFS(Sheet1!$C:$C,Feuil1!N$1,Sheet1!$D:$D,Feuil1!$C88)</f>
        <v>0</v>
      </c>
      <c r="O88" s="6">
        <f t="shared" si="20"/>
        <v>20</v>
      </c>
      <c r="P88" s="18" t="str">
        <f t="shared" si="14"/>
        <v>(86,20)</v>
      </c>
    </row>
    <row r="89" spans="1:16" hidden="1" x14ac:dyDescent="0.2">
      <c r="A89" s="4">
        <f t="shared" si="21"/>
        <v>87</v>
      </c>
      <c r="B89" s="26">
        <f t="shared" si="15"/>
        <v>4</v>
      </c>
      <c r="C89" s="7">
        <f t="shared" si="22"/>
        <v>45317</v>
      </c>
      <c r="D89" s="11" t="str">
        <f t="shared" si="16"/>
        <v>{2024-01-26},</v>
      </c>
      <c r="E89" s="17">
        <f>COUNTIFS(Sheet1!$C:$C,Feuil1!E$1,Sheet1!$D:$D,Feuil1!$C89)</f>
        <v>0</v>
      </c>
      <c r="F89" s="6">
        <f t="shared" si="23"/>
        <v>5</v>
      </c>
      <c r="G89" s="18" t="str">
        <f t="shared" si="17"/>
        <v>(87,5)</v>
      </c>
      <c r="H89" s="17">
        <f>COUNTIFS(Sheet1!$C:$C,Feuil1!H$1,Sheet1!$D:$D,Feuil1!$C89)</f>
        <v>0</v>
      </c>
      <c r="I89" s="6">
        <f t="shared" si="18"/>
        <v>12</v>
      </c>
      <c r="J89" s="18" t="str">
        <f t="shared" si="12"/>
        <v>(87,12)</v>
      </c>
      <c r="K89" s="17">
        <f>COUNTIFS(Sheet1!$C:$C,Feuil1!K$1,Sheet1!$D:$D,Feuil1!$C89)</f>
        <v>0</v>
      </c>
      <c r="L89" s="6">
        <f t="shared" si="19"/>
        <v>3</v>
      </c>
      <c r="M89" s="18" t="str">
        <f t="shared" si="13"/>
        <v>(87,3)</v>
      </c>
      <c r="N89" s="17">
        <f>COUNTIFS(Sheet1!$C:$C,Feuil1!N$1,Sheet1!$D:$D,Feuil1!$C89)</f>
        <v>0</v>
      </c>
      <c r="O89" s="6">
        <f t="shared" si="20"/>
        <v>20</v>
      </c>
      <c r="P89" s="18" t="str">
        <f t="shared" si="14"/>
        <v>(87,20)</v>
      </c>
    </row>
    <row r="90" spans="1:16" hidden="1" x14ac:dyDescent="0.2">
      <c r="A90" s="4">
        <f t="shared" si="21"/>
        <v>88</v>
      </c>
      <c r="B90" s="26">
        <f t="shared" si="15"/>
        <v>4</v>
      </c>
      <c r="C90" s="7">
        <f t="shared" si="22"/>
        <v>45318</v>
      </c>
      <c r="D90" s="11" t="str">
        <f t="shared" si="16"/>
        <v>{2024-01-27},</v>
      </c>
      <c r="E90" s="17">
        <f>COUNTIFS(Sheet1!$C:$C,Feuil1!E$1,Sheet1!$D:$D,Feuil1!$C90)</f>
        <v>0</v>
      </c>
      <c r="F90" s="6">
        <f t="shared" si="23"/>
        <v>5</v>
      </c>
      <c r="G90" s="18" t="str">
        <f t="shared" si="17"/>
        <v>(88,5)</v>
      </c>
      <c r="H90" s="17">
        <f>COUNTIFS(Sheet1!$C:$C,Feuil1!H$1,Sheet1!$D:$D,Feuil1!$C90)</f>
        <v>0</v>
      </c>
      <c r="I90" s="6">
        <f t="shared" si="18"/>
        <v>12</v>
      </c>
      <c r="J90" s="18" t="str">
        <f t="shared" si="12"/>
        <v>(88,12)</v>
      </c>
      <c r="K90" s="17">
        <f>COUNTIFS(Sheet1!$C:$C,Feuil1!K$1,Sheet1!$D:$D,Feuil1!$C90)</f>
        <v>0</v>
      </c>
      <c r="L90" s="6">
        <f t="shared" si="19"/>
        <v>3</v>
      </c>
      <c r="M90" s="18" t="str">
        <f t="shared" si="13"/>
        <v>(88,3)</v>
      </c>
      <c r="N90" s="17">
        <f>COUNTIFS(Sheet1!$C:$C,Feuil1!N$1,Sheet1!$D:$D,Feuil1!$C90)</f>
        <v>1</v>
      </c>
      <c r="O90" s="6">
        <f t="shared" si="20"/>
        <v>21</v>
      </c>
      <c r="P90" s="18" t="str">
        <f t="shared" si="14"/>
        <v>(88,21)</v>
      </c>
    </row>
    <row r="91" spans="1:16" hidden="1" x14ac:dyDescent="0.2">
      <c r="A91" s="4">
        <f t="shared" si="21"/>
        <v>89</v>
      </c>
      <c r="B91" s="26">
        <f t="shared" si="15"/>
        <v>4</v>
      </c>
      <c r="C91" s="7">
        <f t="shared" si="22"/>
        <v>45319</v>
      </c>
      <c r="D91" s="11" t="str">
        <f t="shared" si="16"/>
        <v>{2024-01-28},</v>
      </c>
      <c r="E91" s="17">
        <f>COUNTIFS(Sheet1!$C:$C,Feuil1!E$1,Sheet1!$D:$D,Feuil1!$C91)</f>
        <v>0</v>
      </c>
      <c r="F91" s="6">
        <f t="shared" si="23"/>
        <v>5</v>
      </c>
      <c r="G91" s="18" t="str">
        <f t="shared" si="17"/>
        <v>(89,5)</v>
      </c>
      <c r="H91" s="17">
        <f>COUNTIFS(Sheet1!$C:$C,Feuil1!H$1,Sheet1!$D:$D,Feuil1!$C91)</f>
        <v>0</v>
      </c>
      <c r="I91" s="6">
        <f t="shared" si="18"/>
        <v>12</v>
      </c>
      <c r="J91" s="18" t="str">
        <f t="shared" si="12"/>
        <v>(89,12)</v>
      </c>
      <c r="K91" s="17">
        <f>COUNTIFS(Sheet1!$C:$C,Feuil1!K$1,Sheet1!$D:$D,Feuil1!$C91)</f>
        <v>0</v>
      </c>
      <c r="L91" s="6">
        <f t="shared" si="19"/>
        <v>3</v>
      </c>
      <c r="M91" s="18" t="str">
        <f t="shared" si="13"/>
        <v>(89,3)</v>
      </c>
      <c r="N91" s="17">
        <f>COUNTIFS(Sheet1!$C:$C,Feuil1!N$1,Sheet1!$D:$D,Feuil1!$C91)</f>
        <v>1</v>
      </c>
      <c r="O91" s="6">
        <f t="shared" si="20"/>
        <v>22</v>
      </c>
      <c r="P91" s="18" t="str">
        <f t="shared" si="14"/>
        <v>(89,22)</v>
      </c>
    </row>
    <row r="92" spans="1:16" hidden="1" x14ac:dyDescent="0.2">
      <c r="A92" s="4">
        <f t="shared" si="21"/>
        <v>90</v>
      </c>
      <c r="B92" s="26">
        <f t="shared" si="15"/>
        <v>5</v>
      </c>
      <c r="C92" s="7">
        <f t="shared" si="22"/>
        <v>45320</v>
      </c>
      <c r="D92" s="11" t="str">
        <f t="shared" si="16"/>
        <v>{2024-01-29},</v>
      </c>
      <c r="E92" s="17">
        <f>COUNTIFS(Sheet1!$C:$C,Feuil1!E$1,Sheet1!$D:$D,Feuil1!$C92)</f>
        <v>0</v>
      </c>
      <c r="F92" s="6">
        <f t="shared" si="23"/>
        <v>5</v>
      </c>
      <c r="G92" s="18" t="str">
        <f t="shared" si="17"/>
        <v>(90,5)</v>
      </c>
      <c r="H92" s="17">
        <f>COUNTIFS(Sheet1!$C:$C,Feuil1!H$1,Sheet1!$D:$D,Feuil1!$C92)</f>
        <v>0</v>
      </c>
      <c r="I92" s="6">
        <f t="shared" si="18"/>
        <v>12</v>
      </c>
      <c r="J92" s="18" t="str">
        <f t="shared" si="12"/>
        <v>(90,12)</v>
      </c>
      <c r="K92" s="17">
        <f>COUNTIFS(Sheet1!$C:$C,Feuil1!K$1,Sheet1!$D:$D,Feuil1!$C92)</f>
        <v>0</v>
      </c>
      <c r="L92" s="6">
        <f t="shared" si="19"/>
        <v>3</v>
      </c>
      <c r="M92" s="18" t="str">
        <f t="shared" si="13"/>
        <v>(90,3)</v>
      </c>
      <c r="N92" s="17">
        <f>COUNTIFS(Sheet1!$C:$C,Feuil1!N$1,Sheet1!$D:$D,Feuil1!$C92)</f>
        <v>1</v>
      </c>
      <c r="O92" s="6">
        <f t="shared" si="20"/>
        <v>23</v>
      </c>
      <c r="P92" s="18" t="str">
        <f t="shared" si="14"/>
        <v>(90,23)</v>
      </c>
    </row>
    <row r="93" spans="1:16" hidden="1" x14ac:dyDescent="0.2">
      <c r="A93" s="4">
        <f t="shared" si="21"/>
        <v>91</v>
      </c>
      <c r="B93" s="26">
        <f t="shared" si="15"/>
        <v>5</v>
      </c>
      <c r="C93" s="7">
        <f t="shared" si="22"/>
        <v>45321</v>
      </c>
      <c r="D93" s="11" t="str">
        <f t="shared" si="16"/>
        <v>{2024-01-30},</v>
      </c>
      <c r="E93" s="17">
        <f>COUNTIFS(Sheet1!$C:$C,Feuil1!E$1,Sheet1!$D:$D,Feuil1!$C93)</f>
        <v>0</v>
      </c>
      <c r="F93" s="6">
        <f t="shared" si="23"/>
        <v>5</v>
      </c>
      <c r="G93" s="18" t="str">
        <f t="shared" si="17"/>
        <v>(91,5)</v>
      </c>
      <c r="H93" s="17">
        <f>COUNTIFS(Sheet1!$C:$C,Feuil1!H$1,Sheet1!$D:$D,Feuil1!$C93)</f>
        <v>0</v>
      </c>
      <c r="I93" s="6">
        <f t="shared" si="18"/>
        <v>12</v>
      </c>
      <c r="J93" s="18" t="str">
        <f t="shared" si="12"/>
        <v>(91,12)</v>
      </c>
      <c r="K93" s="17">
        <f>COUNTIFS(Sheet1!$C:$C,Feuil1!K$1,Sheet1!$D:$D,Feuil1!$C93)</f>
        <v>0</v>
      </c>
      <c r="L93" s="6">
        <f t="shared" si="19"/>
        <v>3</v>
      </c>
      <c r="M93" s="18" t="str">
        <f t="shared" si="13"/>
        <v>(91,3)</v>
      </c>
      <c r="N93" s="17">
        <f>COUNTIFS(Sheet1!$C:$C,Feuil1!N$1,Sheet1!$D:$D,Feuil1!$C93)</f>
        <v>2</v>
      </c>
      <c r="O93" s="6">
        <f t="shared" si="20"/>
        <v>25</v>
      </c>
      <c r="P93" s="18" t="str">
        <f t="shared" si="14"/>
        <v>(91,25)</v>
      </c>
    </row>
    <row r="94" spans="1:16" hidden="1" x14ac:dyDescent="0.2">
      <c r="A94" s="4">
        <f t="shared" si="21"/>
        <v>92</v>
      </c>
      <c r="B94" s="26">
        <f t="shared" si="15"/>
        <v>5</v>
      </c>
      <c r="C94" s="7">
        <f t="shared" si="22"/>
        <v>45322</v>
      </c>
      <c r="D94" s="11" t="str">
        <f t="shared" si="16"/>
        <v>{2024-01-31},</v>
      </c>
      <c r="E94" s="17">
        <f>COUNTIFS(Sheet1!$C:$C,Feuil1!E$1,Sheet1!$D:$D,Feuil1!$C94)</f>
        <v>0</v>
      </c>
      <c r="F94" s="6">
        <f t="shared" si="23"/>
        <v>5</v>
      </c>
      <c r="G94" s="18" t="str">
        <f t="shared" si="17"/>
        <v>(92,5)</v>
      </c>
      <c r="H94" s="17">
        <f>COUNTIFS(Sheet1!$C:$C,Feuil1!H$1,Sheet1!$D:$D,Feuil1!$C94)</f>
        <v>0</v>
      </c>
      <c r="I94" s="6">
        <f t="shared" si="18"/>
        <v>12</v>
      </c>
      <c r="J94" s="18" t="str">
        <f t="shared" si="12"/>
        <v>(92,12)</v>
      </c>
      <c r="K94" s="17">
        <f>COUNTIFS(Sheet1!$C:$C,Feuil1!K$1,Sheet1!$D:$D,Feuil1!$C94)</f>
        <v>0</v>
      </c>
      <c r="L94" s="6">
        <f t="shared" si="19"/>
        <v>3</v>
      </c>
      <c r="M94" s="18" t="str">
        <f t="shared" si="13"/>
        <v>(92,3)</v>
      </c>
      <c r="N94" s="17">
        <f>COUNTIFS(Sheet1!$C:$C,Feuil1!N$1,Sheet1!$D:$D,Feuil1!$C94)</f>
        <v>2</v>
      </c>
      <c r="O94" s="6">
        <f t="shared" si="20"/>
        <v>27</v>
      </c>
      <c r="P94" s="18" t="str">
        <f t="shared" si="14"/>
        <v>(92,27)</v>
      </c>
    </row>
    <row r="95" spans="1:16" hidden="1" x14ac:dyDescent="0.2">
      <c r="A95" s="4">
        <f t="shared" si="21"/>
        <v>93</v>
      </c>
      <c r="B95" s="4"/>
      <c r="C95" s="5">
        <f t="shared" si="22"/>
        <v>45323</v>
      </c>
      <c r="D95" s="11" t="str">
        <f t="shared" si="16"/>
        <v>{2024-02-01},</v>
      </c>
      <c r="E95" s="17">
        <f>COUNTIFS(Sheet1!$C:$C,Feuil1!E$1,Sheet1!$D:$D,Feuil1!$C95)</f>
        <v>0</v>
      </c>
      <c r="F95" s="6">
        <f t="shared" si="23"/>
        <v>5</v>
      </c>
      <c r="G95" s="18" t="str">
        <f t="shared" si="17"/>
        <v>(93,5)</v>
      </c>
      <c r="H95" s="17">
        <f>COUNTIFS(Sheet1!$C:$C,Feuil1!H$1,Sheet1!$D:$D,Feuil1!$C95)</f>
        <v>0</v>
      </c>
      <c r="I95" s="6">
        <f t="shared" si="18"/>
        <v>12</v>
      </c>
      <c r="J95" s="18" t="str">
        <f t="shared" si="12"/>
        <v>(93,12)</v>
      </c>
      <c r="K95" s="17">
        <f>COUNTIFS(Sheet1!$C:$C,Feuil1!K$1,Sheet1!$D:$D,Feuil1!$C95)</f>
        <v>0</v>
      </c>
      <c r="L95" s="6">
        <f t="shared" si="19"/>
        <v>3</v>
      </c>
      <c r="M95" s="18" t="str">
        <f t="shared" si="13"/>
        <v>(93,3)</v>
      </c>
      <c r="N95" s="17">
        <f>COUNTIFS(Sheet1!$C:$C,Feuil1!N$1,Sheet1!$D:$D,Feuil1!$C95)</f>
        <v>0</v>
      </c>
      <c r="O95" s="6">
        <f t="shared" si="20"/>
        <v>27</v>
      </c>
      <c r="P95" s="18" t="str">
        <f t="shared" si="14"/>
        <v>(93,27)</v>
      </c>
    </row>
    <row r="96" spans="1:16" hidden="1" x14ac:dyDescent="0.2">
      <c r="A96" s="4">
        <f t="shared" si="21"/>
        <v>94</v>
      </c>
      <c r="B96" s="4"/>
      <c r="C96" s="7">
        <f t="shared" si="22"/>
        <v>45324</v>
      </c>
      <c r="D96" s="11" t="str">
        <f t="shared" si="16"/>
        <v>{2024-02-02},</v>
      </c>
      <c r="E96" s="17">
        <f>COUNTIFS(Sheet1!$C:$C,Feuil1!E$1,Sheet1!$D:$D,Feuil1!$C96)</f>
        <v>0</v>
      </c>
      <c r="F96" s="6">
        <f t="shared" si="23"/>
        <v>5</v>
      </c>
      <c r="G96" s="18" t="str">
        <f t="shared" si="17"/>
        <v>(94,5)</v>
      </c>
      <c r="H96" s="17">
        <f>COUNTIFS(Sheet1!$C:$C,Feuil1!H$1,Sheet1!$D:$D,Feuil1!$C96)</f>
        <v>0</v>
      </c>
      <c r="I96" s="6">
        <f t="shared" si="18"/>
        <v>12</v>
      </c>
      <c r="J96" s="18" t="str">
        <f t="shared" si="12"/>
        <v>(94,12)</v>
      </c>
      <c r="K96" s="17">
        <f>COUNTIFS(Sheet1!$C:$C,Feuil1!K$1,Sheet1!$D:$D,Feuil1!$C96)</f>
        <v>0</v>
      </c>
      <c r="L96" s="6">
        <f t="shared" si="19"/>
        <v>3</v>
      </c>
      <c r="M96" s="18" t="str">
        <f t="shared" si="13"/>
        <v>(94,3)</v>
      </c>
      <c r="N96" s="17">
        <f>COUNTIFS(Sheet1!$C:$C,Feuil1!N$1,Sheet1!$D:$D,Feuil1!$C96)</f>
        <v>0</v>
      </c>
      <c r="O96" s="6">
        <f t="shared" si="20"/>
        <v>27</v>
      </c>
      <c r="P96" s="18" t="str">
        <f t="shared" si="14"/>
        <v>(94,27)</v>
      </c>
    </row>
    <row r="97" spans="1:16" hidden="1" x14ac:dyDescent="0.2">
      <c r="A97" s="4">
        <f t="shared" si="21"/>
        <v>95</v>
      </c>
      <c r="B97" s="4"/>
      <c r="C97" s="7">
        <f t="shared" si="22"/>
        <v>45325</v>
      </c>
      <c r="D97" s="11" t="str">
        <f t="shared" si="16"/>
        <v>{2024-02-03},</v>
      </c>
      <c r="E97" s="17">
        <f>COUNTIFS(Sheet1!$C:$C,Feuil1!E$1,Sheet1!$D:$D,Feuil1!$C97)</f>
        <v>0</v>
      </c>
      <c r="F97" s="6">
        <f t="shared" si="23"/>
        <v>5</v>
      </c>
      <c r="G97" s="18" t="str">
        <f t="shared" si="17"/>
        <v>(95,5)</v>
      </c>
      <c r="H97" s="17">
        <f>COUNTIFS(Sheet1!$C:$C,Feuil1!H$1,Sheet1!$D:$D,Feuil1!$C97)</f>
        <v>0</v>
      </c>
      <c r="I97" s="6">
        <f t="shared" si="18"/>
        <v>12</v>
      </c>
      <c r="J97" s="18" t="str">
        <f t="shared" si="12"/>
        <v>(95,12)</v>
      </c>
      <c r="K97" s="17">
        <f>COUNTIFS(Sheet1!$C:$C,Feuil1!K$1,Sheet1!$D:$D,Feuil1!$C97)</f>
        <v>0</v>
      </c>
      <c r="L97" s="6">
        <f t="shared" si="19"/>
        <v>3</v>
      </c>
      <c r="M97" s="18" t="str">
        <f t="shared" si="13"/>
        <v>(95,3)</v>
      </c>
      <c r="N97" s="17">
        <f>COUNTIFS(Sheet1!$C:$C,Feuil1!N$1,Sheet1!$D:$D,Feuil1!$C97)</f>
        <v>0</v>
      </c>
      <c r="O97" s="6">
        <f t="shared" si="20"/>
        <v>27</v>
      </c>
      <c r="P97" s="18" t="str">
        <f t="shared" si="14"/>
        <v>(95,27)</v>
      </c>
    </row>
    <row r="98" spans="1:16" hidden="1" x14ac:dyDescent="0.2">
      <c r="A98" s="4">
        <f t="shared" si="21"/>
        <v>96</v>
      </c>
      <c r="B98" s="4"/>
      <c r="C98" s="7">
        <f t="shared" si="22"/>
        <v>45326</v>
      </c>
      <c r="D98" s="11" t="str">
        <f t="shared" si="16"/>
        <v>{2024-02-04},</v>
      </c>
      <c r="E98" s="17">
        <f>COUNTIFS(Sheet1!$C:$C,Feuil1!E$1,Sheet1!$D:$D,Feuil1!$C98)</f>
        <v>0</v>
      </c>
      <c r="F98" s="6">
        <f t="shared" si="23"/>
        <v>5</v>
      </c>
      <c r="G98" s="18" t="str">
        <f t="shared" si="17"/>
        <v>(96,5)</v>
      </c>
      <c r="H98" s="17">
        <f>COUNTIFS(Sheet1!$C:$C,Feuil1!H$1,Sheet1!$D:$D,Feuil1!$C98)</f>
        <v>0</v>
      </c>
      <c r="I98" s="6">
        <f t="shared" si="18"/>
        <v>12</v>
      </c>
      <c r="J98" s="18" t="str">
        <f t="shared" si="12"/>
        <v>(96,12)</v>
      </c>
      <c r="K98" s="17">
        <f>COUNTIFS(Sheet1!$C:$C,Feuil1!K$1,Sheet1!$D:$D,Feuil1!$C98)</f>
        <v>0</v>
      </c>
      <c r="L98" s="6">
        <f t="shared" si="19"/>
        <v>3</v>
      </c>
      <c r="M98" s="18" t="str">
        <f t="shared" si="13"/>
        <v>(96,3)</v>
      </c>
      <c r="N98" s="17">
        <f>COUNTIFS(Sheet1!$C:$C,Feuil1!N$1,Sheet1!$D:$D,Feuil1!$C98)</f>
        <v>0</v>
      </c>
      <c r="O98" s="6">
        <f t="shared" si="20"/>
        <v>27</v>
      </c>
      <c r="P98" s="18" t="str">
        <f t="shared" si="14"/>
        <v>(96,27)</v>
      </c>
    </row>
    <row r="99" spans="1:16" hidden="1" x14ac:dyDescent="0.2">
      <c r="A99" s="4">
        <f t="shared" si="21"/>
        <v>97</v>
      </c>
      <c r="B99" s="4"/>
      <c r="C99" s="7">
        <f t="shared" si="22"/>
        <v>45327</v>
      </c>
      <c r="D99" s="11" t="str">
        <f t="shared" si="16"/>
        <v>{2024-02-05},</v>
      </c>
      <c r="E99" s="17">
        <f>COUNTIFS(Sheet1!$C:$C,Feuil1!E$1,Sheet1!$D:$D,Feuil1!$C99)</f>
        <v>0</v>
      </c>
      <c r="F99" s="6">
        <f t="shared" si="23"/>
        <v>5</v>
      </c>
      <c r="G99" s="18" t="str">
        <f t="shared" si="17"/>
        <v>(97,5)</v>
      </c>
      <c r="H99" s="17">
        <f>COUNTIFS(Sheet1!$C:$C,Feuil1!H$1,Sheet1!$D:$D,Feuil1!$C99)</f>
        <v>0</v>
      </c>
      <c r="I99" s="6">
        <f t="shared" si="18"/>
        <v>12</v>
      </c>
      <c r="J99" s="18" t="str">
        <f t="shared" si="12"/>
        <v>(97,12)</v>
      </c>
      <c r="K99" s="17">
        <f>COUNTIFS(Sheet1!$C:$C,Feuil1!K$1,Sheet1!$D:$D,Feuil1!$C99)</f>
        <v>0</v>
      </c>
      <c r="L99" s="6">
        <f t="shared" si="19"/>
        <v>3</v>
      </c>
      <c r="M99" s="18" t="str">
        <f t="shared" si="13"/>
        <v>(97,3)</v>
      </c>
      <c r="N99" s="17">
        <f>COUNTIFS(Sheet1!$C:$C,Feuil1!N$1,Sheet1!$D:$D,Feuil1!$C99)</f>
        <v>0</v>
      </c>
      <c r="O99" s="6">
        <f t="shared" si="20"/>
        <v>27</v>
      </c>
      <c r="P99" s="18" t="str">
        <f t="shared" si="14"/>
        <v>(97,27)</v>
      </c>
    </row>
    <row r="100" spans="1:16" hidden="1" x14ac:dyDescent="0.2">
      <c r="A100" s="4">
        <f t="shared" si="21"/>
        <v>98</v>
      </c>
      <c r="B100" s="4"/>
      <c r="C100" s="7">
        <f t="shared" si="22"/>
        <v>45328</v>
      </c>
      <c r="D100" s="11" t="str">
        <f t="shared" si="16"/>
        <v>{2024-02-06},</v>
      </c>
      <c r="E100" s="17">
        <f>COUNTIFS(Sheet1!$C:$C,Feuil1!E$1,Sheet1!$D:$D,Feuil1!$C100)</f>
        <v>0</v>
      </c>
      <c r="F100" s="6">
        <f t="shared" si="23"/>
        <v>5</v>
      </c>
      <c r="G100" s="18" t="str">
        <f t="shared" si="17"/>
        <v>(98,5)</v>
      </c>
      <c r="H100" s="17">
        <f>COUNTIFS(Sheet1!$C:$C,Feuil1!H$1,Sheet1!$D:$D,Feuil1!$C100)</f>
        <v>0</v>
      </c>
      <c r="I100" s="6">
        <f t="shared" si="18"/>
        <v>12</v>
      </c>
      <c r="J100" s="18" t="str">
        <f t="shared" si="12"/>
        <v>(98,12)</v>
      </c>
      <c r="K100" s="17">
        <f>COUNTIFS(Sheet1!$C:$C,Feuil1!K$1,Sheet1!$D:$D,Feuil1!$C100)</f>
        <v>0</v>
      </c>
      <c r="L100" s="6">
        <f t="shared" si="19"/>
        <v>3</v>
      </c>
      <c r="M100" s="18" t="str">
        <f t="shared" si="13"/>
        <v>(98,3)</v>
      </c>
      <c r="N100" s="17">
        <f>COUNTIFS(Sheet1!$C:$C,Feuil1!N$1,Sheet1!$D:$D,Feuil1!$C100)</f>
        <v>2</v>
      </c>
      <c r="O100" s="6">
        <f t="shared" si="20"/>
        <v>29</v>
      </c>
      <c r="P100" s="18" t="str">
        <f t="shared" si="14"/>
        <v>(98,29)</v>
      </c>
    </row>
    <row r="101" spans="1:16" hidden="1" x14ac:dyDescent="0.2">
      <c r="A101" s="4">
        <f t="shared" si="21"/>
        <v>99</v>
      </c>
      <c r="B101" s="4"/>
      <c r="C101" s="7">
        <f t="shared" si="22"/>
        <v>45329</v>
      </c>
      <c r="D101" s="11" t="str">
        <f t="shared" si="16"/>
        <v>{2024-02-07},</v>
      </c>
      <c r="E101" s="17">
        <f>COUNTIFS(Sheet1!$C:$C,Feuil1!E$1,Sheet1!$D:$D,Feuil1!$C101)</f>
        <v>0</v>
      </c>
      <c r="F101" s="6">
        <f t="shared" si="23"/>
        <v>5</v>
      </c>
      <c r="G101" s="18" t="str">
        <f t="shared" si="17"/>
        <v>(99,5)</v>
      </c>
      <c r="H101" s="17">
        <f>COUNTIFS(Sheet1!$C:$C,Feuil1!H$1,Sheet1!$D:$D,Feuil1!$C101)</f>
        <v>0</v>
      </c>
      <c r="I101" s="6">
        <f t="shared" si="18"/>
        <v>12</v>
      </c>
      <c r="J101" s="18" t="str">
        <f t="shared" si="12"/>
        <v>(99,12)</v>
      </c>
      <c r="K101" s="17">
        <f>COUNTIFS(Sheet1!$C:$C,Feuil1!K$1,Sheet1!$D:$D,Feuil1!$C101)</f>
        <v>0</v>
      </c>
      <c r="L101" s="6">
        <f t="shared" si="19"/>
        <v>3</v>
      </c>
      <c r="M101" s="18" t="str">
        <f t="shared" si="13"/>
        <v>(99,3)</v>
      </c>
      <c r="N101" s="17">
        <f>COUNTIFS(Sheet1!$C:$C,Feuil1!N$1,Sheet1!$D:$D,Feuil1!$C101)</f>
        <v>0</v>
      </c>
      <c r="O101" s="6">
        <f t="shared" si="20"/>
        <v>29</v>
      </c>
      <c r="P101" s="18" t="str">
        <f t="shared" si="14"/>
        <v>(99,29)</v>
      </c>
    </row>
    <row r="102" spans="1:16" hidden="1" x14ac:dyDescent="0.2">
      <c r="A102" s="4">
        <f t="shared" si="21"/>
        <v>100</v>
      </c>
      <c r="B102" s="4"/>
      <c r="C102" s="7">
        <f t="shared" si="22"/>
        <v>45330</v>
      </c>
      <c r="D102" s="11" t="str">
        <f t="shared" si="16"/>
        <v>{2024-02-08},</v>
      </c>
      <c r="E102" s="17">
        <f>COUNTIFS(Sheet1!$C:$C,Feuil1!E$1,Sheet1!$D:$D,Feuil1!$C102)</f>
        <v>0</v>
      </c>
      <c r="F102" s="6">
        <f t="shared" si="23"/>
        <v>5</v>
      </c>
      <c r="G102" s="18" t="str">
        <f t="shared" si="17"/>
        <v>(100,5)</v>
      </c>
      <c r="H102" s="17">
        <f>COUNTIFS(Sheet1!$C:$C,Feuil1!H$1,Sheet1!$D:$D,Feuil1!$C102)</f>
        <v>0</v>
      </c>
      <c r="I102" s="6">
        <f t="shared" si="18"/>
        <v>12</v>
      </c>
      <c r="J102" s="18" t="str">
        <f t="shared" si="12"/>
        <v>(100,12)</v>
      </c>
      <c r="K102" s="17">
        <f>COUNTIFS(Sheet1!$C:$C,Feuil1!K$1,Sheet1!$D:$D,Feuil1!$C102)</f>
        <v>0</v>
      </c>
      <c r="L102" s="6">
        <f t="shared" si="19"/>
        <v>3</v>
      </c>
      <c r="M102" s="18" t="str">
        <f t="shared" si="13"/>
        <v>(100,3)</v>
      </c>
      <c r="N102" s="17">
        <f>COUNTIFS(Sheet1!$C:$C,Feuil1!N$1,Sheet1!$D:$D,Feuil1!$C102)</f>
        <v>0</v>
      </c>
      <c r="O102" s="6">
        <f t="shared" si="20"/>
        <v>29</v>
      </c>
      <c r="P102" s="18" t="str">
        <f t="shared" si="14"/>
        <v>(100,29)</v>
      </c>
    </row>
    <row r="103" spans="1:16" hidden="1" x14ac:dyDescent="0.2">
      <c r="A103" s="4">
        <f t="shared" si="21"/>
        <v>101</v>
      </c>
      <c r="B103" s="4"/>
      <c r="C103" s="7">
        <f t="shared" si="22"/>
        <v>45331</v>
      </c>
      <c r="D103" s="11" t="str">
        <f t="shared" si="16"/>
        <v>{2024-02-09},</v>
      </c>
      <c r="E103" s="17">
        <f>COUNTIFS(Sheet1!$C:$C,Feuil1!E$1,Sheet1!$D:$D,Feuil1!$C103)</f>
        <v>0</v>
      </c>
      <c r="F103" s="6">
        <f t="shared" si="23"/>
        <v>5</v>
      </c>
      <c r="G103" s="18" t="str">
        <f t="shared" si="17"/>
        <v>(101,5)</v>
      </c>
      <c r="H103" s="17">
        <f>COUNTIFS(Sheet1!$C:$C,Feuil1!H$1,Sheet1!$D:$D,Feuil1!$C103)</f>
        <v>0</v>
      </c>
      <c r="I103" s="6">
        <f t="shared" si="18"/>
        <v>12</v>
      </c>
      <c r="J103" s="18" t="str">
        <f t="shared" si="12"/>
        <v>(101,12)</v>
      </c>
      <c r="K103" s="17">
        <f>COUNTIFS(Sheet1!$C:$C,Feuil1!K$1,Sheet1!$D:$D,Feuil1!$C103)</f>
        <v>0</v>
      </c>
      <c r="L103" s="6">
        <f t="shared" si="19"/>
        <v>3</v>
      </c>
      <c r="M103" s="18" t="str">
        <f t="shared" si="13"/>
        <v>(101,3)</v>
      </c>
      <c r="N103" s="17">
        <f>COUNTIFS(Sheet1!$C:$C,Feuil1!N$1,Sheet1!$D:$D,Feuil1!$C103)</f>
        <v>1</v>
      </c>
      <c r="O103" s="6">
        <f t="shared" si="20"/>
        <v>30</v>
      </c>
      <c r="P103" s="18" t="str">
        <f t="shared" si="14"/>
        <v>(101,30)</v>
      </c>
    </row>
    <row r="104" spans="1:16" hidden="1" x14ac:dyDescent="0.2">
      <c r="A104" s="4">
        <f t="shared" si="21"/>
        <v>102</v>
      </c>
      <c r="B104" s="4"/>
      <c r="C104" s="7">
        <f t="shared" si="22"/>
        <v>45332</v>
      </c>
      <c r="D104" s="11" t="str">
        <f t="shared" si="16"/>
        <v>{2024-02-10},</v>
      </c>
      <c r="E104" s="17">
        <f>COUNTIFS(Sheet1!$C:$C,Feuil1!E$1,Sheet1!$D:$D,Feuil1!$C104)</f>
        <v>0</v>
      </c>
      <c r="F104" s="6">
        <f t="shared" si="23"/>
        <v>5</v>
      </c>
      <c r="G104" s="18" t="str">
        <f t="shared" si="17"/>
        <v>(102,5)</v>
      </c>
      <c r="H104" s="17">
        <f>COUNTIFS(Sheet1!$C:$C,Feuil1!H$1,Sheet1!$D:$D,Feuil1!$C104)</f>
        <v>0</v>
      </c>
      <c r="I104" s="6">
        <f t="shared" si="18"/>
        <v>12</v>
      </c>
      <c r="J104" s="18" t="str">
        <f t="shared" si="12"/>
        <v>(102,12)</v>
      </c>
      <c r="K104" s="17">
        <f>COUNTIFS(Sheet1!$C:$C,Feuil1!K$1,Sheet1!$D:$D,Feuil1!$C104)</f>
        <v>0</v>
      </c>
      <c r="L104" s="6">
        <f t="shared" si="19"/>
        <v>3</v>
      </c>
      <c r="M104" s="18" t="str">
        <f t="shared" si="13"/>
        <v>(102,3)</v>
      </c>
      <c r="N104" s="17">
        <f>COUNTIFS(Sheet1!$C:$C,Feuil1!N$1,Sheet1!$D:$D,Feuil1!$C104)</f>
        <v>2</v>
      </c>
      <c r="O104" s="6">
        <f t="shared" si="20"/>
        <v>32</v>
      </c>
      <c r="P104" s="18" t="str">
        <f t="shared" si="14"/>
        <v>(102,32)</v>
      </c>
    </row>
    <row r="105" spans="1:16" hidden="1" x14ac:dyDescent="0.2">
      <c r="A105" s="4">
        <f t="shared" si="21"/>
        <v>103</v>
      </c>
      <c r="B105" s="4"/>
      <c r="C105" s="7">
        <f t="shared" si="22"/>
        <v>45333</v>
      </c>
      <c r="D105" s="11" t="str">
        <f t="shared" si="16"/>
        <v>{2024-02-11},</v>
      </c>
      <c r="E105" s="17">
        <f>COUNTIFS(Sheet1!$C:$C,Feuil1!E$1,Sheet1!$D:$D,Feuil1!$C105)</f>
        <v>0</v>
      </c>
      <c r="F105" s="6">
        <f t="shared" si="23"/>
        <v>5</v>
      </c>
      <c r="G105" s="18" t="str">
        <f t="shared" si="17"/>
        <v>(103,5)</v>
      </c>
      <c r="H105" s="17">
        <f>COUNTIFS(Sheet1!$C:$C,Feuil1!H$1,Sheet1!$D:$D,Feuil1!$C105)</f>
        <v>0</v>
      </c>
      <c r="I105" s="6">
        <f t="shared" si="18"/>
        <v>12</v>
      </c>
      <c r="J105" s="18" t="str">
        <f t="shared" si="12"/>
        <v>(103,12)</v>
      </c>
      <c r="K105" s="17">
        <f>COUNTIFS(Sheet1!$C:$C,Feuil1!K$1,Sheet1!$D:$D,Feuil1!$C105)</f>
        <v>0</v>
      </c>
      <c r="L105" s="6">
        <f t="shared" si="19"/>
        <v>3</v>
      </c>
      <c r="M105" s="18" t="str">
        <f t="shared" si="13"/>
        <v>(103,3)</v>
      </c>
      <c r="N105" s="17">
        <f>COUNTIFS(Sheet1!$C:$C,Feuil1!N$1,Sheet1!$D:$D,Feuil1!$C105)</f>
        <v>1</v>
      </c>
      <c r="O105" s="6">
        <f t="shared" si="20"/>
        <v>33</v>
      </c>
      <c r="P105" s="18" t="str">
        <f t="shared" si="14"/>
        <v>(103,33)</v>
      </c>
    </row>
    <row r="106" spans="1:16" hidden="1" x14ac:dyDescent="0.2">
      <c r="A106" s="4">
        <f t="shared" si="21"/>
        <v>104</v>
      </c>
      <c r="B106" s="4"/>
      <c r="C106" s="7">
        <f t="shared" si="22"/>
        <v>45334</v>
      </c>
      <c r="D106" s="11" t="str">
        <f t="shared" si="16"/>
        <v>{2024-02-12},</v>
      </c>
      <c r="E106" s="17">
        <f>COUNTIFS(Sheet1!$C:$C,Feuil1!E$1,Sheet1!$D:$D,Feuil1!$C106)</f>
        <v>0</v>
      </c>
      <c r="F106" s="6">
        <f t="shared" si="23"/>
        <v>5</v>
      </c>
      <c r="G106" s="18" t="str">
        <f t="shared" si="17"/>
        <v>(104,5)</v>
      </c>
      <c r="H106" s="17">
        <f>COUNTIFS(Sheet1!$C:$C,Feuil1!H$1,Sheet1!$D:$D,Feuil1!$C106)</f>
        <v>0</v>
      </c>
      <c r="I106" s="6">
        <f t="shared" si="18"/>
        <v>12</v>
      </c>
      <c r="J106" s="18" t="str">
        <f t="shared" si="12"/>
        <v>(104,12)</v>
      </c>
      <c r="K106" s="17">
        <f>COUNTIFS(Sheet1!$C:$C,Feuil1!K$1,Sheet1!$D:$D,Feuil1!$C106)</f>
        <v>0</v>
      </c>
      <c r="L106" s="6">
        <f t="shared" si="19"/>
        <v>3</v>
      </c>
      <c r="M106" s="18" t="str">
        <f t="shared" si="13"/>
        <v>(104,3)</v>
      </c>
      <c r="N106" s="17">
        <f>COUNTIFS(Sheet1!$C:$C,Feuil1!N$1,Sheet1!$D:$D,Feuil1!$C106)</f>
        <v>0</v>
      </c>
      <c r="O106" s="6">
        <f t="shared" si="20"/>
        <v>33</v>
      </c>
      <c r="P106" s="18" t="str">
        <f t="shared" si="14"/>
        <v>(104,33)</v>
      </c>
    </row>
    <row r="107" spans="1:16" hidden="1" x14ac:dyDescent="0.2">
      <c r="A107" s="4">
        <f t="shared" si="21"/>
        <v>105</v>
      </c>
      <c r="B107" s="4"/>
      <c r="C107" s="7">
        <f t="shared" si="22"/>
        <v>45335</v>
      </c>
      <c r="D107" s="11" t="str">
        <f t="shared" si="16"/>
        <v>{2024-02-13},</v>
      </c>
      <c r="E107" s="17">
        <f>COUNTIFS(Sheet1!$C:$C,Feuil1!E$1,Sheet1!$D:$D,Feuil1!$C107)</f>
        <v>0</v>
      </c>
      <c r="F107" s="6">
        <f t="shared" si="23"/>
        <v>5</v>
      </c>
      <c r="G107" s="18" t="str">
        <f t="shared" si="17"/>
        <v>(105,5)</v>
      </c>
      <c r="H107" s="17">
        <f>COUNTIFS(Sheet1!$C:$C,Feuil1!H$1,Sheet1!$D:$D,Feuil1!$C107)</f>
        <v>0</v>
      </c>
      <c r="I107" s="6">
        <f t="shared" si="18"/>
        <v>12</v>
      </c>
      <c r="J107" s="18" t="str">
        <f t="shared" si="12"/>
        <v>(105,12)</v>
      </c>
      <c r="K107" s="17">
        <f>COUNTIFS(Sheet1!$C:$C,Feuil1!K$1,Sheet1!$D:$D,Feuil1!$C107)</f>
        <v>0</v>
      </c>
      <c r="L107" s="6">
        <f t="shared" si="19"/>
        <v>3</v>
      </c>
      <c r="M107" s="18" t="str">
        <f t="shared" si="13"/>
        <v>(105,3)</v>
      </c>
      <c r="N107" s="17">
        <f>COUNTIFS(Sheet1!$C:$C,Feuil1!N$1,Sheet1!$D:$D,Feuil1!$C107)</f>
        <v>1</v>
      </c>
      <c r="O107" s="6">
        <f t="shared" si="20"/>
        <v>34</v>
      </c>
      <c r="P107" s="18" t="str">
        <f t="shared" si="14"/>
        <v>(105,34)</v>
      </c>
    </row>
    <row r="108" spans="1:16" hidden="1" x14ac:dyDescent="0.2">
      <c r="A108" s="4">
        <f t="shared" si="21"/>
        <v>106</v>
      </c>
      <c r="B108" s="4"/>
      <c r="C108" s="7">
        <f t="shared" si="22"/>
        <v>45336</v>
      </c>
      <c r="D108" s="11" t="str">
        <f t="shared" si="16"/>
        <v>{2024-02-14},</v>
      </c>
      <c r="E108" s="17">
        <f>COUNTIFS(Sheet1!$C:$C,Feuil1!E$1,Sheet1!$D:$D,Feuil1!$C108)</f>
        <v>0</v>
      </c>
      <c r="F108" s="6">
        <f t="shared" si="23"/>
        <v>5</v>
      </c>
      <c r="G108" s="18" t="str">
        <f t="shared" si="17"/>
        <v>(106,5)</v>
      </c>
      <c r="H108" s="17">
        <f>COUNTIFS(Sheet1!$C:$C,Feuil1!H$1,Sheet1!$D:$D,Feuil1!$C108)</f>
        <v>0</v>
      </c>
      <c r="I108" s="6">
        <f t="shared" si="18"/>
        <v>12</v>
      </c>
      <c r="J108" s="18" t="str">
        <f t="shared" si="12"/>
        <v>(106,12)</v>
      </c>
      <c r="K108" s="17">
        <f>COUNTIFS(Sheet1!$C:$C,Feuil1!K$1,Sheet1!$D:$D,Feuil1!$C108)</f>
        <v>0</v>
      </c>
      <c r="L108" s="6">
        <f t="shared" si="19"/>
        <v>3</v>
      </c>
      <c r="M108" s="18" t="str">
        <f t="shared" si="13"/>
        <v>(106,3)</v>
      </c>
      <c r="N108" s="17">
        <f>COUNTIFS(Sheet1!$C:$C,Feuil1!N$1,Sheet1!$D:$D,Feuil1!$C108)</f>
        <v>1</v>
      </c>
      <c r="O108" s="6">
        <f t="shared" si="20"/>
        <v>35</v>
      </c>
      <c r="P108" s="18" t="str">
        <f t="shared" si="14"/>
        <v>(106,35)</v>
      </c>
    </row>
    <row r="109" spans="1:16" hidden="1" x14ac:dyDescent="0.2">
      <c r="A109" s="4">
        <f t="shared" si="21"/>
        <v>107</v>
      </c>
      <c r="B109" s="4"/>
      <c r="C109" s="7">
        <f t="shared" si="22"/>
        <v>45337</v>
      </c>
      <c r="D109" s="11" t="str">
        <f t="shared" si="16"/>
        <v>{2024-02-15},</v>
      </c>
      <c r="E109" s="17">
        <f>COUNTIFS(Sheet1!$C:$C,Feuil1!E$1,Sheet1!$D:$D,Feuil1!$C109)</f>
        <v>0</v>
      </c>
      <c r="F109" s="6">
        <f t="shared" si="23"/>
        <v>5</v>
      </c>
      <c r="G109" s="18" t="str">
        <f t="shared" si="17"/>
        <v>(107,5)</v>
      </c>
      <c r="H109" s="17">
        <f>COUNTIFS(Sheet1!$C:$C,Feuil1!H$1,Sheet1!$D:$D,Feuil1!$C109)</f>
        <v>0</v>
      </c>
      <c r="I109" s="6">
        <f t="shared" si="18"/>
        <v>12</v>
      </c>
      <c r="J109" s="18" t="str">
        <f t="shared" si="12"/>
        <v>(107,12)</v>
      </c>
      <c r="K109" s="17">
        <f>COUNTIFS(Sheet1!$C:$C,Feuil1!K$1,Sheet1!$D:$D,Feuil1!$C109)</f>
        <v>0</v>
      </c>
      <c r="L109" s="6">
        <f t="shared" si="19"/>
        <v>3</v>
      </c>
      <c r="M109" s="18" t="str">
        <f t="shared" si="13"/>
        <v>(107,3)</v>
      </c>
      <c r="N109" s="17">
        <f>COUNTIFS(Sheet1!$C:$C,Feuil1!N$1,Sheet1!$D:$D,Feuil1!$C109)</f>
        <v>1</v>
      </c>
      <c r="O109" s="6">
        <f t="shared" si="20"/>
        <v>36</v>
      </c>
      <c r="P109" s="18" t="str">
        <f t="shared" si="14"/>
        <v>(107,36)</v>
      </c>
    </row>
    <row r="110" spans="1:16" hidden="1" x14ac:dyDescent="0.2">
      <c r="A110" s="4">
        <f t="shared" si="21"/>
        <v>108</v>
      </c>
      <c r="B110" s="4"/>
      <c r="C110" s="7">
        <f t="shared" si="22"/>
        <v>45338</v>
      </c>
      <c r="D110" s="11" t="str">
        <f t="shared" si="16"/>
        <v>{2024-02-16},</v>
      </c>
      <c r="E110" s="17">
        <f>COUNTIFS(Sheet1!$C:$C,Feuil1!E$1,Sheet1!$D:$D,Feuil1!$C110)</f>
        <v>0</v>
      </c>
      <c r="F110" s="6">
        <f t="shared" si="23"/>
        <v>5</v>
      </c>
      <c r="G110" s="18" t="str">
        <f t="shared" si="17"/>
        <v>(108,5)</v>
      </c>
      <c r="H110" s="17">
        <f>COUNTIFS(Sheet1!$C:$C,Feuil1!H$1,Sheet1!$D:$D,Feuil1!$C110)</f>
        <v>0</v>
      </c>
      <c r="I110" s="6">
        <f t="shared" si="18"/>
        <v>12</v>
      </c>
      <c r="J110" s="18" t="str">
        <f t="shared" si="12"/>
        <v>(108,12)</v>
      </c>
      <c r="K110" s="17">
        <f>COUNTIFS(Sheet1!$C:$C,Feuil1!K$1,Sheet1!$D:$D,Feuil1!$C110)</f>
        <v>0</v>
      </c>
      <c r="L110" s="6">
        <f t="shared" si="19"/>
        <v>3</v>
      </c>
      <c r="M110" s="18" t="str">
        <f t="shared" si="13"/>
        <v>(108,3)</v>
      </c>
      <c r="N110" s="17">
        <f>COUNTIFS(Sheet1!$C:$C,Feuil1!N$1,Sheet1!$D:$D,Feuil1!$C110)</f>
        <v>1</v>
      </c>
      <c r="O110" s="6">
        <f t="shared" si="20"/>
        <v>37</v>
      </c>
      <c r="P110" s="18" t="str">
        <f t="shared" si="14"/>
        <v>(108,37)</v>
      </c>
    </row>
    <row r="111" spans="1:16" hidden="1" x14ac:dyDescent="0.2">
      <c r="A111" s="4">
        <f t="shared" si="21"/>
        <v>109</v>
      </c>
      <c r="B111" s="4"/>
      <c r="C111" s="7">
        <f t="shared" si="22"/>
        <v>45339</v>
      </c>
      <c r="D111" s="11" t="str">
        <f t="shared" si="16"/>
        <v>{2024-02-17},</v>
      </c>
      <c r="E111" s="17">
        <f>COUNTIFS(Sheet1!$C:$C,Feuil1!E$1,Sheet1!$D:$D,Feuil1!$C111)</f>
        <v>0</v>
      </c>
      <c r="F111" s="6">
        <f t="shared" si="23"/>
        <v>5</v>
      </c>
      <c r="G111" s="18" t="str">
        <f t="shared" si="17"/>
        <v>(109,5)</v>
      </c>
      <c r="H111" s="17">
        <f>COUNTIFS(Sheet1!$C:$C,Feuil1!H$1,Sheet1!$D:$D,Feuil1!$C111)</f>
        <v>0</v>
      </c>
      <c r="I111" s="6">
        <f t="shared" si="18"/>
        <v>12</v>
      </c>
      <c r="J111" s="18" t="str">
        <f t="shared" si="12"/>
        <v>(109,12)</v>
      </c>
      <c r="K111" s="17">
        <f>COUNTIFS(Sheet1!$C:$C,Feuil1!K$1,Sheet1!$D:$D,Feuil1!$C111)</f>
        <v>0</v>
      </c>
      <c r="L111" s="6">
        <f t="shared" si="19"/>
        <v>3</v>
      </c>
      <c r="M111" s="18" t="str">
        <f t="shared" si="13"/>
        <v>(109,3)</v>
      </c>
      <c r="N111" s="17">
        <f>COUNTIFS(Sheet1!$C:$C,Feuil1!N$1,Sheet1!$D:$D,Feuil1!$C111)</f>
        <v>1</v>
      </c>
      <c r="O111" s="6">
        <f t="shared" si="20"/>
        <v>38</v>
      </c>
      <c r="P111" s="18" t="str">
        <f t="shared" si="14"/>
        <v>(109,38)</v>
      </c>
    </row>
    <row r="112" spans="1:16" hidden="1" x14ac:dyDescent="0.2">
      <c r="A112" s="4">
        <f t="shared" si="21"/>
        <v>110</v>
      </c>
      <c r="B112" s="4"/>
      <c r="C112" s="7">
        <f t="shared" si="22"/>
        <v>45340</v>
      </c>
      <c r="D112" s="11" t="str">
        <f t="shared" si="16"/>
        <v>{2024-02-18},</v>
      </c>
      <c r="E112" s="17">
        <f>COUNTIFS(Sheet1!$C:$C,Feuil1!E$1,Sheet1!$D:$D,Feuil1!$C112)</f>
        <v>0</v>
      </c>
      <c r="F112" s="6">
        <f t="shared" si="23"/>
        <v>5</v>
      </c>
      <c r="G112" s="18" t="str">
        <f t="shared" si="17"/>
        <v>(110,5)</v>
      </c>
      <c r="H112" s="17">
        <f>COUNTIFS(Sheet1!$C:$C,Feuil1!H$1,Sheet1!$D:$D,Feuil1!$C112)</f>
        <v>0</v>
      </c>
      <c r="I112" s="6">
        <f t="shared" si="18"/>
        <v>12</v>
      </c>
      <c r="J112" s="18" t="str">
        <f t="shared" si="12"/>
        <v>(110,12)</v>
      </c>
      <c r="K112" s="17">
        <f>COUNTIFS(Sheet1!$C:$C,Feuil1!K$1,Sheet1!$D:$D,Feuil1!$C112)</f>
        <v>0</v>
      </c>
      <c r="L112" s="6">
        <f t="shared" si="19"/>
        <v>3</v>
      </c>
      <c r="M112" s="18" t="str">
        <f t="shared" si="13"/>
        <v>(110,3)</v>
      </c>
      <c r="N112" s="17">
        <f>COUNTIFS(Sheet1!$C:$C,Feuil1!N$1,Sheet1!$D:$D,Feuil1!$C112)</f>
        <v>0</v>
      </c>
      <c r="O112" s="6">
        <f t="shared" si="20"/>
        <v>38</v>
      </c>
      <c r="P112" s="18" t="str">
        <f t="shared" si="14"/>
        <v>(110,38)</v>
      </c>
    </row>
    <row r="113" spans="1:16" hidden="1" x14ac:dyDescent="0.2">
      <c r="A113" s="4">
        <f t="shared" si="21"/>
        <v>111</v>
      </c>
      <c r="B113" s="4"/>
      <c r="C113" s="7">
        <f t="shared" si="22"/>
        <v>45341</v>
      </c>
      <c r="D113" s="11" t="str">
        <f t="shared" si="16"/>
        <v>{2024-02-19},</v>
      </c>
      <c r="E113" s="17">
        <f>COUNTIFS(Sheet1!$C:$C,Feuil1!E$1,Sheet1!$D:$D,Feuil1!$C113)</f>
        <v>0</v>
      </c>
      <c r="F113" s="6">
        <f t="shared" si="23"/>
        <v>5</v>
      </c>
      <c r="G113" s="18" t="str">
        <f t="shared" si="17"/>
        <v>(111,5)</v>
      </c>
      <c r="H113" s="17">
        <f>COUNTIFS(Sheet1!$C:$C,Feuil1!H$1,Sheet1!$D:$D,Feuil1!$C113)</f>
        <v>0</v>
      </c>
      <c r="I113" s="6">
        <f t="shared" si="18"/>
        <v>12</v>
      </c>
      <c r="J113" s="18" t="str">
        <f t="shared" si="12"/>
        <v>(111,12)</v>
      </c>
      <c r="K113" s="17">
        <f>COUNTIFS(Sheet1!$C:$C,Feuil1!K$1,Sheet1!$D:$D,Feuil1!$C113)</f>
        <v>0</v>
      </c>
      <c r="L113" s="6">
        <f t="shared" si="19"/>
        <v>3</v>
      </c>
      <c r="M113" s="18" t="str">
        <f t="shared" si="13"/>
        <v>(111,3)</v>
      </c>
      <c r="N113" s="17">
        <f>COUNTIFS(Sheet1!$C:$C,Feuil1!N$1,Sheet1!$D:$D,Feuil1!$C113)</f>
        <v>3</v>
      </c>
      <c r="O113" s="6">
        <f t="shared" si="20"/>
        <v>41</v>
      </c>
      <c r="P113" s="18" t="str">
        <f t="shared" si="14"/>
        <v>(111,41)</v>
      </c>
    </row>
    <row r="114" spans="1:16" hidden="1" x14ac:dyDescent="0.2">
      <c r="A114" s="4">
        <f t="shared" si="21"/>
        <v>112</v>
      </c>
      <c r="B114" s="4"/>
      <c r="C114" s="7">
        <f t="shared" si="22"/>
        <v>45342</v>
      </c>
      <c r="D114" s="11" t="str">
        <f t="shared" si="16"/>
        <v>{2024-02-20},</v>
      </c>
      <c r="E114" s="17">
        <f>COUNTIFS(Sheet1!$C:$C,Feuil1!E$1,Sheet1!$D:$D,Feuil1!$C114)</f>
        <v>0</v>
      </c>
      <c r="F114" s="6">
        <f t="shared" si="23"/>
        <v>5</v>
      </c>
      <c r="G114" s="18" t="str">
        <f t="shared" si="17"/>
        <v>(112,5)</v>
      </c>
      <c r="H114" s="17">
        <f>COUNTIFS(Sheet1!$C:$C,Feuil1!H$1,Sheet1!$D:$D,Feuil1!$C114)</f>
        <v>0</v>
      </c>
      <c r="I114" s="6">
        <f t="shared" si="18"/>
        <v>12</v>
      </c>
      <c r="J114" s="18" t="str">
        <f t="shared" si="12"/>
        <v>(112,12)</v>
      </c>
      <c r="K114" s="17">
        <f>COUNTIFS(Sheet1!$C:$C,Feuil1!K$1,Sheet1!$D:$D,Feuil1!$C114)</f>
        <v>0</v>
      </c>
      <c r="L114" s="6">
        <f t="shared" si="19"/>
        <v>3</v>
      </c>
      <c r="M114" s="18" t="str">
        <f t="shared" si="13"/>
        <v>(112,3)</v>
      </c>
      <c r="N114" s="17">
        <f>COUNTIFS(Sheet1!$C:$C,Feuil1!N$1,Sheet1!$D:$D,Feuil1!$C114)</f>
        <v>0</v>
      </c>
      <c r="O114" s="6">
        <f t="shared" si="20"/>
        <v>41</v>
      </c>
      <c r="P114" s="18" t="str">
        <f t="shared" si="14"/>
        <v>(112,41)</v>
      </c>
    </row>
    <row r="115" spans="1:16" hidden="1" x14ac:dyDescent="0.2">
      <c r="A115" s="4">
        <f t="shared" si="21"/>
        <v>113</v>
      </c>
      <c r="B115" s="4"/>
      <c r="C115" s="7">
        <f t="shared" si="22"/>
        <v>45343</v>
      </c>
      <c r="D115" s="11" t="str">
        <f t="shared" si="16"/>
        <v>{2024-02-21},</v>
      </c>
      <c r="E115" s="17">
        <f>COUNTIFS(Sheet1!$C:$C,Feuil1!E$1,Sheet1!$D:$D,Feuil1!$C115)</f>
        <v>0</v>
      </c>
      <c r="F115" s="6">
        <f t="shared" si="23"/>
        <v>5</v>
      </c>
      <c r="G115" s="18" t="str">
        <f t="shared" si="17"/>
        <v>(113,5)</v>
      </c>
      <c r="H115" s="17">
        <f>COUNTIFS(Sheet1!$C:$C,Feuil1!H$1,Sheet1!$D:$D,Feuil1!$C115)</f>
        <v>0</v>
      </c>
      <c r="I115" s="6">
        <f t="shared" si="18"/>
        <v>12</v>
      </c>
      <c r="J115" s="18" t="str">
        <f t="shared" si="12"/>
        <v>(113,12)</v>
      </c>
      <c r="K115" s="17">
        <f>COUNTIFS(Sheet1!$C:$C,Feuil1!K$1,Sheet1!$D:$D,Feuil1!$C115)</f>
        <v>0</v>
      </c>
      <c r="L115" s="6">
        <f t="shared" si="19"/>
        <v>3</v>
      </c>
      <c r="M115" s="18" t="str">
        <f t="shared" si="13"/>
        <v>(113,3)</v>
      </c>
      <c r="N115" s="17">
        <f>COUNTIFS(Sheet1!$C:$C,Feuil1!N$1,Sheet1!$D:$D,Feuil1!$C115)</f>
        <v>1</v>
      </c>
      <c r="O115" s="6">
        <f t="shared" si="20"/>
        <v>42</v>
      </c>
      <c r="P115" s="18" t="str">
        <f t="shared" si="14"/>
        <v>(113,42)</v>
      </c>
    </row>
    <row r="116" spans="1:16" hidden="1" x14ac:dyDescent="0.2">
      <c r="A116" s="4">
        <f t="shared" si="21"/>
        <v>114</v>
      </c>
      <c r="B116" s="4"/>
      <c r="C116" s="7">
        <f t="shared" si="22"/>
        <v>45344</v>
      </c>
      <c r="D116" s="11" t="str">
        <f t="shared" si="16"/>
        <v>{2024-02-22},</v>
      </c>
      <c r="E116" s="17">
        <f>COUNTIFS(Sheet1!$C:$C,Feuil1!E$1,Sheet1!$D:$D,Feuil1!$C116)</f>
        <v>0</v>
      </c>
      <c r="F116" s="6">
        <f t="shared" si="23"/>
        <v>5</v>
      </c>
      <c r="G116" s="18" t="str">
        <f t="shared" si="17"/>
        <v>(114,5)</v>
      </c>
      <c r="H116" s="17">
        <f>COUNTIFS(Sheet1!$C:$C,Feuil1!H$1,Sheet1!$D:$D,Feuil1!$C116)</f>
        <v>0</v>
      </c>
      <c r="I116" s="6">
        <f t="shared" si="18"/>
        <v>12</v>
      </c>
      <c r="J116" s="18" t="str">
        <f t="shared" si="12"/>
        <v>(114,12)</v>
      </c>
      <c r="K116" s="17">
        <f>COUNTIFS(Sheet1!$C:$C,Feuil1!K$1,Sheet1!$D:$D,Feuil1!$C116)</f>
        <v>0</v>
      </c>
      <c r="L116" s="6">
        <f t="shared" si="19"/>
        <v>3</v>
      </c>
      <c r="M116" s="18" t="str">
        <f t="shared" si="13"/>
        <v>(114,3)</v>
      </c>
      <c r="N116" s="17">
        <f>COUNTIFS(Sheet1!$C:$C,Feuil1!N$1,Sheet1!$D:$D,Feuil1!$C116)</f>
        <v>3</v>
      </c>
      <c r="O116" s="6">
        <f t="shared" si="20"/>
        <v>45</v>
      </c>
      <c r="P116" s="18" t="str">
        <f t="shared" si="14"/>
        <v>(114,45)</v>
      </c>
    </row>
    <row r="117" spans="1:16" hidden="1" x14ac:dyDescent="0.2">
      <c r="A117" s="4">
        <f t="shared" si="21"/>
        <v>115</v>
      </c>
      <c r="B117" s="4"/>
      <c r="C117" s="7">
        <f t="shared" si="22"/>
        <v>45345</v>
      </c>
      <c r="D117" s="11" t="str">
        <f t="shared" si="16"/>
        <v>{2024-02-23},</v>
      </c>
      <c r="E117" s="17">
        <f>COUNTIFS(Sheet1!$C:$C,Feuil1!E$1,Sheet1!$D:$D,Feuil1!$C117)</f>
        <v>0</v>
      </c>
      <c r="F117" s="6">
        <f t="shared" si="23"/>
        <v>5</v>
      </c>
      <c r="G117" s="18" t="str">
        <f t="shared" si="17"/>
        <v>(115,5)</v>
      </c>
      <c r="H117" s="17">
        <f>COUNTIFS(Sheet1!$C:$C,Feuil1!H$1,Sheet1!$D:$D,Feuil1!$C117)</f>
        <v>0</v>
      </c>
      <c r="I117" s="6">
        <f t="shared" si="18"/>
        <v>12</v>
      </c>
      <c r="J117" s="18" t="str">
        <f t="shared" si="12"/>
        <v>(115,12)</v>
      </c>
      <c r="K117" s="17">
        <f>COUNTIFS(Sheet1!$C:$C,Feuil1!K$1,Sheet1!$D:$D,Feuil1!$C117)</f>
        <v>0</v>
      </c>
      <c r="L117" s="6">
        <f t="shared" si="19"/>
        <v>3</v>
      </c>
      <c r="M117" s="18" t="str">
        <f t="shared" si="13"/>
        <v>(115,3)</v>
      </c>
      <c r="N117" s="17">
        <f>COUNTIFS(Sheet1!$C:$C,Feuil1!N$1,Sheet1!$D:$D,Feuil1!$C117)</f>
        <v>2</v>
      </c>
      <c r="O117" s="6">
        <f t="shared" si="20"/>
        <v>47</v>
      </c>
      <c r="P117" s="18" t="str">
        <f t="shared" si="14"/>
        <v>(115,47)</v>
      </c>
    </row>
    <row r="118" spans="1:16" hidden="1" x14ac:dyDescent="0.2">
      <c r="A118" s="4">
        <f t="shared" si="21"/>
        <v>116</v>
      </c>
      <c r="B118" s="4"/>
      <c r="C118" s="7">
        <f t="shared" si="22"/>
        <v>45346</v>
      </c>
      <c r="D118" s="11" t="str">
        <f t="shared" si="16"/>
        <v>{2024-02-24},</v>
      </c>
      <c r="E118" s="17">
        <f>COUNTIFS(Sheet1!$C:$C,Feuil1!E$1,Sheet1!$D:$D,Feuil1!$C118)</f>
        <v>0</v>
      </c>
      <c r="F118" s="6">
        <f t="shared" si="23"/>
        <v>5</v>
      </c>
      <c r="G118" s="18" t="str">
        <f t="shared" si="17"/>
        <v>(116,5)</v>
      </c>
      <c r="H118" s="17">
        <f>COUNTIFS(Sheet1!$C:$C,Feuil1!H$1,Sheet1!$D:$D,Feuil1!$C118)</f>
        <v>0</v>
      </c>
      <c r="I118" s="6">
        <f t="shared" si="18"/>
        <v>12</v>
      </c>
      <c r="J118" s="18" t="str">
        <f t="shared" si="12"/>
        <v>(116,12)</v>
      </c>
      <c r="K118" s="17">
        <f>COUNTIFS(Sheet1!$C:$C,Feuil1!K$1,Sheet1!$D:$D,Feuil1!$C118)</f>
        <v>0</v>
      </c>
      <c r="L118" s="6">
        <f t="shared" si="19"/>
        <v>3</v>
      </c>
      <c r="M118" s="18" t="str">
        <f t="shared" si="13"/>
        <v>(116,3)</v>
      </c>
      <c r="N118" s="17">
        <f>COUNTIFS(Sheet1!$C:$C,Feuil1!N$1,Sheet1!$D:$D,Feuil1!$C118)</f>
        <v>1</v>
      </c>
      <c r="O118" s="6">
        <f t="shared" si="20"/>
        <v>48</v>
      </c>
      <c r="P118" s="18" t="str">
        <f t="shared" si="14"/>
        <v>(116,48)</v>
      </c>
    </row>
    <row r="119" spans="1:16" hidden="1" x14ac:dyDescent="0.2">
      <c r="A119" s="4">
        <f t="shared" si="21"/>
        <v>117</v>
      </c>
      <c r="B119" s="4"/>
      <c r="C119" s="7">
        <f t="shared" si="22"/>
        <v>45347</v>
      </c>
      <c r="D119" s="11" t="str">
        <f t="shared" si="16"/>
        <v>{2024-02-25},</v>
      </c>
      <c r="E119" s="17">
        <f>COUNTIFS(Sheet1!$C:$C,Feuil1!E$1,Sheet1!$D:$D,Feuil1!$C119)</f>
        <v>0</v>
      </c>
      <c r="F119" s="6">
        <f t="shared" si="23"/>
        <v>5</v>
      </c>
      <c r="G119" s="18" t="str">
        <f t="shared" si="17"/>
        <v>(117,5)</v>
      </c>
      <c r="H119" s="17">
        <f>COUNTIFS(Sheet1!$C:$C,Feuil1!H$1,Sheet1!$D:$D,Feuil1!$C119)</f>
        <v>0</v>
      </c>
      <c r="I119" s="6">
        <f t="shared" si="18"/>
        <v>12</v>
      </c>
      <c r="J119" s="18" t="str">
        <f t="shared" si="12"/>
        <v>(117,12)</v>
      </c>
      <c r="K119" s="17">
        <f>COUNTIFS(Sheet1!$C:$C,Feuil1!K$1,Sheet1!$D:$D,Feuil1!$C119)</f>
        <v>0</v>
      </c>
      <c r="L119" s="6">
        <f t="shared" si="19"/>
        <v>3</v>
      </c>
      <c r="M119" s="18" t="str">
        <f t="shared" si="13"/>
        <v>(117,3)</v>
      </c>
      <c r="N119" s="17">
        <f>COUNTIFS(Sheet1!$C:$C,Feuil1!N$1,Sheet1!$D:$D,Feuil1!$C119)</f>
        <v>2</v>
      </c>
      <c r="O119" s="6">
        <f t="shared" si="20"/>
        <v>50</v>
      </c>
      <c r="P119" s="18" t="str">
        <f t="shared" si="14"/>
        <v>(117,50)</v>
      </c>
    </row>
    <row r="120" spans="1:16" hidden="1" x14ac:dyDescent="0.2">
      <c r="A120" s="4">
        <f t="shared" si="21"/>
        <v>118</v>
      </c>
      <c r="B120" s="4"/>
      <c r="C120" s="7">
        <f t="shared" si="22"/>
        <v>45348</v>
      </c>
      <c r="D120" s="11" t="str">
        <f t="shared" si="16"/>
        <v>{2024-02-26},</v>
      </c>
      <c r="E120" s="17">
        <f>COUNTIFS(Sheet1!$C:$C,Feuil1!E$1,Sheet1!$D:$D,Feuil1!$C120)</f>
        <v>0</v>
      </c>
      <c r="F120" s="6">
        <f t="shared" si="23"/>
        <v>5</v>
      </c>
      <c r="G120" s="18" t="str">
        <f t="shared" si="17"/>
        <v>(118,5)</v>
      </c>
      <c r="H120" s="17">
        <f>COUNTIFS(Sheet1!$C:$C,Feuil1!H$1,Sheet1!$D:$D,Feuil1!$C120)</f>
        <v>0</v>
      </c>
      <c r="I120" s="6">
        <f t="shared" si="18"/>
        <v>12</v>
      </c>
      <c r="J120" s="18" t="str">
        <f t="shared" si="12"/>
        <v>(118,12)</v>
      </c>
      <c r="K120" s="17">
        <f>COUNTIFS(Sheet1!$C:$C,Feuil1!K$1,Sheet1!$D:$D,Feuil1!$C120)</f>
        <v>0</v>
      </c>
      <c r="L120" s="6">
        <f t="shared" si="19"/>
        <v>3</v>
      </c>
      <c r="M120" s="18" t="str">
        <f t="shared" si="13"/>
        <v>(118,3)</v>
      </c>
      <c r="N120" s="17">
        <f>COUNTIFS(Sheet1!$C:$C,Feuil1!N$1,Sheet1!$D:$D,Feuil1!$C120)</f>
        <v>0</v>
      </c>
      <c r="O120" s="6">
        <f t="shared" si="20"/>
        <v>50</v>
      </c>
      <c r="P120" s="18" t="str">
        <f t="shared" si="14"/>
        <v>(118,50)</v>
      </c>
    </row>
    <row r="121" spans="1:16" hidden="1" x14ac:dyDescent="0.2">
      <c r="A121" s="4">
        <f t="shared" si="21"/>
        <v>119</v>
      </c>
      <c r="B121" s="4"/>
      <c r="C121" s="7">
        <f t="shared" si="22"/>
        <v>45349</v>
      </c>
      <c r="D121" s="11" t="str">
        <f t="shared" si="16"/>
        <v>{2024-02-27},</v>
      </c>
      <c r="E121" s="17">
        <f>COUNTIFS(Sheet1!$C:$C,Feuil1!E$1,Sheet1!$D:$D,Feuil1!$C121)</f>
        <v>0</v>
      </c>
      <c r="F121" s="6">
        <f t="shared" si="23"/>
        <v>5</v>
      </c>
      <c r="G121" s="18" t="str">
        <f t="shared" si="17"/>
        <v>(119,5)</v>
      </c>
      <c r="H121" s="17">
        <f>COUNTIFS(Sheet1!$C:$C,Feuil1!H$1,Sheet1!$D:$D,Feuil1!$C121)</f>
        <v>0</v>
      </c>
      <c r="I121" s="6">
        <f t="shared" si="18"/>
        <v>12</v>
      </c>
      <c r="J121" s="18" t="str">
        <f t="shared" si="12"/>
        <v>(119,12)</v>
      </c>
      <c r="K121" s="17">
        <f>COUNTIFS(Sheet1!$C:$C,Feuil1!K$1,Sheet1!$D:$D,Feuil1!$C121)</f>
        <v>0</v>
      </c>
      <c r="L121" s="6">
        <f t="shared" si="19"/>
        <v>3</v>
      </c>
      <c r="M121" s="18" t="str">
        <f t="shared" si="13"/>
        <v>(119,3)</v>
      </c>
      <c r="N121" s="17">
        <f>COUNTIFS(Sheet1!$C:$C,Feuil1!N$1,Sheet1!$D:$D,Feuil1!$C121)</f>
        <v>2</v>
      </c>
      <c r="O121" s="6">
        <f t="shared" si="20"/>
        <v>52</v>
      </c>
      <c r="P121" s="18" t="str">
        <f t="shared" si="14"/>
        <v>(119,52)</v>
      </c>
    </row>
    <row r="122" spans="1:16" hidden="1" x14ac:dyDescent="0.2">
      <c r="A122" s="4">
        <f t="shared" si="21"/>
        <v>120</v>
      </c>
      <c r="B122" s="4"/>
      <c r="C122" s="7">
        <f t="shared" si="22"/>
        <v>45350</v>
      </c>
      <c r="D122" s="11" t="str">
        <f t="shared" si="16"/>
        <v>{2024-02-28},</v>
      </c>
      <c r="E122" s="17">
        <f>COUNTIFS(Sheet1!$C:$C,Feuil1!E$1,Sheet1!$D:$D,Feuil1!$C122)</f>
        <v>0</v>
      </c>
      <c r="F122" s="6">
        <f t="shared" si="23"/>
        <v>5</v>
      </c>
      <c r="G122" s="18" t="str">
        <f t="shared" si="17"/>
        <v>(120,5)</v>
      </c>
      <c r="H122" s="17">
        <f>COUNTIFS(Sheet1!$C:$C,Feuil1!H$1,Sheet1!$D:$D,Feuil1!$C122)</f>
        <v>0</v>
      </c>
      <c r="I122" s="6">
        <f t="shared" si="18"/>
        <v>12</v>
      </c>
      <c r="J122" s="18" t="str">
        <f t="shared" si="12"/>
        <v>(120,12)</v>
      </c>
      <c r="K122" s="17">
        <f>COUNTIFS(Sheet1!$C:$C,Feuil1!K$1,Sheet1!$D:$D,Feuil1!$C122)</f>
        <v>0</v>
      </c>
      <c r="L122" s="6">
        <f t="shared" si="19"/>
        <v>3</v>
      </c>
      <c r="M122" s="18" t="str">
        <f t="shared" si="13"/>
        <v>(120,3)</v>
      </c>
      <c r="N122" s="17">
        <f>COUNTIFS(Sheet1!$C:$C,Feuil1!N$1,Sheet1!$D:$D,Feuil1!$C122)</f>
        <v>0</v>
      </c>
      <c r="O122" s="6">
        <f t="shared" si="20"/>
        <v>52</v>
      </c>
      <c r="P122" s="18" t="str">
        <f t="shared" si="14"/>
        <v>(120,52)</v>
      </c>
    </row>
    <row r="123" spans="1:16" hidden="1" x14ac:dyDescent="0.2">
      <c r="A123" s="4">
        <f t="shared" si="21"/>
        <v>121</v>
      </c>
      <c r="B123" s="4"/>
      <c r="C123" s="7">
        <f t="shared" si="22"/>
        <v>45351</v>
      </c>
      <c r="D123" s="11" t="str">
        <f t="shared" si="16"/>
        <v>{2024-02-29},</v>
      </c>
      <c r="E123" s="17">
        <f>COUNTIFS(Sheet1!$C:$C,Feuil1!E$1,Sheet1!$D:$D,Feuil1!$C123)</f>
        <v>0</v>
      </c>
      <c r="F123" s="6">
        <f t="shared" si="23"/>
        <v>5</v>
      </c>
      <c r="G123" s="18" t="str">
        <f t="shared" si="17"/>
        <v>(121,5)</v>
      </c>
      <c r="H123" s="17">
        <f>COUNTIFS(Sheet1!$C:$C,Feuil1!H$1,Sheet1!$D:$D,Feuil1!$C123)</f>
        <v>0</v>
      </c>
      <c r="I123" s="6">
        <f t="shared" si="18"/>
        <v>12</v>
      </c>
      <c r="J123" s="18" t="str">
        <f t="shared" si="12"/>
        <v>(121,12)</v>
      </c>
      <c r="K123" s="17">
        <f>COUNTIFS(Sheet1!$C:$C,Feuil1!K$1,Sheet1!$D:$D,Feuil1!$C123)</f>
        <v>0</v>
      </c>
      <c r="L123" s="6">
        <f t="shared" si="19"/>
        <v>3</v>
      </c>
      <c r="M123" s="18" t="str">
        <f t="shared" si="13"/>
        <v>(121,3)</v>
      </c>
      <c r="N123" s="17">
        <f>COUNTIFS(Sheet1!$C:$C,Feuil1!N$1,Sheet1!$D:$D,Feuil1!$C123)</f>
        <v>3</v>
      </c>
      <c r="O123" s="6">
        <f t="shared" si="20"/>
        <v>55</v>
      </c>
      <c r="P123" s="18" t="str">
        <f t="shared" si="14"/>
        <v>(121,55)</v>
      </c>
    </row>
    <row r="124" spans="1:16" hidden="1" x14ac:dyDescent="0.2">
      <c r="A124" s="4">
        <f t="shared" si="21"/>
        <v>122</v>
      </c>
      <c r="B124" s="4"/>
      <c r="C124" s="5">
        <f t="shared" si="22"/>
        <v>45352</v>
      </c>
      <c r="D124" s="11" t="str">
        <f t="shared" si="16"/>
        <v>{2024-03-01},</v>
      </c>
      <c r="E124" s="17">
        <f>COUNTIFS(Sheet1!$C:$C,Feuil1!E$1,Sheet1!$D:$D,Feuil1!$C124)</f>
        <v>0</v>
      </c>
      <c r="F124" s="6">
        <f t="shared" si="23"/>
        <v>5</v>
      </c>
      <c r="G124" s="18" t="str">
        <f t="shared" si="17"/>
        <v>(122,5)</v>
      </c>
      <c r="H124" s="17">
        <f>COUNTIFS(Sheet1!$C:$C,Feuil1!H$1,Sheet1!$D:$D,Feuil1!$C124)</f>
        <v>0</v>
      </c>
      <c r="I124" s="6">
        <f t="shared" si="18"/>
        <v>12</v>
      </c>
      <c r="J124" s="18" t="str">
        <f t="shared" si="12"/>
        <v>(122,12)</v>
      </c>
      <c r="K124" s="17">
        <f>COUNTIFS(Sheet1!$C:$C,Feuil1!K$1,Sheet1!$D:$D,Feuil1!$C124)</f>
        <v>0</v>
      </c>
      <c r="L124" s="6">
        <f t="shared" si="19"/>
        <v>3</v>
      </c>
      <c r="M124" s="18" t="str">
        <f t="shared" si="13"/>
        <v>(122,3)</v>
      </c>
      <c r="N124" s="17">
        <f>COUNTIFS(Sheet1!$C:$C,Feuil1!N$1,Sheet1!$D:$D,Feuil1!$C124)</f>
        <v>1</v>
      </c>
      <c r="O124" s="6">
        <f t="shared" si="20"/>
        <v>56</v>
      </c>
      <c r="P124" s="18" t="str">
        <f t="shared" si="14"/>
        <v>(122,56)</v>
      </c>
    </row>
    <row r="125" spans="1:16" hidden="1" x14ac:dyDescent="0.2">
      <c r="A125" s="4">
        <f t="shared" si="21"/>
        <v>123</v>
      </c>
      <c r="B125" s="4"/>
      <c r="C125" s="7">
        <f t="shared" si="22"/>
        <v>45353</v>
      </c>
      <c r="D125" s="11" t="str">
        <f t="shared" si="16"/>
        <v>{2024-03-02},</v>
      </c>
      <c r="E125" s="17">
        <f>COUNTIFS(Sheet1!$C:$C,Feuil1!E$1,Sheet1!$D:$D,Feuil1!$C125)</f>
        <v>0</v>
      </c>
      <c r="F125" s="6">
        <f t="shared" si="23"/>
        <v>5</v>
      </c>
      <c r="G125" s="18" t="str">
        <f t="shared" si="17"/>
        <v>(123,5)</v>
      </c>
      <c r="H125" s="17">
        <f>COUNTIFS(Sheet1!$C:$C,Feuil1!H$1,Sheet1!$D:$D,Feuil1!$C125)</f>
        <v>0</v>
      </c>
      <c r="I125" s="6">
        <f t="shared" si="18"/>
        <v>12</v>
      </c>
      <c r="J125" s="18" t="str">
        <f t="shared" si="12"/>
        <v>(123,12)</v>
      </c>
      <c r="K125" s="17">
        <f>COUNTIFS(Sheet1!$C:$C,Feuil1!K$1,Sheet1!$D:$D,Feuil1!$C125)</f>
        <v>0</v>
      </c>
      <c r="L125" s="6">
        <f t="shared" si="19"/>
        <v>3</v>
      </c>
      <c r="M125" s="18" t="str">
        <f t="shared" si="13"/>
        <v>(123,3)</v>
      </c>
      <c r="N125" s="17">
        <f>COUNTIFS(Sheet1!$C:$C,Feuil1!N$1,Sheet1!$D:$D,Feuil1!$C125)</f>
        <v>2</v>
      </c>
      <c r="O125" s="6">
        <f t="shared" si="20"/>
        <v>58</v>
      </c>
      <c r="P125" s="18" t="str">
        <f t="shared" si="14"/>
        <v>(123,58)</v>
      </c>
    </row>
    <row r="126" spans="1:16" hidden="1" x14ac:dyDescent="0.2">
      <c r="A126" s="4">
        <f t="shared" si="21"/>
        <v>124</v>
      </c>
      <c r="B126" s="4"/>
      <c r="C126" s="7">
        <f t="shared" si="22"/>
        <v>45354</v>
      </c>
      <c r="D126" s="11" t="str">
        <f t="shared" si="16"/>
        <v>{2024-03-03},</v>
      </c>
      <c r="E126" s="17">
        <f>COUNTIFS(Sheet1!$C:$C,Feuil1!E$1,Sheet1!$D:$D,Feuil1!$C126)</f>
        <v>0</v>
      </c>
      <c r="F126" s="6">
        <f t="shared" si="23"/>
        <v>5</v>
      </c>
      <c r="G126" s="18" t="str">
        <f t="shared" si="17"/>
        <v>(124,5)</v>
      </c>
      <c r="H126" s="17">
        <f>COUNTIFS(Sheet1!$C:$C,Feuil1!H$1,Sheet1!$D:$D,Feuil1!$C126)</f>
        <v>0</v>
      </c>
      <c r="I126" s="6">
        <f t="shared" si="18"/>
        <v>12</v>
      </c>
      <c r="J126" s="18" t="str">
        <f t="shared" si="12"/>
        <v>(124,12)</v>
      </c>
      <c r="K126" s="17">
        <f>COUNTIFS(Sheet1!$C:$C,Feuil1!K$1,Sheet1!$D:$D,Feuil1!$C126)</f>
        <v>0</v>
      </c>
      <c r="L126" s="6">
        <f t="shared" si="19"/>
        <v>3</v>
      </c>
      <c r="M126" s="18" t="str">
        <f t="shared" si="13"/>
        <v>(124,3)</v>
      </c>
      <c r="N126" s="17">
        <f>COUNTIFS(Sheet1!$C:$C,Feuil1!N$1,Sheet1!$D:$D,Feuil1!$C126)</f>
        <v>1</v>
      </c>
      <c r="O126" s="6">
        <f t="shared" si="20"/>
        <v>59</v>
      </c>
      <c r="P126" s="18" t="str">
        <f t="shared" si="14"/>
        <v>(124,59)</v>
      </c>
    </row>
    <row r="127" spans="1:16" hidden="1" x14ac:dyDescent="0.2">
      <c r="A127" s="4">
        <f t="shared" si="21"/>
        <v>125</v>
      </c>
      <c r="B127" s="4"/>
      <c r="C127" s="7">
        <f t="shared" si="22"/>
        <v>45355</v>
      </c>
      <c r="D127" s="11" t="str">
        <f t="shared" si="16"/>
        <v>{2024-03-04},</v>
      </c>
      <c r="E127" s="17">
        <f>COUNTIFS(Sheet1!$C:$C,Feuil1!E$1,Sheet1!$D:$D,Feuil1!$C127)</f>
        <v>0</v>
      </c>
      <c r="F127" s="6">
        <f t="shared" si="23"/>
        <v>5</v>
      </c>
      <c r="G127" s="18" t="str">
        <f t="shared" si="17"/>
        <v>(125,5)</v>
      </c>
      <c r="H127" s="17">
        <f>COUNTIFS(Sheet1!$C:$C,Feuil1!H$1,Sheet1!$D:$D,Feuil1!$C127)</f>
        <v>0</v>
      </c>
      <c r="I127" s="6">
        <f t="shared" si="18"/>
        <v>12</v>
      </c>
      <c r="J127" s="18" t="str">
        <f t="shared" si="12"/>
        <v>(125,12)</v>
      </c>
      <c r="K127" s="17">
        <f>COUNTIFS(Sheet1!$C:$C,Feuil1!K$1,Sheet1!$D:$D,Feuil1!$C127)</f>
        <v>0</v>
      </c>
      <c r="L127" s="6">
        <f t="shared" si="19"/>
        <v>3</v>
      </c>
      <c r="M127" s="18" t="str">
        <f t="shared" si="13"/>
        <v>(125,3)</v>
      </c>
      <c r="N127" s="17">
        <f>COUNTIFS(Sheet1!$C:$C,Feuil1!N$1,Sheet1!$D:$D,Feuil1!$C127)</f>
        <v>2</v>
      </c>
      <c r="O127" s="6">
        <f t="shared" si="20"/>
        <v>61</v>
      </c>
      <c r="P127" s="18" t="str">
        <f t="shared" si="14"/>
        <v>(125,61)</v>
      </c>
    </row>
    <row r="128" spans="1:16" hidden="1" x14ac:dyDescent="0.2">
      <c r="A128" s="4">
        <f t="shared" si="21"/>
        <v>126</v>
      </c>
      <c r="B128" s="4"/>
      <c r="C128" s="7">
        <f t="shared" si="22"/>
        <v>45356</v>
      </c>
      <c r="D128" s="11" t="str">
        <f t="shared" si="16"/>
        <v>{2024-03-05},</v>
      </c>
      <c r="E128" s="17">
        <f>COUNTIFS(Sheet1!$C:$C,Feuil1!E$1,Sheet1!$D:$D,Feuil1!$C128)</f>
        <v>0</v>
      </c>
      <c r="F128" s="6">
        <f t="shared" si="23"/>
        <v>5</v>
      </c>
      <c r="G128" s="18" t="str">
        <f t="shared" si="17"/>
        <v>(126,5)</v>
      </c>
      <c r="H128" s="17">
        <f>COUNTIFS(Sheet1!$C:$C,Feuil1!H$1,Sheet1!$D:$D,Feuil1!$C128)</f>
        <v>0</v>
      </c>
      <c r="I128" s="6">
        <f t="shared" si="18"/>
        <v>12</v>
      </c>
      <c r="J128" s="18" t="str">
        <f t="shared" si="12"/>
        <v>(126,12)</v>
      </c>
      <c r="K128" s="17">
        <f>COUNTIFS(Sheet1!$C:$C,Feuil1!K$1,Sheet1!$D:$D,Feuil1!$C128)</f>
        <v>0</v>
      </c>
      <c r="L128" s="6">
        <f t="shared" si="19"/>
        <v>3</v>
      </c>
      <c r="M128" s="18" t="str">
        <f t="shared" si="13"/>
        <v>(126,3)</v>
      </c>
      <c r="N128" s="17">
        <f>COUNTIFS(Sheet1!$C:$C,Feuil1!N$1,Sheet1!$D:$D,Feuil1!$C128)</f>
        <v>1</v>
      </c>
      <c r="O128" s="6">
        <f t="shared" si="20"/>
        <v>62</v>
      </c>
      <c r="P128" s="18" t="str">
        <f t="shared" si="14"/>
        <v>(126,62)</v>
      </c>
    </row>
    <row r="129" spans="1:16" hidden="1" x14ac:dyDescent="0.2">
      <c r="A129" s="4">
        <f t="shared" si="21"/>
        <v>127</v>
      </c>
      <c r="B129" s="4"/>
      <c r="C129" s="7">
        <f t="shared" si="22"/>
        <v>45357</v>
      </c>
      <c r="D129" s="11" t="str">
        <f t="shared" si="16"/>
        <v>{2024-03-06},</v>
      </c>
      <c r="E129" s="17">
        <f>COUNTIFS(Sheet1!$C:$C,Feuil1!E$1,Sheet1!$D:$D,Feuil1!$C129)</f>
        <v>0</v>
      </c>
      <c r="F129" s="6">
        <f t="shared" si="23"/>
        <v>5</v>
      </c>
      <c r="G129" s="18" t="str">
        <f t="shared" si="17"/>
        <v>(127,5)</v>
      </c>
      <c r="H129" s="17">
        <f>COUNTIFS(Sheet1!$C:$C,Feuil1!H$1,Sheet1!$D:$D,Feuil1!$C129)</f>
        <v>0</v>
      </c>
      <c r="I129" s="6">
        <f t="shared" si="18"/>
        <v>12</v>
      </c>
      <c r="J129" s="18" t="str">
        <f t="shared" si="12"/>
        <v>(127,12)</v>
      </c>
      <c r="K129" s="17">
        <f>COUNTIFS(Sheet1!$C:$C,Feuil1!K$1,Sheet1!$D:$D,Feuil1!$C129)</f>
        <v>0</v>
      </c>
      <c r="L129" s="6">
        <f t="shared" si="19"/>
        <v>3</v>
      </c>
      <c r="M129" s="18" t="str">
        <f t="shared" si="13"/>
        <v>(127,3)</v>
      </c>
      <c r="N129" s="17">
        <f>COUNTIFS(Sheet1!$C:$C,Feuil1!N$1,Sheet1!$D:$D,Feuil1!$C129)</f>
        <v>2</v>
      </c>
      <c r="O129" s="6">
        <f t="shared" si="20"/>
        <v>64</v>
      </c>
      <c r="P129" s="18" t="str">
        <f t="shared" si="14"/>
        <v>(127,64)</v>
      </c>
    </row>
    <row r="130" spans="1:16" hidden="1" x14ac:dyDescent="0.2">
      <c r="A130" s="4">
        <f t="shared" si="21"/>
        <v>128</v>
      </c>
      <c r="B130" s="4"/>
      <c r="C130" s="7">
        <f t="shared" si="22"/>
        <v>45358</v>
      </c>
      <c r="D130" s="11" t="str">
        <f t="shared" si="16"/>
        <v>{2024-03-07},</v>
      </c>
      <c r="E130" s="17">
        <f>COUNTIFS(Sheet1!$C:$C,Feuil1!E$1,Sheet1!$D:$D,Feuil1!$C130)</f>
        <v>0</v>
      </c>
      <c r="F130" s="6">
        <f t="shared" si="23"/>
        <v>5</v>
      </c>
      <c r="G130" s="18" t="str">
        <f t="shared" si="17"/>
        <v>(128,5)</v>
      </c>
      <c r="H130" s="17">
        <f>COUNTIFS(Sheet1!$C:$C,Feuil1!H$1,Sheet1!$D:$D,Feuil1!$C130)</f>
        <v>0</v>
      </c>
      <c r="I130" s="6">
        <f t="shared" si="18"/>
        <v>12</v>
      </c>
      <c r="J130" s="18" t="str">
        <f t="shared" si="12"/>
        <v>(128,12)</v>
      </c>
      <c r="K130" s="17">
        <f>COUNTIFS(Sheet1!$C:$C,Feuil1!K$1,Sheet1!$D:$D,Feuil1!$C130)</f>
        <v>0</v>
      </c>
      <c r="L130" s="6">
        <f t="shared" si="19"/>
        <v>3</v>
      </c>
      <c r="M130" s="18" t="str">
        <f t="shared" si="13"/>
        <v>(128,3)</v>
      </c>
      <c r="N130" s="17">
        <f>COUNTIFS(Sheet1!$C:$C,Feuil1!N$1,Sheet1!$D:$D,Feuil1!$C130)</f>
        <v>3</v>
      </c>
      <c r="O130" s="6">
        <f t="shared" si="20"/>
        <v>67</v>
      </c>
      <c r="P130" s="18" t="str">
        <f t="shared" si="14"/>
        <v>(128,67)</v>
      </c>
    </row>
    <row r="131" spans="1:16" hidden="1" x14ac:dyDescent="0.2">
      <c r="A131" s="4">
        <f t="shared" si="21"/>
        <v>129</v>
      </c>
      <c r="B131" s="4"/>
      <c r="C131" s="7">
        <f t="shared" si="22"/>
        <v>45359</v>
      </c>
      <c r="D131" s="11" t="str">
        <f t="shared" si="16"/>
        <v>{2024-03-08},</v>
      </c>
      <c r="E131" s="17">
        <f>COUNTIFS(Sheet1!$C:$C,Feuil1!E$1,Sheet1!$D:$D,Feuil1!$C131)</f>
        <v>0</v>
      </c>
      <c r="F131" s="6">
        <f t="shared" si="23"/>
        <v>5</v>
      </c>
      <c r="G131" s="18" t="str">
        <f t="shared" si="17"/>
        <v>(129,5)</v>
      </c>
      <c r="H131" s="17">
        <f>COUNTIFS(Sheet1!$C:$C,Feuil1!H$1,Sheet1!$D:$D,Feuil1!$C131)</f>
        <v>0</v>
      </c>
      <c r="I131" s="6">
        <f t="shared" si="18"/>
        <v>12</v>
      </c>
      <c r="J131" s="18" t="str">
        <f t="shared" ref="J131:J194" si="24">_xlfn.CONCAT("(",$A131,",",I131,")")</f>
        <v>(129,12)</v>
      </c>
      <c r="K131" s="17">
        <f>COUNTIFS(Sheet1!$C:$C,Feuil1!K$1,Sheet1!$D:$D,Feuil1!$C131)</f>
        <v>0</v>
      </c>
      <c r="L131" s="6">
        <f t="shared" si="19"/>
        <v>3</v>
      </c>
      <c r="M131" s="18" t="str">
        <f t="shared" ref="M131:M194" si="25">_xlfn.CONCAT("(",$A131,",",L131,")")</f>
        <v>(129,3)</v>
      </c>
      <c r="N131" s="17">
        <f>COUNTIFS(Sheet1!$C:$C,Feuil1!N$1,Sheet1!$D:$D,Feuil1!$C131)</f>
        <v>2</v>
      </c>
      <c r="O131" s="6">
        <f t="shared" si="20"/>
        <v>69</v>
      </c>
      <c r="P131" s="18" t="str">
        <f t="shared" ref="P131:P194" si="26">_xlfn.CONCAT("(",$A131,",",O131,")")</f>
        <v>(129,69)</v>
      </c>
    </row>
    <row r="132" spans="1:16" hidden="1" x14ac:dyDescent="0.2">
      <c r="A132" s="4">
        <f t="shared" si="21"/>
        <v>130</v>
      </c>
      <c r="B132" s="4"/>
      <c r="C132" s="7">
        <f t="shared" si="22"/>
        <v>45360</v>
      </c>
      <c r="D132" s="11" t="str">
        <f t="shared" ref="D132:D195" si="27">_xlfn.CONCAT("{",TEXT(C132,"aaaa-mm-dd"),"},")</f>
        <v>{2024-03-09},</v>
      </c>
      <c r="E132" s="17">
        <f>COUNTIFS(Sheet1!$C:$C,Feuil1!E$1,Sheet1!$D:$D,Feuil1!$C132)</f>
        <v>0</v>
      </c>
      <c r="F132" s="6">
        <f t="shared" si="23"/>
        <v>5</v>
      </c>
      <c r="G132" s="18" t="str">
        <f t="shared" ref="G132:G195" si="28">_xlfn.CONCAT("(",$A132,",",F132,")")</f>
        <v>(130,5)</v>
      </c>
      <c r="H132" s="17">
        <f>COUNTIFS(Sheet1!$C:$C,Feuil1!H$1,Sheet1!$D:$D,Feuil1!$C132)</f>
        <v>0</v>
      </c>
      <c r="I132" s="6">
        <f t="shared" ref="I132:I195" si="29">I131+H132</f>
        <v>12</v>
      </c>
      <c r="J132" s="18" t="str">
        <f t="shared" si="24"/>
        <v>(130,12)</v>
      </c>
      <c r="K132" s="17">
        <f>COUNTIFS(Sheet1!$C:$C,Feuil1!K$1,Sheet1!$D:$D,Feuil1!$C132)</f>
        <v>0</v>
      </c>
      <c r="L132" s="6">
        <f t="shared" ref="L132:L195" si="30">L131+K132</f>
        <v>3</v>
      </c>
      <c r="M132" s="18" t="str">
        <f t="shared" si="25"/>
        <v>(130,3)</v>
      </c>
      <c r="N132" s="17">
        <f>COUNTIFS(Sheet1!$C:$C,Feuil1!N$1,Sheet1!$D:$D,Feuil1!$C132)</f>
        <v>2</v>
      </c>
      <c r="O132" s="6">
        <f t="shared" ref="O132:O195" si="31">O131+N132</f>
        <v>71</v>
      </c>
      <c r="P132" s="18" t="str">
        <f t="shared" si="26"/>
        <v>(130,71)</v>
      </c>
    </row>
    <row r="133" spans="1:16" hidden="1" x14ac:dyDescent="0.2">
      <c r="A133" s="4">
        <f t="shared" ref="A133:A196" si="32">A132+1</f>
        <v>131</v>
      </c>
      <c r="B133" s="4"/>
      <c r="C133" s="7">
        <f t="shared" ref="C133:C196" si="33">C132+1</f>
        <v>45361</v>
      </c>
      <c r="D133" s="11" t="str">
        <f t="shared" si="27"/>
        <v>{2024-03-10},</v>
      </c>
      <c r="E133" s="17">
        <f>COUNTIFS(Sheet1!$C:$C,Feuil1!E$1,Sheet1!$D:$D,Feuil1!$C133)</f>
        <v>0</v>
      </c>
      <c r="F133" s="6">
        <f t="shared" ref="F133:F196" si="34">F132+E133</f>
        <v>5</v>
      </c>
      <c r="G133" s="18" t="str">
        <f t="shared" si="28"/>
        <v>(131,5)</v>
      </c>
      <c r="H133" s="17">
        <f>COUNTIFS(Sheet1!$C:$C,Feuil1!H$1,Sheet1!$D:$D,Feuil1!$C133)</f>
        <v>0</v>
      </c>
      <c r="I133" s="6">
        <f t="shared" si="29"/>
        <v>12</v>
      </c>
      <c r="J133" s="18" t="str">
        <f t="shared" si="24"/>
        <v>(131,12)</v>
      </c>
      <c r="K133" s="17">
        <f>COUNTIFS(Sheet1!$C:$C,Feuil1!K$1,Sheet1!$D:$D,Feuil1!$C133)</f>
        <v>0</v>
      </c>
      <c r="L133" s="6">
        <f t="shared" si="30"/>
        <v>3</v>
      </c>
      <c r="M133" s="18" t="str">
        <f t="shared" si="25"/>
        <v>(131,3)</v>
      </c>
      <c r="N133" s="17">
        <f>COUNTIFS(Sheet1!$C:$C,Feuil1!N$1,Sheet1!$D:$D,Feuil1!$C133)</f>
        <v>4</v>
      </c>
      <c r="O133" s="6">
        <f t="shared" si="31"/>
        <v>75</v>
      </c>
      <c r="P133" s="18" t="str">
        <f t="shared" si="26"/>
        <v>(131,75)</v>
      </c>
    </row>
    <row r="134" spans="1:16" hidden="1" x14ac:dyDescent="0.2">
      <c r="A134" s="4">
        <f t="shared" si="32"/>
        <v>132</v>
      </c>
      <c r="B134" s="4"/>
      <c r="C134" s="7">
        <f t="shared" si="33"/>
        <v>45362</v>
      </c>
      <c r="D134" s="11" t="str">
        <f t="shared" si="27"/>
        <v>{2024-03-11},</v>
      </c>
      <c r="E134" s="17">
        <f>COUNTIFS(Sheet1!$C:$C,Feuil1!E$1,Sheet1!$D:$D,Feuil1!$C134)</f>
        <v>0</v>
      </c>
      <c r="F134" s="6">
        <f t="shared" si="34"/>
        <v>5</v>
      </c>
      <c r="G134" s="18" t="str">
        <f t="shared" si="28"/>
        <v>(132,5)</v>
      </c>
      <c r="H134" s="17">
        <f>COUNTIFS(Sheet1!$C:$C,Feuil1!H$1,Sheet1!$D:$D,Feuil1!$C134)</f>
        <v>0</v>
      </c>
      <c r="I134" s="6">
        <f t="shared" si="29"/>
        <v>12</v>
      </c>
      <c r="J134" s="18" t="str">
        <f t="shared" si="24"/>
        <v>(132,12)</v>
      </c>
      <c r="K134" s="17">
        <f>COUNTIFS(Sheet1!$C:$C,Feuil1!K$1,Sheet1!$D:$D,Feuil1!$C134)</f>
        <v>0</v>
      </c>
      <c r="L134" s="6">
        <f t="shared" si="30"/>
        <v>3</v>
      </c>
      <c r="M134" s="18" t="str">
        <f t="shared" si="25"/>
        <v>(132,3)</v>
      </c>
      <c r="N134" s="17">
        <f>COUNTIFS(Sheet1!$C:$C,Feuil1!N$1,Sheet1!$D:$D,Feuil1!$C134)</f>
        <v>1</v>
      </c>
      <c r="O134" s="6">
        <f t="shared" si="31"/>
        <v>76</v>
      </c>
      <c r="P134" s="18" t="str">
        <f t="shared" si="26"/>
        <v>(132,76)</v>
      </c>
    </row>
    <row r="135" spans="1:16" hidden="1" x14ac:dyDescent="0.2">
      <c r="A135" s="4">
        <f t="shared" si="32"/>
        <v>133</v>
      </c>
      <c r="B135" s="4"/>
      <c r="C135" s="7">
        <f t="shared" si="33"/>
        <v>45363</v>
      </c>
      <c r="D135" s="11" t="str">
        <f t="shared" si="27"/>
        <v>{2024-03-12},</v>
      </c>
      <c r="E135" s="17">
        <f>COUNTIFS(Sheet1!$C:$C,Feuil1!E$1,Sheet1!$D:$D,Feuil1!$C135)</f>
        <v>0</v>
      </c>
      <c r="F135" s="6">
        <f t="shared" si="34"/>
        <v>5</v>
      </c>
      <c r="G135" s="18" t="str">
        <f t="shared" si="28"/>
        <v>(133,5)</v>
      </c>
      <c r="H135" s="17">
        <f>COUNTIFS(Sheet1!$C:$C,Feuil1!H$1,Sheet1!$D:$D,Feuil1!$C135)</f>
        <v>0</v>
      </c>
      <c r="I135" s="6">
        <f t="shared" si="29"/>
        <v>12</v>
      </c>
      <c r="J135" s="18" t="str">
        <f t="shared" si="24"/>
        <v>(133,12)</v>
      </c>
      <c r="K135" s="17">
        <f>COUNTIFS(Sheet1!$C:$C,Feuil1!K$1,Sheet1!$D:$D,Feuil1!$C135)</f>
        <v>0</v>
      </c>
      <c r="L135" s="6">
        <f t="shared" si="30"/>
        <v>3</v>
      </c>
      <c r="M135" s="18" t="str">
        <f t="shared" si="25"/>
        <v>(133,3)</v>
      </c>
      <c r="N135" s="17">
        <f>COUNTIFS(Sheet1!$C:$C,Feuil1!N$1,Sheet1!$D:$D,Feuil1!$C135)</f>
        <v>4</v>
      </c>
      <c r="O135" s="6">
        <f t="shared" si="31"/>
        <v>80</v>
      </c>
      <c r="P135" s="18" t="str">
        <f t="shared" si="26"/>
        <v>(133,80)</v>
      </c>
    </row>
    <row r="136" spans="1:16" hidden="1" x14ac:dyDescent="0.2">
      <c r="A136" s="4">
        <f t="shared" si="32"/>
        <v>134</v>
      </c>
      <c r="B136" s="4"/>
      <c r="C136" s="7">
        <f t="shared" si="33"/>
        <v>45364</v>
      </c>
      <c r="D136" s="11" t="str">
        <f t="shared" si="27"/>
        <v>{2024-03-13},</v>
      </c>
      <c r="E136" s="17">
        <f>COUNTIFS(Sheet1!$C:$C,Feuil1!E$1,Sheet1!$D:$D,Feuil1!$C136)</f>
        <v>0</v>
      </c>
      <c r="F136" s="6">
        <f t="shared" si="34"/>
        <v>5</v>
      </c>
      <c r="G136" s="18" t="str">
        <f t="shared" si="28"/>
        <v>(134,5)</v>
      </c>
      <c r="H136" s="17">
        <f>COUNTIFS(Sheet1!$C:$C,Feuil1!H$1,Sheet1!$D:$D,Feuil1!$C136)</f>
        <v>0</v>
      </c>
      <c r="I136" s="6">
        <f t="shared" si="29"/>
        <v>12</v>
      </c>
      <c r="J136" s="18" t="str">
        <f t="shared" si="24"/>
        <v>(134,12)</v>
      </c>
      <c r="K136" s="17">
        <f>COUNTIFS(Sheet1!$C:$C,Feuil1!K$1,Sheet1!$D:$D,Feuil1!$C136)</f>
        <v>0</v>
      </c>
      <c r="L136" s="6">
        <f t="shared" si="30"/>
        <v>3</v>
      </c>
      <c r="M136" s="18" t="str">
        <f t="shared" si="25"/>
        <v>(134,3)</v>
      </c>
      <c r="N136" s="17">
        <f>COUNTIFS(Sheet1!$C:$C,Feuil1!N$1,Sheet1!$D:$D,Feuil1!$C136)</f>
        <v>1</v>
      </c>
      <c r="O136" s="6">
        <f t="shared" si="31"/>
        <v>81</v>
      </c>
      <c r="P136" s="18" t="str">
        <f t="shared" si="26"/>
        <v>(134,81)</v>
      </c>
    </row>
    <row r="137" spans="1:16" hidden="1" x14ac:dyDescent="0.2">
      <c r="A137" s="4">
        <f t="shared" si="32"/>
        <v>135</v>
      </c>
      <c r="B137" s="4"/>
      <c r="C137" s="7">
        <f t="shared" si="33"/>
        <v>45365</v>
      </c>
      <c r="D137" s="11" t="str">
        <f t="shared" si="27"/>
        <v>{2024-03-14},</v>
      </c>
      <c r="E137" s="17">
        <f>COUNTIFS(Sheet1!$C:$C,Feuil1!E$1,Sheet1!$D:$D,Feuil1!$C137)</f>
        <v>0</v>
      </c>
      <c r="F137" s="6">
        <f t="shared" si="34"/>
        <v>5</v>
      </c>
      <c r="G137" s="18" t="str">
        <f t="shared" si="28"/>
        <v>(135,5)</v>
      </c>
      <c r="H137" s="17">
        <f>COUNTIFS(Sheet1!$C:$C,Feuil1!H$1,Sheet1!$D:$D,Feuil1!$C137)</f>
        <v>0</v>
      </c>
      <c r="I137" s="6">
        <f t="shared" si="29"/>
        <v>12</v>
      </c>
      <c r="J137" s="18" t="str">
        <f t="shared" si="24"/>
        <v>(135,12)</v>
      </c>
      <c r="K137" s="17">
        <f>COUNTIFS(Sheet1!$C:$C,Feuil1!K$1,Sheet1!$D:$D,Feuil1!$C137)</f>
        <v>0</v>
      </c>
      <c r="L137" s="6">
        <f t="shared" si="30"/>
        <v>3</v>
      </c>
      <c r="M137" s="18" t="str">
        <f t="shared" si="25"/>
        <v>(135,3)</v>
      </c>
      <c r="N137" s="17">
        <f>COUNTIFS(Sheet1!$C:$C,Feuil1!N$1,Sheet1!$D:$D,Feuil1!$C137)</f>
        <v>6</v>
      </c>
      <c r="O137" s="6">
        <f t="shared" si="31"/>
        <v>87</v>
      </c>
      <c r="P137" s="18" t="str">
        <f t="shared" si="26"/>
        <v>(135,87)</v>
      </c>
    </row>
    <row r="138" spans="1:16" hidden="1" x14ac:dyDescent="0.2">
      <c r="A138" s="4">
        <f t="shared" si="32"/>
        <v>136</v>
      </c>
      <c r="B138" s="4"/>
      <c r="C138" s="7">
        <f t="shared" si="33"/>
        <v>45366</v>
      </c>
      <c r="D138" s="11" t="str">
        <f t="shared" si="27"/>
        <v>{2024-03-15},</v>
      </c>
      <c r="E138" s="17">
        <f>COUNTIFS(Sheet1!$C:$C,Feuil1!E$1,Sheet1!$D:$D,Feuil1!$C138)</f>
        <v>0</v>
      </c>
      <c r="F138" s="6">
        <f t="shared" si="34"/>
        <v>5</v>
      </c>
      <c r="G138" s="18" t="str">
        <f t="shared" si="28"/>
        <v>(136,5)</v>
      </c>
      <c r="H138" s="17">
        <f>COUNTIFS(Sheet1!$C:$C,Feuil1!H$1,Sheet1!$D:$D,Feuil1!$C138)</f>
        <v>0</v>
      </c>
      <c r="I138" s="6">
        <f t="shared" si="29"/>
        <v>12</v>
      </c>
      <c r="J138" s="18" t="str">
        <f t="shared" si="24"/>
        <v>(136,12)</v>
      </c>
      <c r="K138" s="17">
        <f>COUNTIFS(Sheet1!$C:$C,Feuil1!K$1,Sheet1!$D:$D,Feuil1!$C138)</f>
        <v>0</v>
      </c>
      <c r="L138" s="6">
        <f t="shared" si="30"/>
        <v>3</v>
      </c>
      <c r="M138" s="18" t="str">
        <f t="shared" si="25"/>
        <v>(136,3)</v>
      </c>
      <c r="N138" s="17">
        <f>COUNTIFS(Sheet1!$C:$C,Feuil1!N$1,Sheet1!$D:$D,Feuil1!$C138)</f>
        <v>2</v>
      </c>
      <c r="O138" s="6">
        <f t="shared" si="31"/>
        <v>89</v>
      </c>
      <c r="P138" s="18" t="str">
        <f t="shared" si="26"/>
        <v>(136,89)</v>
      </c>
    </row>
    <row r="139" spans="1:16" hidden="1" x14ac:dyDescent="0.2">
      <c r="A139" s="4">
        <f t="shared" si="32"/>
        <v>137</v>
      </c>
      <c r="B139" s="4"/>
      <c r="C139" s="7">
        <f t="shared" si="33"/>
        <v>45367</v>
      </c>
      <c r="D139" s="11" t="str">
        <f t="shared" si="27"/>
        <v>{2024-03-16},</v>
      </c>
      <c r="E139" s="17">
        <f>COUNTIFS(Sheet1!$C:$C,Feuil1!E$1,Sheet1!$D:$D,Feuil1!$C139)</f>
        <v>0</v>
      </c>
      <c r="F139" s="6">
        <f t="shared" si="34"/>
        <v>5</v>
      </c>
      <c r="G139" s="18" t="str">
        <f t="shared" si="28"/>
        <v>(137,5)</v>
      </c>
      <c r="H139" s="17">
        <f>COUNTIFS(Sheet1!$C:$C,Feuil1!H$1,Sheet1!$D:$D,Feuil1!$C139)</f>
        <v>0</v>
      </c>
      <c r="I139" s="6">
        <f t="shared" si="29"/>
        <v>12</v>
      </c>
      <c r="J139" s="18" t="str">
        <f t="shared" si="24"/>
        <v>(137,12)</v>
      </c>
      <c r="K139" s="17">
        <f>COUNTIFS(Sheet1!$C:$C,Feuil1!K$1,Sheet1!$D:$D,Feuil1!$C139)</f>
        <v>0</v>
      </c>
      <c r="L139" s="6">
        <f t="shared" si="30"/>
        <v>3</v>
      </c>
      <c r="M139" s="18" t="str">
        <f t="shared" si="25"/>
        <v>(137,3)</v>
      </c>
      <c r="N139" s="17">
        <f>COUNTIFS(Sheet1!$C:$C,Feuil1!N$1,Sheet1!$D:$D,Feuil1!$C139)</f>
        <v>2</v>
      </c>
      <c r="O139" s="6">
        <f t="shared" si="31"/>
        <v>91</v>
      </c>
      <c r="P139" s="18" t="str">
        <f t="shared" si="26"/>
        <v>(137,91)</v>
      </c>
    </row>
    <row r="140" spans="1:16" hidden="1" x14ac:dyDescent="0.2">
      <c r="A140" s="4">
        <f t="shared" si="32"/>
        <v>138</v>
      </c>
      <c r="B140" s="4"/>
      <c r="C140" s="7">
        <f t="shared" si="33"/>
        <v>45368</v>
      </c>
      <c r="D140" s="11" t="str">
        <f t="shared" si="27"/>
        <v>{2024-03-17},</v>
      </c>
      <c r="E140" s="17">
        <f>COUNTIFS(Sheet1!$C:$C,Feuil1!E$1,Sheet1!$D:$D,Feuil1!$C140)</f>
        <v>1</v>
      </c>
      <c r="F140" s="6">
        <f t="shared" si="34"/>
        <v>6</v>
      </c>
      <c r="G140" s="18" t="str">
        <f t="shared" si="28"/>
        <v>(138,6)</v>
      </c>
      <c r="H140" s="17">
        <f>COUNTIFS(Sheet1!$C:$C,Feuil1!H$1,Sheet1!$D:$D,Feuil1!$C140)</f>
        <v>0</v>
      </c>
      <c r="I140" s="6">
        <f t="shared" si="29"/>
        <v>12</v>
      </c>
      <c r="J140" s="18" t="str">
        <f t="shared" si="24"/>
        <v>(138,12)</v>
      </c>
      <c r="K140" s="17">
        <f>COUNTIFS(Sheet1!$C:$C,Feuil1!K$1,Sheet1!$D:$D,Feuil1!$C140)</f>
        <v>0</v>
      </c>
      <c r="L140" s="6">
        <f t="shared" si="30"/>
        <v>3</v>
      </c>
      <c r="M140" s="18" t="str">
        <f t="shared" si="25"/>
        <v>(138,3)</v>
      </c>
      <c r="N140" s="17">
        <f>COUNTIFS(Sheet1!$C:$C,Feuil1!N$1,Sheet1!$D:$D,Feuil1!$C140)</f>
        <v>4</v>
      </c>
      <c r="O140" s="6">
        <f t="shared" si="31"/>
        <v>95</v>
      </c>
      <c r="P140" s="18" t="str">
        <f t="shared" si="26"/>
        <v>(138,95)</v>
      </c>
    </row>
    <row r="141" spans="1:16" hidden="1" x14ac:dyDescent="0.2">
      <c r="A141" s="4">
        <f t="shared" si="32"/>
        <v>139</v>
      </c>
      <c r="B141" s="4"/>
      <c r="C141" s="7">
        <f t="shared" si="33"/>
        <v>45369</v>
      </c>
      <c r="D141" s="11" t="str">
        <f t="shared" si="27"/>
        <v>{2024-03-18},</v>
      </c>
      <c r="E141" s="17">
        <f>COUNTIFS(Sheet1!$C:$C,Feuil1!E$1,Sheet1!$D:$D,Feuil1!$C141)</f>
        <v>0</v>
      </c>
      <c r="F141" s="6">
        <f t="shared" si="34"/>
        <v>6</v>
      </c>
      <c r="G141" s="18" t="str">
        <f t="shared" si="28"/>
        <v>(139,6)</v>
      </c>
      <c r="H141" s="17">
        <f>COUNTIFS(Sheet1!$C:$C,Feuil1!H$1,Sheet1!$D:$D,Feuil1!$C141)</f>
        <v>0</v>
      </c>
      <c r="I141" s="6">
        <f t="shared" si="29"/>
        <v>12</v>
      </c>
      <c r="J141" s="18" t="str">
        <f t="shared" si="24"/>
        <v>(139,12)</v>
      </c>
      <c r="K141" s="17">
        <f>COUNTIFS(Sheet1!$C:$C,Feuil1!K$1,Sheet1!$D:$D,Feuil1!$C141)</f>
        <v>0</v>
      </c>
      <c r="L141" s="6">
        <f t="shared" si="30"/>
        <v>3</v>
      </c>
      <c r="M141" s="18" t="str">
        <f t="shared" si="25"/>
        <v>(139,3)</v>
      </c>
      <c r="N141" s="17">
        <f>COUNTIFS(Sheet1!$C:$C,Feuil1!N$1,Sheet1!$D:$D,Feuil1!$C141)</f>
        <v>3</v>
      </c>
      <c r="O141" s="6">
        <f t="shared" si="31"/>
        <v>98</v>
      </c>
      <c r="P141" s="18" t="str">
        <f t="shared" si="26"/>
        <v>(139,98)</v>
      </c>
    </row>
    <row r="142" spans="1:16" hidden="1" x14ac:dyDescent="0.2">
      <c r="A142" s="4">
        <f t="shared" si="32"/>
        <v>140</v>
      </c>
      <c r="B142" s="4"/>
      <c r="C142" s="7">
        <f t="shared" si="33"/>
        <v>45370</v>
      </c>
      <c r="D142" s="11" t="str">
        <f t="shared" si="27"/>
        <v>{2024-03-19},</v>
      </c>
      <c r="E142" s="17">
        <f>COUNTIFS(Sheet1!$C:$C,Feuil1!E$1,Sheet1!$D:$D,Feuil1!$C142)</f>
        <v>0</v>
      </c>
      <c r="F142" s="6">
        <f t="shared" si="34"/>
        <v>6</v>
      </c>
      <c r="G142" s="18" t="str">
        <f t="shared" si="28"/>
        <v>(140,6)</v>
      </c>
      <c r="H142" s="17">
        <f>COUNTIFS(Sheet1!$C:$C,Feuil1!H$1,Sheet1!$D:$D,Feuil1!$C142)</f>
        <v>0</v>
      </c>
      <c r="I142" s="6">
        <f t="shared" si="29"/>
        <v>12</v>
      </c>
      <c r="J142" s="18" t="str">
        <f t="shared" si="24"/>
        <v>(140,12)</v>
      </c>
      <c r="K142" s="17">
        <f>COUNTIFS(Sheet1!$C:$C,Feuil1!K$1,Sheet1!$D:$D,Feuil1!$C142)</f>
        <v>0</v>
      </c>
      <c r="L142" s="6">
        <f t="shared" si="30"/>
        <v>3</v>
      </c>
      <c r="M142" s="18" t="str">
        <f t="shared" si="25"/>
        <v>(140,3)</v>
      </c>
      <c r="N142" s="17">
        <f>COUNTIFS(Sheet1!$C:$C,Feuil1!N$1,Sheet1!$D:$D,Feuil1!$C142)</f>
        <v>3</v>
      </c>
      <c r="O142" s="6">
        <f t="shared" si="31"/>
        <v>101</v>
      </c>
      <c r="P142" s="18" t="str">
        <f t="shared" si="26"/>
        <v>(140,101)</v>
      </c>
    </row>
    <row r="143" spans="1:16" hidden="1" x14ac:dyDescent="0.2">
      <c r="A143" s="4">
        <f t="shared" si="32"/>
        <v>141</v>
      </c>
      <c r="B143" s="4"/>
      <c r="C143" s="7">
        <f t="shared" si="33"/>
        <v>45371</v>
      </c>
      <c r="D143" s="11" t="str">
        <f t="shared" si="27"/>
        <v>{2024-03-20},</v>
      </c>
      <c r="E143" s="17">
        <f>COUNTIFS(Sheet1!$C:$C,Feuil1!E$1,Sheet1!$D:$D,Feuil1!$C143)</f>
        <v>0</v>
      </c>
      <c r="F143" s="6">
        <f t="shared" si="34"/>
        <v>6</v>
      </c>
      <c r="G143" s="18" t="str">
        <f t="shared" si="28"/>
        <v>(141,6)</v>
      </c>
      <c r="H143" s="17">
        <f>COUNTIFS(Sheet1!$C:$C,Feuil1!H$1,Sheet1!$D:$D,Feuil1!$C143)</f>
        <v>0</v>
      </c>
      <c r="I143" s="6">
        <f t="shared" si="29"/>
        <v>12</v>
      </c>
      <c r="J143" s="18" t="str">
        <f t="shared" si="24"/>
        <v>(141,12)</v>
      </c>
      <c r="K143" s="17">
        <f>COUNTIFS(Sheet1!$C:$C,Feuil1!K$1,Sheet1!$D:$D,Feuil1!$C143)</f>
        <v>0</v>
      </c>
      <c r="L143" s="6">
        <f t="shared" si="30"/>
        <v>3</v>
      </c>
      <c r="M143" s="18" t="str">
        <f t="shared" si="25"/>
        <v>(141,3)</v>
      </c>
      <c r="N143" s="17">
        <f>COUNTIFS(Sheet1!$C:$C,Feuil1!N$1,Sheet1!$D:$D,Feuil1!$C143)</f>
        <v>3</v>
      </c>
      <c r="O143" s="6">
        <f t="shared" si="31"/>
        <v>104</v>
      </c>
      <c r="P143" s="18" t="str">
        <f t="shared" si="26"/>
        <v>(141,104)</v>
      </c>
    </row>
    <row r="144" spans="1:16" hidden="1" x14ac:dyDescent="0.2">
      <c r="A144" s="4">
        <f t="shared" si="32"/>
        <v>142</v>
      </c>
      <c r="B144" s="4"/>
      <c r="C144" s="7">
        <f t="shared" si="33"/>
        <v>45372</v>
      </c>
      <c r="D144" s="11" t="str">
        <f t="shared" si="27"/>
        <v>{2024-03-21},</v>
      </c>
      <c r="E144" s="17">
        <f>COUNTIFS(Sheet1!$C:$C,Feuil1!E$1,Sheet1!$D:$D,Feuil1!$C144)</f>
        <v>0</v>
      </c>
      <c r="F144" s="6">
        <f t="shared" si="34"/>
        <v>6</v>
      </c>
      <c r="G144" s="18" t="str">
        <f t="shared" si="28"/>
        <v>(142,6)</v>
      </c>
      <c r="H144" s="17">
        <f>COUNTIFS(Sheet1!$C:$C,Feuil1!H$1,Sheet1!$D:$D,Feuil1!$C144)</f>
        <v>0</v>
      </c>
      <c r="I144" s="6">
        <f t="shared" si="29"/>
        <v>12</v>
      </c>
      <c r="J144" s="18" t="str">
        <f t="shared" si="24"/>
        <v>(142,12)</v>
      </c>
      <c r="K144" s="17">
        <f>COUNTIFS(Sheet1!$C:$C,Feuil1!K$1,Sheet1!$D:$D,Feuil1!$C144)</f>
        <v>0</v>
      </c>
      <c r="L144" s="6">
        <f t="shared" si="30"/>
        <v>3</v>
      </c>
      <c r="M144" s="18" t="str">
        <f t="shared" si="25"/>
        <v>(142,3)</v>
      </c>
      <c r="N144" s="17">
        <f>COUNTIFS(Sheet1!$C:$C,Feuil1!N$1,Sheet1!$D:$D,Feuil1!$C144)</f>
        <v>3</v>
      </c>
      <c r="O144" s="6">
        <f t="shared" si="31"/>
        <v>107</v>
      </c>
      <c r="P144" s="18" t="str">
        <f t="shared" si="26"/>
        <v>(142,107)</v>
      </c>
    </row>
    <row r="145" spans="1:16" hidden="1" x14ac:dyDescent="0.2">
      <c r="A145" s="4">
        <f t="shared" si="32"/>
        <v>143</v>
      </c>
      <c r="B145" s="4"/>
      <c r="C145" s="7">
        <f t="shared" si="33"/>
        <v>45373</v>
      </c>
      <c r="D145" s="11" t="str">
        <f t="shared" si="27"/>
        <v>{2024-03-22},</v>
      </c>
      <c r="E145" s="17">
        <f>COUNTIFS(Sheet1!$C:$C,Feuil1!E$1,Sheet1!$D:$D,Feuil1!$C145)</f>
        <v>0</v>
      </c>
      <c r="F145" s="6">
        <f t="shared" si="34"/>
        <v>6</v>
      </c>
      <c r="G145" s="18" t="str">
        <f t="shared" si="28"/>
        <v>(143,6)</v>
      </c>
      <c r="H145" s="17">
        <f>COUNTIFS(Sheet1!$C:$C,Feuil1!H$1,Sheet1!$D:$D,Feuil1!$C145)</f>
        <v>0</v>
      </c>
      <c r="I145" s="6">
        <f t="shared" si="29"/>
        <v>12</v>
      </c>
      <c r="J145" s="18" t="str">
        <f t="shared" si="24"/>
        <v>(143,12)</v>
      </c>
      <c r="K145" s="17">
        <f>COUNTIFS(Sheet1!$C:$C,Feuil1!K$1,Sheet1!$D:$D,Feuil1!$C145)</f>
        <v>0</v>
      </c>
      <c r="L145" s="6">
        <f t="shared" si="30"/>
        <v>3</v>
      </c>
      <c r="M145" s="18" t="str">
        <f t="shared" si="25"/>
        <v>(143,3)</v>
      </c>
      <c r="N145" s="17">
        <f>COUNTIFS(Sheet1!$C:$C,Feuil1!N$1,Sheet1!$D:$D,Feuil1!$C145)</f>
        <v>2</v>
      </c>
      <c r="O145" s="6">
        <f t="shared" si="31"/>
        <v>109</v>
      </c>
      <c r="P145" s="18" t="str">
        <f t="shared" si="26"/>
        <v>(143,109)</v>
      </c>
    </row>
    <row r="146" spans="1:16" hidden="1" x14ac:dyDescent="0.2">
      <c r="A146" s="4">
        <f t="shared" si="32"/>
        <v>144</v>
      </c>
      <c r="B146" s="4"/>
      <c r="C146" s="7">
        <f t="shared" si="33"/>
        <v>45374</v>
      </c>
      <c r="D146" s="11" t="str">
        <f t="shared" si="27"/>
        <v>{2024-03-23},</v>
      </c>
      <c r="E146" s="17">
        <f>COUNTIFS(Sheet1!$C:$C,Feuil1!E$1,Sheet1!$D:$D,Feuil1!$C146)</f>
        <v>0</v>
      </c>
      <c r="F146" s="6">
        <f t="shared" si="34"/>
        <v>6</v>
      </c>
      <c r="G146" s="18" t="str">
        <f t="shared" si="28"/>
        <v>(144,6)</v>
      </c>
      <c r="H146" s="17">
        <f>COUNTIFS(Sheet1!$C:$C,Feuil1!H$1,Sheet1!$D:$D,Feuil1!$C146)</f>
        <v>0</v>
      </c>
      <c r="I146" s="6">
        <f t="shared" si="29"/>
        <v>12</v>
      </c>
      <c r="J146" s="18" t="str">
        <f t="shared" si="24"/>
        <v>(144,12)</v>
      </c>
      <c r="K146" s="17">
        <f>COUNTIFS(Sheet1!$C:$C,Feuil1!K$1,Sheet1!$D:$D,Feuil1!$C146)</f>
        <v>0</v>
      </c>
      <c r="L146" s="6">
        <f t="shared" si="30"/>
        <v>3</v>
      </c>
      <c r="M146" s="18" t="str">
        <f t="shared" si="25"/>
        <v>(144,3)</v>
      </c>
      <c r="N146" s="17">
        <f>COUNTIFS(Sheet1!$C:$C,Feuil1!N$1,Sheet1!$D:$D,Feuil1!$C146)</f>
        <v>2</v>
      </c>
      <c r="O146" s="6">
        <f t="shared" si="31"/>
        <v>111</v>
      </c>
      <c r="P146" s="18" t="str">
        <f t="shared" si="26"/>
        <v>(144,111)</v>
      </c>
    </row>
    <row r="147" spans="1:16" hidden="1" x14ac:dyDescent="0.2">
      <c r="A147" s="4">
        <f t="shared" si="32"/>
        <v>145</v>
      </c>
      <c r="B147" s="4"/>
      <c r="C147" s="7">
        <f t="shared" si="33"/>
        <v>45375</v>
      </c>
      <c r="D147" s="11" t="str">
        <f t="shared" si="27"/>
        <v>{2024-03-24},</v>
      </c>
      <c r="E147" s="17">
        <f>COUNTIFS(Sheet1!$C:$C,Feuil1!E$1,Sheet1!$D:$D,Feuil1!$C147)</f>
        <v>0</v>
      </c>
      <c r="F147" s="6">
        <f t="shared" si="34"/>
        <v>6</v>
      </c>
      <c r="G147" s="18" t="str">
        <f t="shared" si="28"/>
        <v>(145,6)</v>
      </c>
      <c r="H147" s="17">
        <f>COUNTIFS(Sheet1!$C:$C,Feuil1!H$1,Sheet1!$D:$D,Feuil1!$C147)</f>
        <v>0</v>
      </c>
      <c r="I147" s="6">
        <f t="shared" si="29"/>
        <v>12</v>
      </c>
      <c r="J147" s="18" t="str">
        <f t="shared" si="24"/>
        <v>(145,12)</v>
      </c>
      <c r="K147" s="17">
        <f>COUNTIFS(Sheet1!$C:$C,Feuil1!K$1,Sheet1!$D:$D,Feuil1!$C147)</f>
        <v>0</v>
      </c>
      <c r="L147" s="6">
        <f t="shared" si="30"/>
        <v>3</v>
      </c>
      <c r="M147" s="18" t="str">
        <f t="shared" si="25"/>
        <v>(145,3)</v>
      </c>
      <c r="N147" s="17">
        <f>COUNTIFS(Sheet1!$C:$C,Feuil1!N$1,Sheet1!$D:$D,Feuil1!$C147)</f>
        <v>1</v>
      </c>
      <c r="O147" s="6">
        <f t="shared" si="31"/>
        <v>112</v>
      </c>
      <c r="P147" s="18" t="str">
        <f t="shared" si="26"/>
        <v>(145,112)</v>
      </c>
    </row>
    <row r="148" spans="1:16" hidden="1" x14ac:dyDescent="0.2">
      <c r="A148" s="4">
        <f t="shared" si="32"/>
        <v>146</v>
      </c>
      <c r="B148" s="4"/>
      <c r="C148" s="7">
        <f t="shared" si="33"/>
        <v>45376</v>
      </c>
      <c r="D148" s="11" t="str">
        <f t="shared" si="27"/>
        <v>{2024-03-25},</v>
      </c>
      <c r="E148" s="17">
        <f>COUNTIFS(Sheet1!$C:$C,Feuil1!E$1,Sheet1!$D:$D,Feuil1!$C148)</f>
        <v>0</v>
      </c>
      <c r="F148" s="6">
        <f t="shared" si="34"/>
        <v>6</v>
      </c>
      <c r="G148" s="18" t="str">
        <f t="shared" si="28"/>
        <v>(146,6)</v>
      </c>
      <c r="H148" s="17">
        <f>COUNTIFS(Sheet1!$C:$C,Feuil1!H$1,Sheet1!$D:$D,Feuil1!$C148)</f>
        <v>0</v>
      </c>
      <c r="I148" s="6">
        <f t="shared" si="29"/>
        <v>12</v>
      </c>
      <c r="J148" s="18" t="str">
        <f t="shared" si="24"/>
        <v>(146,12)</v>
      </c>
      <c r="K148" s="17">
        <f>COUNTIFS(Sheet1!$C:$C,Feuil1!K$1,Sheet1!$D:$D,Feuil1!$C148)</f>
        <v>0</v>
      </c>
      <c r="L148" s="6">
        <f t="shared" si="30"/>
        <v>3</v>
      </c>
      <c r="M148" s="18" t="str">
        <f t="shared" si="25"/>
        <v>(146,3)</v>
      </c>
      <c r="N148" s="17">
        <f>COUNTIFS(Sheet1!$C:$C,Feuil1!N$1,Sheet1!$D:$D,Feuil1!$C148)</f>
        <v>1</v>
      </c>
      <c r="O148" s="6">
        <f t="shared" si="31"/>
        <v>113</v>
      </c>
      <c r="P148" s="18" t="str">
        <f t="shared" si="26"/>
        <v>(146,113)</v>
      </c>
    </row>
    <row r="149" spans="1:16" hidden="1" x14ac:dyDescent="0.2">
      <c r="A149" s="4">
        <f t="shared" si="32"/>
        <v>147</v>
      </c>
      <c r="B149" s="4"/>
      <c r="C149" s="7">
        <f t="shared" si="33"/>
        <v>45377</v>
      </c>
      <c r="D149" s="11" t="str">
        <f t="shared" si="27"/>
        <v>{2024-03-26},</v>
      </c>
      <c r="E149" s="17">
        <f>COUNTIFS(Sheet1!$C:$C,Feuil1!E$1,Sheet1!$D:$D,Feuil1!$C149)</f>
        <v>0</v>
      </c>
      <c r="F149" s="6">
        <f t="shared" si="34"/>
        <v>6</v>
      </c>
      <c r="G149" s="18" t="str">
        <f t="shared" si="28"/>
        <v>(147,6)</v>
      </c>
      <c r="H149" s="17">
        <f>COUNTIFS(Sheet1!$C:$C,Feuil1!H$1,Sheet1!$D:$D,Feuil1!$C149)</f>
        <v>0</v>
      </c>
      <c r="I149" s="6">
        <f t="shared" si="29"/>
        <v>12</v>
      </c>
      <c r="J149" s="18" t="str">
        <f t="shared" si="24"/>
        <v>(147,12)</v>
      </c>
      <c r="K149" s="17">
        <f>COUNTIFS(Sheet1!$C:$C,Feuil1!K$1,Sheet1!$D:$D,Feuil1!$C149)</f>
        <v>0</v>
      </c>
      <c r="L149" s="6">
        <f t="shared" si="30"/>
        <v>3</v>
      </c>
      <c r="M149" s="18" t="str">
        <f t="shared" si="25"/>
        <v>(147,3)</v>
      </c>
      <c r="N149" s="17">
        <f>COUNTIFS(Sheet1!$C:$C,Feuil1!N$1,Sheet1!$D:$D,Feuil1!$C149)</f>
        <v>3</v>
      </c>
      <c r="O149" s="6">
        <f t="shared" si="31"/>
        <v>116</v>
      </c>
      <c r="P149" s="18" t="str">
        <f t="shared" si="26"/>
        <v>(147,116)</v>
      </c>
    </row>
    <row r="150" spans="1:16" hidden="1" x14ac:dyDescent="0.2">
      <c r="A150" s="4">
        <f t="shared" si="32"/>
        <v>148</v>
      </c>
      <c r="B150" s="4"/>
      <c r="C150" s="7">
        <f t="shared" si="33"/>
        <v>45378</v>
      </c>
      <c r="D150" s="11" t="str">
        <f t="shared" si="27"/>
        <v>{2024-03-27},</v>
      </c>
      <c r="E150" s="17">
        <f>COUNTIFS(Sheet1!$C:$C,Feuil1!E$1,Sheet1!$D:$D,Feuil1!$C150)</f>
        <v>0</v>
      </c>
      <c r="F150" s="6">
        <f t="shared" si="34"/>
        <v>6</v>
      </c>
      <c r="G150" s="18" t="str">
        <f t="shared" si="28"/>
        <v>(148,6)</v>
      </c>
      <c r="H150" s="17">
        <f>COUNTIFS(Sheet1!$C:$C,Feuil1!H$1,Sheet1!$D:$D,Feuil1!$C150)</f>
        <v>0</v>
      </c>
      <c r="I150" s="6">
        <f t="shared" si="29"/>
        <v>12</v>
      </c>
      <c r="J150" s="18" t="str">
        <f t="shared" si="24"/>
        <v>(148,12)</v>
      </c>
      <c r="K150" s="17">
        <f>COUNTIFS(Sheet1!$C:$C,Feuil1!K$1,Sheet1!$D:$D,Feuil1!$C150)</f>
        <v>0</v>
      </c>
      <c r="L150" s="6">
        <f t="shared" si="30"/>
        <v>3</v>
      </c>
      <c r="M150" s="18" t="str">
        <f t="shared" si="25"/>
        <v>(148,3)</v>
      </c>
      <c r="N150" s="17">
        <f>COUNTIFS(Sheet1!$C:$C,Feuil1!N$1,Sheet1!$D:$D,Feuil1!$C150)</f>
        <v>3</v>
      </c>
      <c r="O150" s="6">
        <f t="shared" si="31"/>
        <v>119</v>
      </c>
      <c r="P150" s="18" t="str">
        <f t="shared" si="26"/>
        <v>(148,119)</v>
      </c>
    </row>
    <row r="151" spans="1:16" hidden="1" x14ac:dyDescent="0.2">
      <c r="A151" s="4">
        <f t="shared" si="32"/>
        <v>149</v>
      </c>
      <c r="B151" s="4"/>
      <c r="C151" s="7">
        <f t="shared" si="33"/>
        <v>45379</v>
      </c>
      <c r="D151" s="11" t="str">
        <f t="shared" si="27"/>
        <v>{2024-03-28},</v>
      </c>
      <c r="E151" s="17">
        <f>COUNTIFS(Sheet1!$C:$C,Feuil1!E$1,Sheet1!$D:$D,Feuil1!$C151)</f>
        <v>0</v>
      </c>
      <c r="F151" s="6">
        <f t="shared" si="34"/>
        <v>6</v>
      </c>
      <c r="G151" s="18" t="str">
        <f t="shared" si="28"/>
        <v>(149,6)</v>
      </c>
      <c r="H151" s="17">
        <f>COUNTIFS(Sheet1!$C:$C,Feuil1!H$1,Sheet1!$D:$D,Feuil1!$C151)</f>
        <v>0</v>
      </c>
      <c r="I151" s="6">
        <f t="shared" si="29"/>
        <v>12</v>
      </c>
      <c r="J151" s="18" t="str">
        <f t="shared" si="24"/>
        <v>(149,12)</v>
      </c>
      <c r="K151" s="17">
        <f>COUNTIFS(Sheet1!$C:$C,Feuil1!K$1,Sheet1!$D:$D,Feuil1!$C151)</f>
        <v>0</v>
      </c>
      <c r="L151" s="6">
        <f t="shared" si="30"/>
        <v>3</v>
      </c>
      <c r="M151" s="18" t="str">
        <f t="shared" si="25"/>
        <v>(149,3)</v>
      </c>
      <c r="N151" s="17">
        <f>COUNTIFS(Sheet1!$C:$C,Feuil1!N$1,Sheet1!$D:$D,Feuil1!$C151)</f>
        <v>2</v>
      </c>
      <c r="O151" s="6">
        <f t="shared" si="31"/>
        <v>121</v>
      </c>
      <c r="P151" s="18" t="str">
        <f t="shared" si="26"/>
        <v>(149,121)</v>
      </c>
    </row>
    <row r="152" spans="1:16" hidden="1" x14ac:dyDescent="0.2">
      <c r="A152" s="4">
        <f t="shared" si="32"/>
        <v>150</v>
      </c>
      <c r="B152" s="4"/>
      <c r="C152" s="7">
        <f t="shared" si="33"/>
        <v>45380</v>
      </c>
      <c r="D152" s="11" t="str">
        <f t="shared" si="27"/>
        <v>{2024-03-29},</v>
      </c>
      <c r="E152" s="17">
        <f>COUNTIFS(Sheet1!$C:$C,Feuil1!E$1,Sheet1!$D:$D,Feuil1!$C152)</f>
        <v>0</v>
      </c>
      <c r="F152" s="6">
        <f t="shared" si="34"/>
        <v>6</v>
      </c>
      <c r="G152" s="18" t="str">
        <f t="shared" si="28"/>
        <v>(150,6)</v>
      </c>
      <c r="H152" s="17">
        <f>COUNTIFS(Sheet1!$C:$C,Feuil1!H$1,Sheet1!$D:$D,Feuil1!$C152)</f>
        <v>0</v>
      </c>
      <c r="I152" s="6">
        <f t="shared" si="29"/>
        <v>12</v>
      </c>
      <c r="J152" s="18" t="str">
        <f t="shared" si="24"/>
        <v>(150,12)</v>
      </c>
      <c r="K152" s="17">
        <f>COUNTIFS(Sheet1!$C:$C,Feuil1!K$1,Sheet1!$D:$D,Feuil1!$C152)</f>
        <v>0</v>
      </c>
      <c r="L152" s="6">
        <f t="shared" si="30"/>
        <v>3</v>
      </c>
      <c r="M152" s="18" t="str">
        <f t="shared" si="25"/>
        <v>(150,3)</v>
      </c>
      <c r="N152" s="17">
        <f>COUNTIFS(Sheet1!$C:$C,Feuil1!N$1,Sheet1!$D:$D,Feuil1!$C152)</f>
        <v>1</v>
      </c>
      <c r="O152" s="6">
        <f t="shared" si="31"/>
        <v>122</v>
      </c>
      <c r="P152" s="18" t="str">
        <f t="shared" si="26"/>
        <v>(150,122)</v>
      </c>
    </row>
    <row r="153" spans="1:16" hidden="1" x14ac:dyDescent="0.2">
      <c r="A153" s="4">
        <f t="shared" si="32"/>
        <v>151</v>
      </c>
      <c r="B153" s="4"/>
      <c r="C153" s="7">
        <f t="shared" si="33"/>
        <v>45381</v>
      </c>
      <c r="D153" s="11" t="str">
        <f t="shared" si="27"/>
        <v>{2024-03-30},</v>
      </c>
      <c r="E153" s="17">
        <f>COUNTIFS(Sheet1!$C:$C,Feuil1!E$1,Sheet1!$D:$D,Feuil1!$C153)</f>
        <v>0</v>
      </c>
      <c r="F153" s="6">
        <f t="shared" si="34"/>
        <v>6</v>
      </c>
      <c r="G153" s="18" t="str">
        <f t="shared" si="28"/>
        <v>(151,6)</v>
      </c>
      <c r="H153" s="17">
        <f>COUNTIFS(Sheet1!$C:$C,Feuil1!H$1,Sheet1!$D:$D,Feuil1!$C153)</f>
        <v>0</v>
      </c>
      <c r="I153" s="6">
        <f t="shared" si="29"/>
        <v>12</v>
      </c>
      <c r="J153" s="18" t="str">
        <f t="shared" si="24"/>
        <v>(151,12)</v>
      </c>
      <c r="K153" s="17">
        <f>COUNTIFS(Sheet1!$C:$C,Feuil1!K$1,Sheet1!$D:$D,Feuil1!$C153)</f>
        <v>0</v>
      </c>
      <c r="L153" s="6">
        <f t="shared" si="30"/>
        <v>3</v>
      </c>
      <c r="M153" s="18" t="str">
        <f t="shared" si="25"/>
        <v>(151,3)</v>
      </c>
      <c r="N153" s="17">
        <f>COUNTIFS(Sheet1!$C:$C,Feuil1!N$1,Sheet1!$D:$D,Feuil1!$C153)</f>
        <v>3</v>
      </c>
      <c r="O153" s="6">
        <f t="shared" si="31"/>
        <v>125</v>
      </c>
      <c r="P153" s="18" t="str">
        <f t="shared" si="26"/>
        <v>(151,125)</v>
      </c>
    </row>
    <row r="154" spans="1:16" hidden="1" x14ac:dyDescent="0.2">
      <c r="A154" s="4">
        <f t="shared" si="32"/>
        <v>152</v>
      </c>
      <c r="B154" s="4"/>
      <c r="C154" s="7">
        <f t="shared" si="33"/>
        <v>45382</v>
      </c>
      <c r="D154" s="11" t="str">
        <f t="shared" si="27"/>
        <v>{2024-03-31},</v>
      </c>
      <c r="E154" s="17">
        <f>COUNTIFS(Sheet1!$C:$C,Feuil1!E$1,Sheet1!$D:$D,Feuil1!$C154)</f>
        <v>0</v>
      </c>
      <c r="F154" s="6">
        <f t="shared" si="34"/>
        <v>6</v>
      </c>
      <c r="G154" s="18" t="str">
        <f t="shared" si="28"/>
        <v>(152,6)</v>
      </c>
      <c r="H154" s="17">
        <f>COUNTIFS(Sheet1!$C:$C,Feuil1!H$1,Sheet1!$D:$D,Feuil1!$C154)</f>
        <v>0</v>
      </c>
      <c r="I154" s="6">
        <f t="shared" si="29"/>
        <v>12</v>
      </c>
      <c r="J154" s="18" t="str">
        <f t="shared" si="24"/>
        <v>(152,12)</v>
      </c>
      <c r="K154" s="17">
        <f>COUNTIFS(Sheet1!$C:$C,Feuil1!K$1,Sheet1!$D:$D,Feuil1!$C154)</f>
        <v>0</v>
      </c>
      <c r="L154" s="6">
        <f t="shared" si="30"/>
        <v>3</v>
      </c>
      <c r="M154" s="18" t="str">
        <f t="shared" si="25"/>
        <v>(152,3)</v>
      </c>
      <c r="N154" s="17">
        <f>COUNTIFS(Sheet1!$C:$C,Feuil1!N$1,Sheet1!$D:$D,Feuil1!$C154)</f>
        <v>1</v>
      </c>
      <c r="O154" s="6">
        <f t="shared" si="31"/>
        <v>126</v>
      </c>
      <c r="P154" s="18" t="str">
        <f t="shared" si="26"/>
        <v>(152,126)</v>
      </c>
    </row>
    <row r="155" spans="1:16" hidden="1" x14ac:dyDescent="0.2">
      <c r="A155" s="4">
        <f t="shared" si="32"/>
        <v>153</v>
      </c>
      <c r="B155" s="4"/>
      <c r="C155" s="5">
        <f t="shared" si="33"/>
        <v>45383</v>
      </c>
      <c r="D155" s="11" t="str">
        <f t="shared" si="27"/>
        <v>{2024-04-01},</v>
      </c>
      <c r="E155" s="17">
        <f>COUNTIFS(Sheet1!$C:$C,Feuil1!E$1,Sheet1!$D:$D,Feuil1!$C155)</f>
        <v>0</v>
      </c>
      <c r="F155" s="6">
        <f t="shared" si="34"/>
        <v>6</v>
      </c>
      <c r="G155" s="18" t="str">
        <f t="shared" si="28"/>
        <v>(153,6)</v>
      </c>
      <c r="H155" s="17">
        <f>COUNTIFS(Sheet1!$C:$C,Feuil1!H$1,Sheet1!$D:$D,Feuil1!$C155)</f>
        <v>0</v>
      </c>
      <c r="I155" s="6">
        <f t="shared" si="29"/>
        <v>12</v>
      </c>
      <c r="J155" s="18" t="str">
        <f t="shared" si="24"/>
        <v>(153,12)</v>
      </c>
      <c r="K155" s="17">
        <f>COUNTIFS(Sheet1!$C:$C,Feuil1!K$1,Sheet1!$D:$D,Feuil1!$C155)</f>
        <v>1</v>
      </c>
      <c r="L155" s="6">
        <f t="shared" si="30"/>
        <v>4</v>
      </c>
      <c r="M155" s="18" t="str">
        <f t="shared" si="25"/>
        <v>(153,4)</v>
      </c>
      <c r="N155" s="17">
        <f>COUNTIFS(Sheet1!$C:$C,Feuil1!N$1,Sheet1!$D:$D,Feuil1!$C155)</f>
        <v>1</v>
      </c>
      <c r="O155" s="6">
        <f t="shared" si="31"/>
        <v>127</v>
      </c>
      <c r="P155" s="18" t="str">
        <f t="shared" si="26"/>
        <v>(153,127)</v>
      </c>
    </row>
    <row r="156" spans="1:16" hidden="1" x14ac:dyDescent="0.2">
      <c r="A156" s="4">
        <f t="shared" si="32"/>
        <v>154</v>
      </c>
      <c r="B156" s="4"/>
      <c r="C156" s="7">
        <f t="shared" si="33"/>
        <v>45384</v>
      </c>
      <c r="D156" s="11" t="str">
        <f t="shared" si="27"/>
        <v>{2024-04-02},</v>
      </c>
      <c r="E156" s="17">
        <f>COUNTIFS(Sheet1!$C:$C,Feuil1!E$1,Sheet1!$D:$D,Feuil1!$C156)</f>
        <v>0</v>
      </c>
      <c r="F156" s="6">
        <f t="shared" si="34"/>
        <v>6</v>
      </c>
      <c r="G156" s="18" t="str">
        <f t="shared" si="28"/>
        <v>(154,6)</v>
      </c>
      <c r="H156" s="17">
        <f>COUNTIFS(Sheet1!$C:$C,Feuil1!H$1,Sheet1!$D:$D,Feuil1!$C156)</f>
        <v>0</v>
      </c>
      <c r="I156" s="6">
        <f t="shared" si="29"/>
        <v>12</v>
      </c>
      <c r="J156" s="18" t="str">
        <f t="shared" si="24"/>
        <v>(154,12)</v>
      </c>
      <c r="K156" s="17">
        <f>COUNTIFS(Sheet1!$C:$C,Feuil1!K$1,Sheet1!$D:$D,Feuil1!$C156)</f>
        <v>0</v>
      </c>
      <c r="L156" s="6">
        <f t="shared" si="30"/>
        <v>4</v>
      </c>
      <c r="M156" s="18" t="str">
        <f t="shared" si="25"/>
        <v>(154,4)</v>
      </c>
      <c r="N156" s="17">
        <f>COUNTIFS(Sheet1!$C:$C,Feuil1!N$1,Sheet1!$D:$D,Feuil1!$C156)</f>
        <v>1</v>
      </c>
      <c r="O156" s="6">
        <f t="shared" si="31"/>
        <v>128</v>
      </c>
      <c r="P156" s="18" t="str">
        <f t="shared" si="26"/>
        <v>(154,128)</v>
      </c>
    </row>
    <row r="157" spans="1:16" hidden="1" x14ac:dyDescent="0.2">
      <c r="A157" s="4">
        <f t="shared" si="32"/>
        <v>155</v>
      </c>
      <c r="B157" s="4"/>
      <c r="C157" s="7">
        <f t="shared" si="33"/>
        <v>45385</v>
      </c>
      <c r="D157" s="11" t="str">
        <f t="shared" si="27"/>
        <v>{2024-04-03},</v>
      </c>
      <c r="E157" s="17">
        <f>COUNTIFS(Sheet1!$C:$C,Feuil1!E$1,Sheet1!$D:$D,Feuil1!$C157)</f>
        <v>0</v>
      </c>
      <c r="F157" s="6">
        <f t="shared" si="34"/>
        <v>6</v>
      </c>
      <c r="G157" s="18" t="str">
        <f t="shared" si="28"/>
        <v>(155,6)</v>
      </c>
      <c r="H157" s="17">
        <f>COUNTIFS(Sheet1!$C:$C,Feuil1!H$1,Sheet1!$D:$D,Feuil1!$C157)</f>
        <v>0</v>
      </c>
      <c r="I157" s="6">
        <f t="shared" si="29"/>
        <v>12</v>
      </c>
      <c r="J157" s="18" t="str">
        <f t="shared" si="24"/>
        <v>(155,12)</v>
      </c>
      <c r="K157" s="17">
        <f>COUNTIFS(Sheet1!$C:$C,Feuil1!K$1,Sheet1!$D:$D,Feuil1!$C157)</f>
        <v>0</v>
      </c>
      <c r="L157" s="6">
        <f t="shared" si="30"/>
        <v>4</v>
      </c>
      <c r="M157" s="18" t="str">
        <f t="shared" si="25"/>
        <v>(155,4)</v>
      </c>
      <c r="N157" s="17">
        <f>COUNTIFS(Sheet1!$C:$C,Feuil1!N$1,Sheet1!$D:$D,Feuil1!$C157)</f>
        <v>4</v>
      </c>
      <c r="O157" s="6">
        <f t="shared" si="31"/>
        <v>132</v>
      </c>
      <c r="P157" s="18" t="str">
        <f t="shared" si="26"/>
        <v>(155,132)</v>
      </c>
    </row>
    <row r="158" spans="1:16" hidden="1" x14ac:dyDescent="0.2">
      <c r="A158" s="4">
        <f t="shared" si="32"/>
        <v>156</v>
      </c>
      <c r="B158" s="4"/>
      <c r="C158" s="7">
        <f t="shared" si="33"/>
        <v>45386</v>
      </c>
      <c r="D158" s="11" t="str">
        <f t="shared" si="27"/>
        <v>{2024-04-04},</v>
      </c>
      <c r="E158" s="17">
        <f>COUNTIFS(Sheet1!$C:$C,Feuil1!E$1,Sheet1!$D:$D,Feuil1!$C158)</f>
        <v>0</v>
      </c>
      <c r="F158" s="6">
        <f t="shared" si="34"/>
        <v>6</v>
      </c>
      <c r="G158" s="18" t="str">
        <f t="shared" si="28"/>
        <v>(156,6)</v>
      </c>
      <c r="H158" s="17">
        <f>COUNTIFS(Sheet1!$C:$C,Feuil1!H$1,Sheet1!$D:$D,Feuil1!$C158)</f>
        <v>0</v>
      </c>
      <c r="I158" s="6">
        <f t="shared" si="29"/>
        <v>12</v>
      </c>
      <c r="J158" s="18" t="str">
        <f t="shared" si="24"/>
        <v>(156,12)</v>
      </c>
      <c r="K158" s="17">
        <f>COUNTIFS(Sheet1!$C:$C,Feuil1!K$1,Sheet1!$D:$D,Feuil1!$C158)</f>
        <v>0</v>
      </c>
      <c r="L158" s="6">
        <f t="shared" si="30"/>
        <v>4</v>
      </c>
      <c r="M158" s="18" t="str">
        <f t="shared" si="25"/>
        <v>(156,4)</v>
      </c>
      <c r="N158" s="17">
        <f>COUNTIFS(Sheet1!$C:$C,Feuil1!N$1,Sheet1!$D:$D,Feuil1!$C158)</f>
        <v>2</v>
      </c>
      <c r="O158" s="6">
        <f t="shared" si="31"/>
        <v>134</v>
      </c>
      <c r="P158" s="18" t="str">
        <f t="shared" si="26"/>
        <v>(156,134)</v>
      </c>
    </row>
    <row r="159" spans="1:16" hidden="1" x14ac:dyDescent="0.2">
      <c r="A159" s="4">
        <f t="shared" si="32"/>
        <v>157</v>
      </c>
      <c r="B159" s="4"/>
      <c r="C159" s="7">
        <f t="shared" si="33"/>
        <v>45387</v>
      </c>
      <c r="D159" s="11" t="str">
        <f t="shared" si="27"/>
        <v>{2024-04-05},</v>
      </c>
      <c r="E159" s="17">
        <f>COUNTIFS(Sheet1!$C:$C,Feuil1!E$1,Sheet1!$D:$D,Feuil1!$C159)</f>
        <v>0</v>
      </c>
      <c r="F159" s="6">
        <f t="shared" si="34"/>
        <v>6</v>
      </c>
      <c r="G159" s="18" t="str">
        <f t="shared" si="28"/>
        <v>(157,6)</v>
      </c>
      <c r="H159" s="17">
        <f>COUNTIFS(Sheet1!$C:$C,Feuil1!H$1,Sheet1!$D:$D,Feuil1!$C159)</f>
        <v>0</v>
      </c>
      <c r="I159" s="6">
        <f t="shared" si="29"/>
        <v>12</v>
      </c>
      <c r="J159" s="18" t="str">
        <f t="shared" si="24"/>
        <v>(157,12)</v>
      </c>
      <c r="K159" s="17">
        <f>COUNTIFS(Sheet1!$C:$C,Feuil1!K$1,Sheet1!$D:$D,Feuil1!$C159)</f>
        <v>0</v>
      </c>
      <c r="L159" s="6">
        <f t="shared" si="30"/>
        <v>4</v>
      </c>
      <c r="M159" s="18" t="str">
        <f t="shared" si="25"/>
        <v>(157,4)</v>
      </c>
      <c r="N159" s="17">
        <f>COUNTIFS(Sheet1!$C:$C,Feuil1!N$1,Sheet1!$D:$D,Feuil1!$C159)</f>
        <v>4</v>
      </c>
      <c r="O159" s="6">
        <f t="shared" si="31"/>
        <v>138</v>
      </c>
      <c r="P159" s="18" t="str">
        <f t="shared" si="26"/>
        <v>(157,138)</v>
      </c>
    </row>
    <row r="160" spans="1:16" hidden="1" x14ac:dyDescent="0.2">
      <c r="A160" s="4">
        <f t="shared" si="32"/>
        <v>158</v>
      </c>
      <c r="B160" s="4"/>
      <c r="C160" s="7">
        <f t="shared" si="33"/>
        <v>45388</v>
      </c>
      <c r="D160" s="11" t="str">
        <f t="shared" si="27"/>
        <v>{2024-04-06},</v>
      </c>
      <c r="E160" s="17">
        <f>COUNTIFS(Sheet1!$C:$C,Feuil1!E$1,Sheet1!$D:$D,Feuil1!$C160)</f>
        <v>0</v>
      </c>
      <c r="F160" s="6">
        <f t="shared" si="34"/>
        <v>6</v>
      </c>
      <c r="G160" s="18" t="str">
        <f t="shared" si="28"/>
        <v>(158,6)</v>
      </c>
      <c r="H160" s="17">
        <f>COUNTIFS(Sheet1!$C:$C,Feuil1!H$1,Sheet1!$D:$D,Feuil1!$C160)</f>
        <v>0</v>
      </c>
      <c r="I160" s="6">
        <f t="shared" si="29"/>
        <v>12</v>
      </c>
      <c r="J160" s="18" t="str">
        <f t="shared" si="24"/>
        <v>(158,12)</v>
      </c>
      <c r="K160" s="17">
        <f>COUNTIFS(Sheet1!$C:$C,Feuil1!K$1,Sheet1!$D:$D,Feuil1!$C160)</f>
        <v>0</v>
      </c>
      <c r="L160" s="6">
        <f t="shared" si="30"/>
        <v>4</v>
      </c>
      <c r="M160" s="18" t="str">
        <f t="shared" si="25"/>
        <v>(158,4)</v>
      </c>
      <c r="N160" s="17">
        <f>COUNTIFS(Sheet1!$C:$C,Feuil1!N$1,Sheet1!$D:$D,Feuil1!$C160)</f>
        <v>4</v>
      </c>
      <c r="O160" s="6">
        <f t="shared" si="31"/>
        <v>142</v>
      </c>
      <c r="P160" s="18" t="str">
        <f t="shared" si="26"/>
        <v>(158,142)</v>
      </c>
    </row>
    <row r="161" spans="1:16" hidden="1" x14ac:dyDescent="0.2">
      <c r="A161" s="4">
        <f t="shared" si="32"/>
        <v>159</v>
      </c>
      <c r="B161" s="4"/>
      <c r="C161" s="7">
        <f t="shared" si="33"/>
        <v>45389</v>
      </c>
      <c r="D161" s="11" t="str">
        <f t="shared" si="27"/>
        <v>{2024-04-07},</v>
      </c>
      <c r="E161" s="17">
        <f>COUNTIFS(Sheet1!$C:$C,Feuil1!E$1,Sheet1!$D:$D,Feuil1!$C161)</f>
        <v>0</v>
      </c>
      <c r="F161" s="6">
        <f t="shared" si="34"/>
        <v>6</v>
      </c>
      <c r="G161" s="18" t="str">
        <f t="shared" si="28"/>
        <v>(159,6)</v>
      </c>
      <c r="H161" s="17">
        <f>COUNTIFS(Sheet1!$C:$C,Feuil1!H$1,Sheet1!$D:$D,Feuil1!$C161)</f>
        <v>0</v>
      </c>
      <c r="I161" s="6">
        <f t="shared" si="29"/>
        <v>12</v>
      </c>
      <c r="J161" s="18" t="str">
        <f t="shared" si="24"/>
        <v>(159,12)</v>
      </c>
      <c r="K161" s="17">
        <f>COUNTIFS(Sheet1!$C:$C,Feuil1!K$1,Sheet1!$D:$D,Feuil1!$C161)</f>
        <v>0</v>
      </c>
      <c r="L161" s="6">
        <f t="shared" si="30"/>
        <v>4</v>
      </c>
      <c r="M161" s="18" t="str">
        <f t="shared" si="25"/>
        <v>(159,4)</v>
      </c>
      <c r="N161" s="17">
        <f>COUNTIFS(Sheet1!$C:$C,Feuil1!N$1,Sheet1!$D:$D,Feuil1!$C161)</f>
        <v>5</v>
      </c>
      <c r="O161" s="6">
        <f t="shared" si="31"/>
        <v>147</v>
      </c>
      <c r="P161" s="18" t="str">
        <f t="shared" si="26"/>
        <v>(159,147)</v>
      </c>
    </row>
    <row r="162" spans="1:16" hidden="1" x14ac:dyDescent="0.2">
      <c r="A162" s="4">
        <f t="shared" si="32"/>
        <v>160</v>
      </c>
      <c r="B162" s="4"/>
      <c r="C162" s="7">
        <f t="shared" si="33"/>
        <v>45390</v>
      </c>
      <c r="D162" s="11" t="str">
        <f t="shared" si="27"/>
        <v>{2024-04-08},</v>
      </c>
      <c r="E162" s="17">
        <f>COUNTIFS(Sheet1!$C:$C,Feuil1!E$1,Sheet1!$D:$D,Feuil1!$C162)</f>
        <v>0</v>
      </c>
      <c r="F162" s="6">
        <f t="shared" si="34"/>
        <v>6</v>
      </c>
      <c r="G162" s="18" t="str">
        <f t="shared" si="28"/>
        <v>(160,6)</v>
      </c>
      <c r="H162" s="17">
        <f>COUNTIFS(Sheet1!$C:$C,Feuil1!H$1,Sheet1!$D:$D,Feuil1!$C162)</f>
        <v>0</v>
      </c>
      <c r="I162" s="6">
        <f t="shared" si="29"/>
        <v>12</v>
      </c>
      <c r="J162" s="18" t="str">
        <f t="shared" si="24"/>
        <v>(160,12)</v>
      </c>
      <c r="K162" s="17">
        <f>COUNTIFS(Sheet1!$C:$C,Feuil1!K$1,Sheet1!$D:$D,Feuil1!$C162)</f>
        <v>0</v>
      </c>
      <c r="L162" s="6">
        <f t="shared" si="30"/>
        <v>4</v>
      </c>
      <c r="M162" s="18" t="str">
        <f t="shared" si="25"/>
        <v>(160,4)</v>
      </c>
      <c r="N162" s="17">
        <f>COUNTIFS(Sheet1!$C:$C,Feuil1!N$1,Sheet1!$D:$D,Feuil1!$C162)</f>
        <v>3</v>
      </c>
      <c r="O162" s="6">
        <f t="shared" si="31"/>
        <v>150</v>
      </c>
      <c r="P162" s="18" t="str">
        <f t="shared" si="26"/>
        <v>(160,150)</v>
      </c>
    </row>
    <row r="163" spans="1:16" hidden="1" x14ac:dyDescent="0.2">
      <c r="A163" s="4">
        <f t="shared" si="32"/>
        <v>161</v>
      </c>
      <c r="B163" s="4"/>
      <c r="C163" s="7">
        <f t="shared" si="33"/>
        <v>45391</v>
      </c>
      <c r="D163" s="11" t="str">
        <f t="shared" si="27"/>
        <v>{2024-04-09},</v>
      </c>
      <c r="E163" s="17">
        <f>COUNTIFS(Sheet1!$C:$C,Feuil1!E$1,Sheet1!$D:$D,Feuil1!$C163)</f>
        <v>0</v>
      </c>
      <c r="F163" s="6">
        <f t="shared" si="34"/>
        <v>6</v>
      </c>
      <c r="G163" s="18" t="str">
        <f t="shared" si="28"/>
        <v>(161,6)</v>
      </c>
      <c r="H163" s="17">
        <f>COUNTIFS(Sheet1!$C:$C,Feuil1!H$1,Sheet1!$D:$D,Feuil1!$C163)</f>
        <v>0</v>
      </c>
      <c r="I163" s="6">
        <f t="shared" si="29"/>
        <v>12</v>
      </c>
      <c r="J163" s="18" t="str">
        <f t="shared" si="24"/>
        <v>(161,12)</v>
      </c>
      <c r="K163" s="17">
        <f>COUNTIFS(Sheet1!$C:$C,Feuil1!K$1,Sheet1!$D:$D,Feuil1!$C163)</f>
        <v>0</v>
      </c>
      <c r="L163" s="6">
        <f t="shared" si="30"/>
        <v>4</v>
      </c>
      <c r="M163" s="18" t="str">
        <f t="shared" si="25"/>
        <v>(161,4)</v>
      </c>
      <c r="N163" s="17">
        <f>COUNTIFS(Sheet1!$C:$C,Feuil1!N$1,Sheet1!$D:$D,Feuil1!$C163)</f>
        <v>2</v>
      </c>
      <c r="O163" s="6">
        <f t="shared" si="31"/>
        <v>152</v>
      </c>
      <c r="P163" s="18" t="str">
        <f t="shared" si="26"/>
        <v>(161,152)</v>
      </c>
    </row>
    <row r="164" spans="1:16" hidden="1" x14ac:dyDescent="0.2">
      <c r="A164" s="4">
        <f t="shared" si="32"/>
        <v>162</v>
      </c>
      <c r="B164" s="4"/>
      <c r="C164" s="7">
        <f t="shared" si="33"/>
        <v>45392</v>
      </c>
      <c r="D164" s="11" t="str">
        <f t="shared" si="27"/>
        <v>{2024-04-10},</v>
      </c>
      <c r="E164" s="17">
        <f>COUNTIFS(Sheet1!$C:$C,Feuil1!E$1,Sheet1!$D:$D,Feuil1!$C164)</f>
        <v>0</v>
      </c>
      <c r="F164" s="6">
        <f t="shared" si="34"/>
        <v>6</v>
      </c>
      <c r="G164" s="18" t="str">
        <f t="shared" si="28"/>
        <v>(162,6)</v>
      </c>
      <c r="H164" s="17">
        <f>COUNTIFS(Sheet1!$C:$C,Feuil1!H$1,Sheet1!$D:$D,Feuil1!$C164)</f>
        <v>0</v>
      </c>
      <c r="I164" s="6">
        <f t="shared" si="29"/>
        <v>12</v>
      </c>
      <c r="J164" s="18" t="str">
        <f t="shared" si="24"/>
        <v>(162,12)</v>
      </c>
      <c r="K164" s="17">
        <f>COUNTIFS(Sheet1!$C:$C,Feuil1!K$1,Sheet1!$D:$D,Feuil1!$C164)</f>
        <v>0</v>
      </c>
      <c r="L164" s="6">
        <f t="shared" si="30"/>
        <v>4</v>
      </c>
      <c r="M164" s="18" t="str">
        <f t="shared" si="25"/>
        <v>(162,4)</v>
      </c>
      <c r="N164" s="17">
        <f>COUNTIFS(Sheet1!$C:$C,Feuil1!N$1,Sheet1!$D:$D,Feuil1!$C164)</f>
        <v>2</v>
      </c>
      <c r="O164" s="6">
        <f t="shared" si="31"/>
        <v>154</v>
      </c>
      <c r="P164" s="18" t="str">
        <f t="shared" si="26"/>
        <v>(162,154)</v>
      </c>
    </row>
    <row r="165" spans="1:16" hidden="1" x14ac:dyDescent="0.2">
      <c r="A165" s="4">
        <f t="shared" si="32"/>
        <v>163</v>
      </c>
      <c r="B165" s="4"/>
      <c r="C165" s="7">
        <f t="shared" si="33"/>
        <v>45393</v>
      </c>
      <c r="D165" s="11" t="str">
        <f t="shared" si="27"/>
        <v>{2024-04-11},</v>
      </c>
      <c r="E165" s="17">
        <f>COUNTIFS(Sheet1!$C:$C,Feuil1!E$1,Sheet1!$D:$D,Feuil1!$C165)</f>
        <v>0</v>
      </c>
      <c r="F165" s="6">
        <f t="shared" si="34"/>
        <v>6</v>
      </c>
      <c r="G165" s="18" t="str">
        <f t="shared" si="28"/>
        <v>(163,6)</v>
      </c>
      <c r="H165" s="17">
        <f>COUNTIFS(Sheet1!$C:$C,Feuil1!H$1,Sheet1!$D:$D,Feuil1!$C165)</f>
        <v>0</v>
      </c>
      <c r="I165" s="6">
        <f t="shared" si="29"/>
        <v>12</v>
      </c>
      <c r="J165" s="18" t="str">
        <f t="shared" si="24"/>
        <v>(163,12)</v>
      </c>
      <c r="K165" s="17">
        <f>COUNTIFS(Sheet1!$C:$C,Feuil1!K$1,Sheet1!$D:$D,Feuil1!$C165)</f>
        <v>0</v>
      </c>
      <c r="L165" s="6">
        <f t="shared" si="30"/>
        <v>4</v>
      </c>
      <c r="M165" s="18" t="str">
        <f t="shared" si="25"/>
        <v>(163,4)</v>
      </c>
      <c r="N165" s="17">
        <f>COUNTIFS(Sheet1!$C:$C,Feuil1!N$1,Sheet1!$D:$D,Feuil1!$C165)</f>
        <v>3</v>
      </c>
      <c r="O165" s="6">
        <f t="shared" si="31"/>
        <v>157</v>
      </c>
      <c r="P165" s="18" t="str">
        <f t="shared" si="26"/>
        <v>(163,157)</v>
      </c>
    </row>
    <row r="166" spans="1:16" hidden="1" x14ac:dyDescent="0.2">
      <c r="A166" s="4">
        <f t="shared" si="32"/>
        <v>164</v>
      </c>
      <c r="B166" s="4"/>
      <c r="C166" s="7">
        <f t="shared" si="33"/>
        <v>45394</v>
      </c>
      <c r="D166" s="11" t="str">
        <f t="shared" si="27"/>
        <v>{2024-04-12},</v>
      </c>
      <c r="E166" s="17">
        <f>COUNTIFS(Sheet1!$C:$C,Feuil1!E$1,Sheet1!$D:$D,Feuil1!$C166)</f>
        <v>0</v>
      </c>
      <c r="F166" s="6">
        <f t="shared" si="34"/>
        <v>6</v>
      </c>
      <c r="G166" s="18" t="str">
        <f t="shared" si="28"/>
        <v>(164,6)</v>
      </c>
      <c r="H166" s="17">
        <f>COUNTIFS(Sheet1!$C:$C,Feuil1!H$1,Sheet1!$D:$D,Feuil1!$C166)</f>
        <v>0</v>
      </c>
      <c r="I166" s="6">
        <f t="shared" si="29"/>
        <v>12</v>
      </c>
      <c r="J166" s="18" t="str">
        <f t="shared" si="24"/>
        <v>(164,12)</v>
      </c>
      <c r="K166" s="17">
        <f>COUNTIFS(Sheet1!$C:$C,Feuil1!K$1,Sheet1!$D:$D,Feuil1!$C166)</f>
        <v>0</v>
      </c>
      <c r="L166" s="6">
        <f t="shared" si="30"/>
        <v>4</v>
      </c>
      <c r="M166" s="18" t="str">
        <f t="shared" si="25"/>
        <v>(164,4)</v>
      </c>
      <c r="N166" s="17">
        <f>COUNTIFS(Sheet1!$C:$C,Feuil1!N$1,Sheet1!$D:$D,Feuil1!$C166)</f>
        <v>4</v>
      </c>
      <c r="O166" s="6">
        <f t="shared" si="31"/>
        <v>161</v>
      </c>
      <c r="P166" s="18" t="str">
        <f t="shared" si="26"/>
        <v>(164,161)</v>
      </c>
    </row>
    <row r="167" spans="1:16" hidden="1" x14ac:dyDescent="0.2">
      <c r="A167" s="4">
        <f t="shared" si="32"/>
        <v>165</v>
      </c>
      <c r="B167" s="4"/>
      <c r="C167" s="7">
        <f t="shared" si="33"/>
        <v>45395</v>
      </c>
      <c r="D167" s="11" t="str">
        <f t="shared" si="27"/>
        <v>{2024-04-13},</v>
      </c>
      <c r="E167" s="17">
        <f>COUNTIFS(Sheet1!$C:$C,Feuil1!E$1,Sheet1!$D:$D,Feuil1!$C167)</f>
        <v>0</v>
      </c>
      <c r="F167" s="6">
        <f t="shared" si="34"/>
        <v>6</v>
      </c>
      <c r="G167" s="18" t="str">
        <f t="shared" si="28"/>
        <v>(165,6)</v>
      </c>
      <c r="H167" s="17">
        <f>COUNTIFS(Sheet1!$C:$C,Feuil1!H$1,Sheet1!$D:$D,Feuil1!$C167)</f>
        <v>0</v>
      </c>
      <c r="I167" s="6">
        <f t="shared" si="29"/>
        <v>12</v>
      </c>
      <c r="J167" s="18" t="str">
        <f t="shared" si="24"/>
        <v>(165,12)</v>
      </c>
      <c r="K167" s="17">
        <f>COUNTIFS(Sheet1!$C:$C,Feuil1!K$1,Sheet1!$D:$D,Feuil1!$C167)</f>
        <v>0</v>
      </c>
      <c r="L167" s="6">
        <f t="shared" si="30"/>
        <v>4</v>
      </c>
      <c r="M167" s="18" t="str">
        <f t="shared" si="25"/>
        <v>(165,4)</v>
      </c>
      <c r="N167" s="17">
        <f>COUNTIFS(Sheet1!$C:$C,Feuil1!N$1,Sheet1!$D:$D,Feuil1!$C167)</f>
        <v>2</v>
      </c>
      <c r="O167" s="6">
        <f t="shared" si="31"/>
        <v>163</v>
      </c>
      <c r="P167" s="18" t="str">
        <f t="shared" si="26"/>
        <v>(165,163)</v>
      </c>
    </row>
    <row r="168" spans="1:16" hidden="1" x14ac:dyDescent="0.2">
      <c r="A168" s="4">
        <f t="shared" si="32"/>
        <v>166</v>
      </c>
      <c r="B168" s="4"/>
      <c r="C168" s="7">
        <f t="shared" si="33"/>
        <v>45396</v>
      </c>
      <c r="D168" s="11" t="str">
        <f t="shared" si="27"/>
        <v>{2024-04-14},</v>
      </c>
      <c r="E168" s="17">
        <f>COUNTIFS(Sheet1!$C:$C,Feuil1!E$1,Sheet1!$D:$D,Feuil1!$C168)</f>
        <v>0</v>
      </c>
      <c r="F168" s="6">
        <f t="shared" si="34"/>
        <v>6</v>
      </c>
      <c r="G168" s="18" t="str">
        <f t="shared" si="28"/>
        <v>(166,6)</v>
      </c>
      <c r="H168" s="17">
        <f>COUNTIFS(Sheet1!$C:$C,Feuil1!H$1,Sheet1!$D:$D,Feuil1!$C168)</f>
        <v>0</v>
      </c>
      <c r="I168" s="6">
        <f t="shared" si="29"/>
        <v>12</v>
      </c>
      <c r="J168" s="18" t="str">
        <f t="shared" si="24"/>
        <v>(166,12)</v>
      </c>
      <c r="K168" s="17">
        <f>COUNTIFS(Sheet1!$C:$C,Feuil1!K$1,Sheet1!$D:$D,Feuil1!$C168)</f>
        <v>0</v>
      </c>
      <c r="L168" s="6">
        <f t="shared" si="30"/>
        <v>4</v>
      </c>
      <c r="M168" s="18" t="str">
        <f t="shared" si="25"/>
        <v>(166,4)</v>
      </c>
      <c r="N168" s="17">
        <f>COUNTIFS(Sheet1!$C:$C,Feuil1!N$1,Sheet1!$D:$D,Feuil1!$C168)</f>
        <v>4</v>
      </c>
      <c r="O168" s="6">
        <f t="shared" si="31"/>
        <v>167</v>
      </c>
      <c r="P168" s="18" t="str">
        <f t="shared" si="26"/>
        <v>(166,167)</v>
      </c>
    </row>
    <row r="169" spans="1:16" hidden="1" x14ac:dyDescent="0.2">
      <c r="A169" s="4">
        <f t="shared" si="32"/>
        <v>167</v>
      </c>
      <c r="B169" s="4"/>
      <c r="C169" s="7">
        <f t="shared" si="33"/>
        <v>45397</v>
      </c>
      <c r="D169" s="11" t="str">
        <f t="shared" si="27"/>
        <v>{2024-04-15},</v>
      </c>
      <c r="E169" s="17">
        <f>COUNTIFS(Sheet1!$C:$C,Feuil1!E$1,Sheet1!$D:$D,Feuil1!$C169)</f>
        <v>0</v>
      </c>
      <c r="F169" s="6">
        <f t="shared" si="34"/>
        <v>6</v>
      </c>
      <c r="G169" s="18" t="str">
        <f t="shared" si="28"/>
        <v>(167,6)</v>
      </c>
      <c r="H169" s="17">
        <f>COUNTIFS(Sheet1!$C:$C,Feuil1!H$1,Sheet1!$D:$D,Feuil1!$C169)</f>
        <v>0</v>
      </c>
      <c r="I169" s="6">
        <f t="shared" si="29"/>
        <v>12</v>
      </c>
      <c r="J169" s="18" t="str">
        <f t="shared" si="24"/>
        <v>(167,12)</v>
      </c>
      <c r="K169" s="17">
        <f>COUNTIFS(Sheet1!$C:$C,Feuil1!K$1,Sheet1!$D:$D,Feuil1!$C169)</f>
        <v>0</v>
      </c>
      <c r="L169" s="6">
        <f t="shared" si="30"/>
        <v>4</v>
      </c>
      <c r="M169" s="18" t="str">
        <f t="shared" si="25"/>
        <v>(167,4)</v>
      </c>
      <c r="N169" s="17">
        <f>COUNTIFS(Sheet1!$C:$C,Feuil1!N$1,Sheet1!$D:$D,Feuil1!$C169)</f>
        <v>2</v>
      </c>
      <c r="O169" s="6">
        <f t="shared" si="31"/>
        <v>169</v>
      </c>
      <c r="P169" s="18" t="str">
        <f t="shared" si="26"/>
        <v>(167,169)</v>
      </c>
    </row>
    <row r="170" spans="1:16" hidden="1" x14ac:dyDescent="0.2">
      <c r="A170" s="4">
        <f t="shared" si="32"/>
        <v>168</v>
      </c>
      <c r="B170" s="4"/>
      <c r="C170" s="7">
        <f t="shared" si="33"/>
        <v>45398</v>
      </c>
      <c r="D170" s="11" t="str">
        <f t="shared" si="27"/>
        <v>{2024-04-16},</v>
      </c>
      <c r="E170" s="17">
        <f>COUNTIFS(Sheet1!$C:$C,Feuil1!E$1,Sheet1!$D:$D,Feuil1!$C170)</f>
        <v>0</v>
      </c>
      <c r="F170" s="6">
        <f t="shared" si="34"/>
        <v>6</v>
      </c>
      <c r="G170" s="18" t="str">
        <f t="shared" si="28"/>
        <v>(168,6)</v>
      </c>
      <c r="H170" s="17">
        <f>COUNTIFS(Sheet1!$C:$C,Feuil1!H$1,Sheet1!$D:$D,Feuil1!$C170)</f>
        <v>0</v>
      </c>
      <c r="I170" s="6">
        <f t="shared" si="29"/>
        <v>12</v>
      </c>
      <c r="J170" s="18" t="str">
        <f t="shared" si="24"/>
        <v>(168,12)</v>
      </c>
      <c r="K170" s="17">
        <f>COUNTIFS(Sheet1!$C:$C,Feuil1!K$1,Sheet1!$D:$D,Feuil1!$C170)</f>
        <v>0</v>
      </c>
      <c r="L170" s="6">
        <f t="shared" si="30"/>
        <v>4</v>
      </c>
      <c r="M170" s="18" t="str">
        <f t="shared" si="25"/>
        <v>(168,4)</v>
      </c>
      <c r="N170" s="17">
        <f>COUNTIFS(Sheet1!$C:$C,Feuil1!N$1,Sheet1!$D:$D,Feuil1!$C170)</f>
        <v>2</v>
      </c>
      <c r="O170" s="6">
        <f t="shared" si="31"/>
        <v>171</v>
      </c>
      <c r="P170" s="18" t="str">
        <f t="shared" si="26"/>
        <v>(168,171)</v>
      </c>
    </row>
    <row r="171" spans="1:16" hidden="1" x14ac:dyDescent="0.2">
      <c r="A171" s="4">
        <f t="shared" si="32"/>
        <v>169</v>
      </c>
      <c r="B171" s="4"/>
      <c r="C171" s="7">
        <f t="shared" si="33"/>
        <v>45399</v>
      </c>
      <c r="D171" s="11" t="str">
        <f t="shared" si="27"/>
        <v>{2024-04-17},</v>
      </c>
      <c r="E171" s="17">
        <f>COUNTIFS(Sheet1!$C:$C,Feuil1!E$1,Sheet1!$D:$D,Feuil1!$C171)</f>
        <v>0</v>
      </c>
      <c r="F171" s="6">
        <f t="shared" si="34"/>
        <v>6</v>
      </c>
      <c r="G171" s="18" t="str">
        <f t="shared" si="28"/>
        <v>(169,6)</v>
      </c>
      <c r="H171" s="17">
        <f>COUNTIFS(Sheet1!$C:$C,Feuil1!H$1,Sheet1!$D:$D,Feuil1!$C171)</f>
        <v>0</v>
      </c>
      <c r="I171" s="6">
        <f t="shared" si="29"/>
        <v>12</v>
      </c>
      <c r="J171" s="18" t="str">
        <f t="shared" si="24"/>
        <v>(169,12)</v>
      </c>
      <c r="K171" s="17">
        <f>COUNTIFS(Sheet1!$C:$C,Feuil1!K$1,Sheet1!$D:$D,Feuil1!$C171)</f>
        <v>0</v>
      </c>
      <c r="L171" s="6">
        <f t="shared" si="30"/>
        <v>4</v>
      </c>
      <c r="M171" s="18" t="str">
        <f t="shared" si="25"/>
        <v>(169,4)</v>
      </c>
      <c r="N171" s="17">
        <f>COUNTIFS(Sheet1!$C:$C,Feuil1!N$1,Sheet1!$D:$D,Feuil1!$C171)</f>
        <v>6</v>
      </c>
      <c r="O171" s="6">
        <f t="shared" si="31"/>
        <v>177</v>
      </c>
      <c r="P171" s="18" t="str">
        <f t="shared" si="26"/>
        <v>(169,177)</v>
      </c>
    </row>
    <row r="172" spans="1:16" hidden="1" x14ac:dyDescent="0.2">
      <c r="A172" s="4">
        <f t="shared" si="32"/>
        <v>170</v>
      </c>
      <c r="B172" s="4"/>
      <c r="C172" s="7">
        <f t="shared" si="33"/>
        <v>45400</v>
      </c>
      <c r="D172" s="11" t="str">
        <f t="shared" si="27"/>
        <v>{2024-04-18},</v>
      </c>
      <c r="E172" s="17">
        <f>COUNTIFS(Sheet1!$C:$C,Feuil1!E$1,Sheet1!$D:$D,Feuil1!$C172)</f>
        <v>1</v>
      </c>
      <c r="F172" s="6">
        <f t="shared" si="34"/>
        <v>7</v>
      </c>
      <c r="G172" s="18" t="str">
        <f t="shared" si="28"/>
        <v>(170,7)</v>
      </c>
      <c r="H172" s="17">
        <f>COUNTIFS(Sheet1!$C:$C,Feuil1!H$1,Sheet1!$D:$D,Feuil1!$C172)</f>
        <v>0</v>
      </c>
      <c r="I172" s="6">
        <f t="shared" si="29"/>
        <v>12</v>
      </c>
      <c r="J172" s="18" t="str">
        <f t="shared" si="24"/>
        <v>(170,12)</v>
      </c>
      <c r="K172" s="17">
        <f>COUNTIFS(Sheet1!$C:$C,Feuil1!K$1,Sheet1!$D:$D,Feuil1!$C172)</f>
        <v>0</v>
      </c>
      <c r="L172" s="6">
        <f t="shared" si="30"/>
        <v>4</v>
      </c>
      <c r="M172" s="18" t="str">
        <f t="shared" si="25"/>
        <v>(170,4)</v>
      </c>
      <c r="N172" s="17">
        <f>COUNTIFS(Sheet1!$C:$C,Feuil1!N$1,Sheet1!$D:$D,Feuil1!$C172)</f>
        <v>2</v>
      </c>
      <c r="O172" s="6">
        <f t="shared" si="31"/>
        <v>179</v>
      </c>
      <c r="P172" s="18" t="str">
        <f t="shared" si="26"/>
        <v>(170,179)</v>
      </c>
    </row>
    <row r="173" spans="1:16" hidden="1" x14ac:dyDescent="0.2">
      <c r="A173" s="4">
        <f t="shared" si="32"/>
        <v>171</v>
      </c>
      <c r="B173" s="4"/>
      <c r="C173" s="7">
        <f t="shared" si="33"/>
        <v>45401</v>
      </c>
      <c r="D173" s="11" t="str">
        <f t="shared" si="27"/>
        <v>{2024-04-19},</v>
      </c>
      <c r="E173" s="17">
        <f>COUNTIFS(Sheet1!$C:$C,Feuil1!E$1,Sheet1!$D:$D,Feuil1!$C173)</f>
        <v>0</v>
      </c>
      <c r="F173" s="6">
        <f t="shared" si="34"/>
        <v>7</v>
      </c>
      <c r="G173" s="18" t="str">
        <f t="shared" si="28"/>
        <v>(171,7)</v>
      </c>
      <c r="H173" s="17">
        <f>COUNTIFS(Sheet1!$C:$C,Feuil1!H$1,Sheet1!$D:$D,Feuil1!$C173)</f>
        <v>0</v>
      </c>
      <c r="I173" s="6">
        <f t="shared" si="29"/>
        <v>12</v>
      </c>
      <c r="J173" s="18" t="str">
        <f t="shared" si="24"/>
        <v>(171,12)</v>
      </c>
      <c r="K173" s="17">
        <f>COUNTIFS(Sheet1!$C:$C,Feuil1!K$1,Sheet1!$D:$D,Feuil1!$C173)</f>
        <v>0</v>
      </c>
      <c r="L173" s="6">
        <f t="shared" si="30"/>
        <v>4</v>
      </c>
      <c r="M173" s="18" t="str">
        <f t="shared" si="25"/>
        <v>(171,4)</v>
      </c>
      <c r="N173" s="17">
        <f>COUNTIFS(Sheet1!$C:$C,Feuil1!N$1,Sheet1!$D:$D,Feuil1!$C173)</f>
        <v>3</v>
      </c>
      <c r="O173" s="6">
        <f t="shared" si="31"/>
        <v>182</v>
      </c>
      <c r="P173" s="18" t="str">
        <f t="shared" si="26"/>
        <v>(171,182)</v>
      </c>
    </row>
    <row r="174" spans="1:16" hidden="1" x14ac:dyDescent="0.2">
      <c r="A174" s="4">
        <f t="shared" si="32"/>
        <v>172</v>
      </c>
      <c r="B174" s="4"/>
      <c r="C174" s="7">
        <f t="shared" si="33"/>
        <v>45402</v>
      </c>
      <c r="D174" s="11" t="str">
        <f t="shared" si="27"/>
        <v>{2024-04-20},</v>
      </c>
      <c r="E174" s="17">
        <f>COUNTIFS(Sheet1!$C:$C,Feuil1!E$1,Sheet1!$D:$D,Feuil1!$C174)</f>
        <v>0</v>
      </c>
      <c r="F174" s="6">
        <f t="shared" si="34"/>
        <v>7</v>
      </c>
      <c r="G174" s="18" t="str">
        <f t="shared" si="28"/>
        <v>(172,7)</v>
      </c>
      <c r="H174" s="17">
        <f>COUNTIFS(Sheet1!$C:$C,Feuil1!H$1,Sheet1!$D:$D,Feuil1!$C174)</f>
        <v>0</v>
      </c>
      <c r="I174" s="6">
        <f t="shared" si="29"/>
        <v>12</v>
      </c>
      <c r="J174" s="18" t="str">
        <f t="shared" si="24"/>
        <v>(172,12)</v>
      </c>
      <c r="K174" s="17">
        <f>COUNTIFS(Sheet1!$C:$C,Feuil1!K$1,Sheet1!$D:$D,Feuil1!$C174)</f>
        <v>0</v>
      </c>
      <c r="L174" s="6">
        <f t="shared" si="30"/>
        <v>4</v>
      </c>
      <c r="M174" s="18" t="str">
        <f t="shared" si="25"/>
        <v>(172,4)</v>
      </c>
      <c r="N174" s="17">
        <f>COUNTIFS(Sheet1!$C:$C,Feuil1!N$1,Sheet1!$D:$D,Feuil1!$C174)</f>
        <v>3</v>
      </c>
      <c r="O174" s="6">
        <f t="shared" si="31"/>
        <v>185</v>
      </c>
      <c r="P174" s="18" t="str">
        <f t="shared" si="26"/>
        <v>(172,185)</v>
      </c>
    </row>
    <row r="175" spans="1:16" hidden="1" x14ac:dyDescent="0.2">
      <c r="A175" s="4">
        <f t="shared" si="32"/>
        <v>173</v>
      </c>
      <c r="B175" s="4"/>
      <c r="C175" s="7">
        <f t="shared" si="33"/>
        <v>45403</v>
      </c>
      <c r="D175" s="11" t="str">
        <f t="shared" si="27"/>
        <v>{2024-04-21},</v>
      </c>
      <c r="E175" s="17">
        <f>COUNTIFS(Sheet1!$C:$C,Feuil1!E$1,Sheet1!$D:$D,Feuil1!$C175)</f>
        <v>0</v>
      </c>
      <c r="F175" s="6">
        <f t="shared" si="34"/>
        <v>7</v>
      </c>
      <c r="G175" s="18" t="str">
        <f t="shared" si="28"/>
        <v>(173,7)</v>
      </c>
      <c r="H175" s="17">
        <f>COUNTIFS(Sheet1!$C:$C,Feuil1!H$1,Sheet1!$D:$D,Feuil1!$C175)</f>
        <v>0</v>
      </c>
      <c r="I175" s="6">
        <f t="shared" si="29"/>
        <v>12</v>
      </c>
      <c r="J175" s="18" t="str">
        <f t="shared" si="24"/>
        <v>(173,12)</v>
      </c>
      <c r="K175" s="17">
        <f>COUNTIFS(Sheet1!$C:$C,Feuil1!K$1,Sheet1!$D:$D,Feuil1!$C175)</f>
        <v>0</v>
      </c>
      <c r="L175" s="6">
        <f t="shared" si="30"/>
        <v>4</v>
      </c>
      <c r="M175" s="18" t="str">
        <f t="shared" si="25"/>
        <v>(173,4)</v>
      </c>
      <c r="N175" s="17">
        <f>COUNTIFS(Sheet1!$C:$C,Feuil1!N$1,Sheet1!$D:$D,Feuil1!$C175)</f>
        <v>6</v>
      </c>
      <c r="O175" s="6">
        <f t="shared" si="31"/>
        <v>191</v>
      </c>
      <c r="P175" s="18" t="str">
        <f t="shared" si="26"/>
        <v>(173,191)</v>
      </c>
    </row>
    <row r="176" spans="1:16" hidden="1" x14ac:dyDescent="0.2">
      <c r="A176" s="4">
        <f t="shared" si="32"/>
        <v>174</v>
      </c>
      <c r="B176" s="4"/>
      <c r="C176" s="7">
        <f t="shared" si="33"/>
        <v>45404</v>
      </c>
      <c r="D176" s="11" t="str">
        <f t="shared" si="27"/>
        <v>{2024-04-22},</v>
      </c>
      <c r="E176" s="17">
        <f>COUNTIFS(Sheet1!$C:$C,Feuil1!E$1,Sheet1!$D:$D,Feuil1!$C176)</f>
        <v>0</v>
      </c>
      <c r="F176" s="6">
        <f t="shared" si="34"/>
        <v>7</v>
      </c>
      <c r="G176" s="18" t="str">
        <f t="shared" si="28"/>
        <v>(174,7)</v>
      </c>
      <c r="H176" s="17">
        <f>COUNTIFS(Sheet1!$C:$C,Feuil1!H$1,Sheet1!$D:$D,Feuil1!$C176)</f>
        <v>0</v>
      </c>
      <c r="I176" s="6">
        <f t="shared" si="29"/>
        <v>12</v>
      </c>
      <c r="J176" s="18" t="str">
        <f t="shared" si="24"/>
        <v>(174,12)</v>
      </c>
      <c r="K176" s="17">
        <f>COUNTIFS(Sheet1!$C:$C,Feuil1!K$1,Sheet1!$D:$D,Feuil1!$C176)</f>
        <v>0</v>
      </c>
      <c r="L176" s="6">
        <f t="shared" si="30"/>
        <v>4</v>
      </c>
      <c r="M176" s="18" t="str">
        <f t="shared" si="25"/>
        <v>(174,4)</v>
      </c>
      <c r="N176" s="17">
        <f>COUNTIFS(Sheet1!$C:$C,Feuil1!N$1,Sheet1!$D:$D,Feuil1!$C176)</f>
        <v>1</v>
      </c>
      <c r="O176" s="6">
        <f t="shared" si="31"/>
        <v>192</v>
      </c>
      <c r="P176" s="18" t="str">
        <f t="shared" si="26"/>
        <v>(174,192)</v>
      </c>
    </row>
    <row r="177" spans="1:16" hidden="1" x14ac:dyDescent="0.2">
      <c r="A177" s="4">
        <f t="shared" si="32"/>
        <v>175</v>
      </c>
      <c r="B177" s="4"/>
      <c r="C177" s="7">
        <f t="shared" si="33"/>
        <v>45405</v>
      </c>
      <c r="D177" s="11" t="str">
        <f t="shared" si="27"/>
        <v>{2024-04-23},</v>
      </c>
      <c r="E177" s="17">
        <f>COUNTIFS(Sheet1!$C:$C,Feuil1!E$1,Sheet1!$D:$D,Feuil1!$C177)</f>
        <v>0</v>
      </c>
      <c r="F177" s="6">
        <f t="shared" si="34"/>
        <v>7</v>
      </c>
      <c r="G177" s="18" t="str">
        <f t="shared" si="28"/>
        <v>(175,7)</v>
      </c>
      <c r="H177" s="17">
        <f>COUNTIFS(Sheet1!$C:$C,Feuil1!H$1,Sheet1!$D:$D,Feuil1!$C177)</f>
        <v>0</v>
      </c>
      <c r="I177" s="6">
        <f t="shared" si="29"/>
        <v>12</v>
      </c>
      <c r="J177" s="18" t="str">
        <f t="shared" si="24"/>
        <v>(175,12)</v>
      </c>
      <c r="K177" s="17">
        <f>COUNTIFS(Sheet1!$C:$C,Feuil1!K$1,Sheet1!$D:$D,Feuil1!$C177)</f>
        <v>0</v>
      </c>
      <c r="L177" s="6">
        <f t="shared" si="30"/>
        <v>4</v>
      </c>
      <c r="M177" s="18" t="str">
        <f t="shared" si="25"/>
        <v>(175,4)</v>
      </c>
      <c r="N177" s="17">
        <f>COUNTIFS(Sheet1!$C:$C,Feuil1!N$1,Sheet1!$D:$D,Feuil1!$C177)</f>
        <v>6</v>
      </c>
      <c r="O177" s="6">
        <f t="shared" si="31"/>
        <v>198</v>
      </c>
      <c r="P177" s="18" t="str">
        <f t="shared" si="26"/>
        <v>(175,198)</v>
      </c>
    </row>
    <row r="178" spans="1:16" hidden="1" x14ac:dyDescent="0.2">
      <c r="A178" s="4">
        <f t="shared" si="32"/>
        <v>176</v>
      </c>
      <c r="B178" s="4"/>
      <c r="C178" s="7">
        <f t="shared" si="33"/>
        <v>45406</v>
      </c>
      <c r="D178" s="11" t="str">
        <f t="shared" si="27"/>
        <v>{2024-04-24},</v>
      </c>
      <c r="E178" s="17">
        <f>COUNTIFS(Sheet1!$C:$C,Feuil1!E$1,Sheet1!$D:$D,Feuil1!$C178)</f>
        <v>0</v>
      </c>
      <c r="F178" s="6">
        <f t="shared" si="34"/>
        <v>7</v>
      </c>
      <c r="G178" s="18" t="str">
        <f t="shared" si="28"/>
        <v>(176,7)</v>
      </c>
      <c r="H178" s="17">
        <f>COUNTIFS(Sheet1!$C:$C,Feuil1!H$1,Sheet1!$D:$D,Feuil1!$C178)</f>
        <v>0</v>
      </c>
      <c r="I178" s="6">
        <f t="shared" si="29"/>
        <v>12</v>
      </c>
      <c r="J178" s="18" t="str">
        <f t="shared" si="24"/>
        <v>(176,12)</v>
      </c>
      <c r="K178" s="17">
        <f>COUNTIFS(Sheet1!$C:$C,Feuil1!K$1,Sheet1!$D:$D,Feuil1!$C178)</f>
        <v>0</v>
      </c>
      <c r="L178" s="6">
        <f t="shared" si="30"/>
        <v>4</v>
      </c>
      <c r="M178" s="18" t="str">
        <f t="shared" si="25"/>
        <v>(176,4)</v>
      </c>
      <c r="N178" s="17">
        <f>COUNTIFS(Sheet1!$C:$C,Feuil1!N$1,Sheet1!$D:$D,Feuil1!$C178)</f>
        <v>3</v>
      </c>
      <c r="O178" s="6">
        <f t="shared" si="31"/>
        <v>201</v>
      </c>
      <c r="P178" s="18" t="str">
        <f t="shared" si="26"/>
        <v>(176,201)</v>
      </c>
    </row>
    <row r="179" spans="1:16" hidden="1" x14ac:dyDescent="0.2">
      <c r="A179" s="4">
        <f t="shared" si="32"/>
        <v>177</v>
      </c>
      <c r="B179" s="4"/>
      <c r="C179" s="7">
        <f t="shared" si="33"/>
        <v>45407</v>
      </c>
      <c r="D179" s="11" t="str">
        <f t="shared" si="27"/>
        <v>{2024-04-25},</v>
      </c>
      <c r="E179" s="17">
        <f>COUNTIFS(Sheet1!$C:$C,Feuil1!E$1,Sheet1!$D:$D,Feuil1!$C179)</f>
        <v>0</v>
      </c>
      <c r="F179" s="6">
        <f t="shared" si="34"/>
        <v>7</v>
      </c>
      <c r="G179" s="18" t="str">
        <f t="shared" si="28"/>
        <v>(177,7)</v>
      </c>
      <c r="H179" s="17">
        <f>COUNTIFS(Sheet1!$C:$C,Feuil1!H$1,Sheet1!$D:$D,Feuil1!$C179)</f>
        <v>0</v>
      </c>
      <c r="I179" s="6">
        <f t="shared" si="29"/>
        <v>12</v>
      </c>
      <c r="J179" s="18" t="str">
        <f t="shared" si="24"/>
        <v>(177,12)</v>
      </c>
      <c r="K179" s="17">
        <f>COUNTIFS(Sheet1!$C:$C,Feuil1!K$1,Sheet1!$D:$D,Feuil1!$C179)</f>
        <v>0</v>
      </c>
      <c r="L179" s="6">
        <f t="shared" si="30"/>
        <v>4</v>
      </c>
      <c r="M179" s="18" t="str">
        <f t="shared" si="25"/>
        <v>(177,4)</v>
      </c>
      <c r="N179" s="17">
        <f>COUNTIFS(Sheet1!$C:$C,Feuil1!N$1,Sheet1!$D:$D,Feuil1!$C179)</f>
        <v>3</v>
      </c>
      <c r="O179" s="6">
        <f t="shared" si="31"/>
        <v>204</v>
      </c>
      <c r="P179" s="18" t="str">
        <f t="shared" si="26"/>
        <v>(177,204)</v>
      </c>
    </row>
    <row r="180" spans="1:16" hidden="1" x14ac:dyDescent="0.2">
      <c r="A180" s="4">
        <f t="shared" si="32"/>
        <v>178</v>
      </c>
      <c r="B180" s="4"/>
      <c r="C180" s="7">
        <f t="shared" si="33"/>
        <v>45408</v>
      </c>
      <c r="D180" s="11" t="str">
        <f t="shared" si="27"/>
        <v>{2024-04-26},</v>
      </c>
      <c r="E180" s="17">
        <f>COUNTIFS(Sheet1!$C:$C,Feuil1!E$1,Sheet1!$D:$D,Feuil1!$C180)</f>
        <v>0</v>
      </c>
      <c r="F180" s="6">
        <f t="shared" si="34"/>
        <v>7</v>
      </c>
      <c r="G180" s="18" t="str">
        <f t="shared" si="28"/>
        <v>(178,7)</v>
      </c>
      <c r="H180" s="17">
        <f>COUNTIFS(Sheet1!$C:$C,Feuil1!H$1,Sheet1!$D:$D,Feuil1!$C180)</f>
        <v>0</v>
      </c>
      <c r="I180" s="6">
        <f t="shared" si="29"/>
        <v>12</v>
      </c>
      <c r="J180" s="18" t="str">
        <f t="shared" si="24"/>
        <v>(178,12)</v>
      </c>
      <c r="K180" s="17">
        <f>COUNTIFS(Sheet1!$C:$C,Feuil1!K$1,Sheet1!$D:$D,Feuil1!$C180)</f>
        <v>0</v>
      </c>
      <c r="L180" s="6">
        <f t="shared" si="30"/>
        <v>4</v>
      </c>
      <c r="M180" s="18" t="str">
        <f t="shared" si="25"/>
        <v>(178,4)</v>
      </c>
      <c r="N180" s="17">
        <f>COUNTIFS(Sheet1!$C:$C,Feuil1!N$1,Sheet1!$D:$D,Feuil1!$C180)</f>
        <v>3</v>
      </c>
      <c r="O180" s="6">
        <f t="shared" si="31"/>
        <v>207</v>
      </c>
      <c r="P180" s="18" t="str">
        <f t="shared" si="26"/>
        <v>(178,207)</v>
      </c>
    </row>
    <row r="181" spans="1:16" hidden="1" x14ac:dyDescent="0.2">
      <c r="A181" s="4">
        <f t="shared" si="32"/>
        <v>179</v>
      </c>
      <c r="B181" s="4"/>
      <c r="C181" s="7">
        <f t="shared" si="33"/>
        <v>45409</v>
      </c>
      <c r="D181" s="11" t="str">
        <f t="shared" si="27"/>
        <v>{2024-04-27},</v>
      </c>
      <c r="E181" s="17">
        <f>COUNTIFS(Sheet1!$C:$C,Feuil1!E$1,Sheet1!$D:$D,Feuil1!$C181)</f>
        <v>0</v>
      </c>
      <c r="F181" s="6">
        <f t="shared" si="34"/>
        <v>7</v>
      </c>
      <c r="G181" s="18" t="str">
        <f t="shared" si="28"/>
        <v>(179,7)</v>
      </c>
      <c r="H181" s="17">
        <f>COUNTIFS(Sheet1!$C:$C,Feuil1!H$1,Sheet1!$D:$D,Feuil1!$C181)</f>
        <v>0</v>
      </c>
      <c r="I181" s="6">
        <f t="shared" si="29"/>
        <v>12</v>
      </c>
      <c r="J181" s="18" t="str">
        <f t="shared" si="24"/>
        <v>(179,12)</v>
      </c>
      <c r="K181" s="17">
        <f>COUNTIFS(Sheet1!$C:$C,Feuil1!K$1,Sheet1!$D:$D,Feuil1!$C181)</f>
        <v>0</v>
      </c>
      <c r="L181" s="6">
        <f t="shared" si="30"/>
        <v>4</v>
      </c>
      <c r="M181" s="18" t="str">
        <f t="shared" si="25"/>
        <v>(179,4)</v>
      </c>
      <c r="N181" s="17">
        <f>COUNTIFS(Sheet1!$C:$C,Feuil1!N$1,Sheet1!$D:$D,Feuil1!$C181)</f>
        <v>3</v>
      </c>
      <c r="O181" s="6">
        <f t="shared" si="31"/>
        <v>210</v>
      </c>
      <c r="P181" s="18" t="str">
        <f t="shared" si="26"/>
        <v>(179,210)</v>
      </c>
    </row>
    <row r="182" spans="1:16" hidden="1" x14ac:dyDescent="0.2">
      <c r="A182" s="4">
        <f t="shared" si="32"/>
        <v>180</v>
      </c>
      <c r="B182" s="4"/>
      <c r="C182" s="7">
        <f t="shared" si="33"/>
        <v>45410</v>
      </c>
      <c r="D182" s="11" t="str">
        <f t="shared" si="27"/>
        <v>{2024-04-28},</v>
      </c>
      <c r="E182" s="17">
        <f>COUNTIFS(Sheet1!$C:$C,Feuil1!E$1,Sheet1!$D:$D,Feuil1!$C182)</f>
        <v>0</v>
      </c>
      <c r="F182" s="6">
        <f t="shared" si="34"/>
        <v>7</v>
      </c>
      <c r="G182" s="18" t="str">
        <f t="shared" si="28"/>
        <v>(180,7)</v>
      </c>
      <c r="H182" s="17">
        <f>COUNTIFS(Sheet1!$C:$C,Feuil1!H$1,Sheet1!$D:$D,Feuil1!$C182)</f>
        <v>0</v>
      </c>
      <c r="I182" s="6">
        <f t="shared" si="29"/>
        <v>12</v>
      </c>
      <c r="J182" s="18" t="str">
        <f t="shared" si="24"/>
        <v>(180,12)</v>
      </c>
      <c r="K182" s="17">
        <f>COUNTIFS(Sheet1!$C:$C,Feuil1!K$1,Sheet1!$D:$D,Feuil1!$C182)</f>
        <v>0</v>
      </c>
      <c r="L182" s="6">
        <f t="shared" si="30"/>
        <v>4</v>
      </c>
      <c r="M182" s="18" t="str">
        <f t="shared" si="25"/>
        <v>(180,4)</v>
      </c>
      <c r="N182" s="17">
        <f>COUNTIFS(Sheet1!$C:$C,Feuil1!N$1,Sheet1!$D:$D,Feuil1!$C182)</f>
        <v>3</v>
      </c>
      <c r="O182" s="6">
        <f t="shared" si="31"/>
        <v>213</v>
      </c>
      <c r="P182" s="18" t="str">
        <f t="shared" si="26"/>
        <v>(180,213)</v>
      </c>
    </row>
    <row r="183" spans="1:16" hidden="1" x14ac:dyDescent="0.2">
      <c r="A183" s="4">
        <f t="shared" si="32"/>
        <v>181</v>
      </c>
      <c r="B183" s="4"/>
      <c r="C183" s="7">
        <f t="shared" si="33"/>
        <v>45411</v>
      </c>
      <c r="D183" s="11" t="str">
        <f t="shared" si="27"/>
        <v>{2024-04-29},</v>
      </c>
      <c r="E183" s="17">
        <f>COUNTIFS(Sheet1!$C:$C,Feuil1!E$1,Sheet1!$D:$D,Feuil1!$C183)</f>
        <v>0</v>
      </c>
      <c r="F183" s="6">
        <f t="shared" si="34"/>
        <v>7</v>
      </c>
      <c r="G183" s="18" t="str">
        <f t="shared" si="28"/>
        <v>(181,7)</v>
      </c>
      <c r="H183" s="17">
        <f>COUNTIFS(Sheet1!$C:$C,Feuil1!H$1,Sheet1!$D:$D,Feuil1!$C183)</f>
        <v>0</v>
      </c>
      <c r="I183" s="6">
        <f t="shared" si="29"/>
        <v>12</v>
      </c>
      <c r="J183" s="18" t="str">
        <f t="shared" si="24"/>
        <v>(181,12)</v>
      </c>
      <c r="K183" s="17">
        <f>COUNTIFS(Sheet1!$C:$C,Feuil1!K$1,Sheet1!$D:$D,Feuil1!$C183)</f>
        <v>0</v>
      </c>
      <c r="L183" s="6">
        <f t="shared" si="30"/>
        <v>4</v>
      </c>
      <c r="M183" s="18" t="str">
        <f t="shared" si="25"/>
        <v>(181,4)</v>
      </c>
      <c r="N183" s="17">
        <f>COUNTIFS(Sheet1!$C:$C,Feuil1!N$1,Sheet1!$D:$D,Feuil1!$C183)</f>
        <v>3</v>
      </c>
      <c r="O183" s="6">
        <f t="shared" si="31"/>
        <v>216</v>
      </c>
      <c r="P183" s="18" t="str">
        <f t="shared" si="26"/>
        <v>(181,216)</v>
      </c>
    </row>
    <row r="184" spans="1:16" hidden="1" x14ac:dyDescent="0.2">
      <c r="A184" s="4">
        <f t="shared" si="32"/>
        <v>182</v>
      </c>
      <c r="B184" s="4"/>
      <c r="C184" s="7">
        <f t="shared" si="33"/>
        <v>45412</v>
      </c>
      <c r="D184" s="11" t="str">
        <f t="shared" si="27"/>
        <v>{2024-04-30},</v>
      </c>
      <c r="E184" s="17">
        <f>COUNTIFS(Sheet1!$C:$C,Feuil1!E$1,Sheet1!$D:$D,Feuil1!$C184)</f>
        <v>0</v>
      </c>
      <c r="F184" s="6">
        <f t="shared" si="34"/>
        <v>7</v>
      </c>
      <c r="G184" s="18" t="str">
        <f t="shared" si="28"/>
        <v>(182,7)</v>
      </c>
      <c r="H184" s="17">
        <f>COUNTIFS(Sheet1!$C:$C,Feuil1!H$1,Sheet1!$D:$D,Feuil1!$C184)</f>
        <v>0</v>
      </c>
      <c r="I184" s="6">
        <f t="shared" si="29"/>
        <v>12</v>
      </c>
      <c r="J184" s="18" t="str">
        <f t="shared" si="24"/>
        <v>(182,12)</v>
      </c>
      <c r="K184" s="17">
        <f>COUNTIFS(Sheet1!$C:$C,Feuil1!K$1,Sheet1!$D:$D,Feuil1!$C184)</f>
        <v>0</v>
      </c>
      <c r="L184" s="6">
        <f t="shared" si="30"/>
        <v>4</v>
      </c>
      <c r="M184" s="18" t="str">
        <f t="shared" si="25"/>
        <v>(182,4)</v>
      </c>
      <c r="N184" s="17">
        <f>COUNTIFS(Sheet1!$C:$C,Feuil1!N$1,Sheet1!$D:$D,Feuil1!$C184)</f>
        <v>3</v>
      </c>
      <c r="O184" s="6">
        <f t="shared" si="31"/>
        <v>219</v>
      </c>
      <c r="P184" s="18" t="str">
        <f t="shared" si="26"/>
        <v>(182,219)</v>
      </c>
    </row>
    <row r="185" spans="1:16" hidden="1" x14ac:dyDescent="0.2">
      <c r="A185" s="4">
        <f t="shared" si="32"/>
        <v>183</v>
      </c>
      <c r="B185" s="4"/>
      <c r="C185" s="5">
        <f t="shared" si="33"/>
        <v>45413</v>
      </c>
      <c r="D185" s="11" t="str">
        <f t="shared" si="27"/>
        <v>{2024-05-01},</v>
      </c>
      <c r="E185" s="17">
        <f>COUNTIFS(Sheet1!$C:$C,Feuil1!E$1,Sheet1!$D:$D,Feuil1!$C185)</f>
        <v>0</v>
      </c>
      <c r="F185" s="6">
        <f t="shared" si="34"/>
        <v>7</v>
      </c>
      <c r="G185" s="18" t="str">
        <f t="shared" si="28"/>
        <v>(183,7)</v>
      </c>
      <c r="H185" s="17">
        <f>COUNTIFS(Sheet1!$C:$C,Feuil1!H$1,Sheet1!$D:$D,Feuil1!$C185)</f>
        <v>0</v>
      </c>
      <c r="I185" s="6">
        <f t="shared" si="29"/>
        <v>12</v>
      </c>
      <c r="J185" s="18" t="str">
        <f t="shared" si="24"/>
        <v>(183,12)</v>
      </c>
      <c r="K185" s="17">
        <f>COUNTIFS(Sheet1!$C:$C,Feuil1!K$1,Sheet1!$D:$D,Feuil1!$C185)</f>
        <v>0</v>
      </c>
      <c r="L185" s="6">
        <f t="shared" si="30"/>
        <v>4</v>
      </c>
      <c r="M185" s="18" t="str">
        <f t="shared" si="25"/>
        <v>(183,4)</v>
      </c>
      <c r="N185" s="17">
        <f>COUNTIFS(Sheet1!$C:$C,Feuil1!N$1,Sheet1!$D:$D,Feuil1!$C185)</f>
        <v>3</v>
      </c>
      <c r="O185" s="6">
        <f t="shared" si="31"/>
        <v>222</v>
      </c>
      <c r="P185" s="18" t="str">
        <f t="shared" si="26"/>
        <v>(183,222)</v>
      </c>
    </row>
    <row r="186" spans="1:16" hidden="1" x14ac:dyDescent="0.2">
      <c r="A186" s="4">
        <f t="shared" si="32"/>
        <v>184</v>
      </c>
      <c r="B186" s="4"/>
      <c r="C186" s="7">
        <f t="shared" si="33"/>
        <v>45414</v>
      </c>
      <c r="D186" s="11" t="str">
        <f t="shared" si="27"/>
        <v>{2024-05-02},</v>
      </c>
      <c r="E186" s="17">
        <f>COUNTIFS(Sheet1!$C:$C,Feuil1!E$1,Sheet1!$D:$D,Feuil1!$C186)</f>
        <v>0</v>
      </c>
      <c r="F186" s="6">
        <f t="shared" si="34"/>
        <v>7</v>
      </c>
      <c r="G186" s="18" t="str">
        <f t="shared" si="28"/>
        <v>(184,7)</v>
      </c>
      <c r="H186" s="17">
        <f>COUNTIFS(Sheet1!$C:$C,Feuil1!H$1,Sheet1!$D:$D,Feuil1!$C186)</f>
        <v>0</v>
      </c>
      <c r="I186" s="6">
        <f t="shared" si="29"/>
        <v>12</v>
      </c>
      <c r="J186" s="18" t="str">
        <f t="shared" si="24"/>
        <v>(184,12)</v>
      </c>
      <c r="K186" s="17">
        <f>COUNTIFS(Sheet1!$C:$C,Feuil1!K$1,Sheet1!$D:$D,Feuil1!$C186)</f>
        <v>0</v>
      </c>
      <c r="L186" s="6">
        <f t="shared" si="30"/>
        <v>4</v>
      </c>
      <c r="M186" s="18" t="str">
        <f t="shared" si="25"/>
        <v>(184,4)</v>
      </c>
      <c r="N186" s="17">
        <f>COUNTIFS(Sheet1!$C:$C,Feuil1!N$1,Sheet1!$D:$D,Feuil1!$C186)</f>
        <v>4</v>
      </c>
      <c r="O186" s="6">
        <f t="shared" si="31"/>
        <v>226</v>
      </c>
      <c r="P186" s="18" t="str">
        <f t="shared" si="26"/>
        <v>(184,226)</v>
      </c>
    </row>
    <row r="187" spans="1:16" hidden="1" x14ac:dyDescent="0.2">
      <c r="A187" s="4">
        <f t="shared" si="32"/>
        <v>185</v>
      </c>
      <c r="B187" s="4"/>
      <c r="C187" s="7">
        <f t="shared" si="33"/>
        <v>45415</v>
      </c>
      <c r="D187" s="11" t="str">
        <f t="shared" si="27"/>
        <v>{2024-05-03},</v>
      </c>
      <c r="E187" s="17">
        <f>COUNTIFS(Sheet1!$C:$C,Feuil1!E$1,Sheet1!$D:$D,Feuil1!$C187)</f>
        <v>0</v>
      </c>
      <c r="F187" s="6">
        <f t="shared" si="34"/>
        <v>7</v>
      </c>
      <c r="G187" s="18" t="str">
        <f t="shared" si="28"/>
        <v>(185,7)</v>
      </c>
      <c r="H187" s="17">
        <f>COUNTIFS(Sheet1!$C:$C,Feuil1!H$1,Sheet1!$D:$D,Feuil1!$C187)</f>
        <v>0</v>
      </c>
      <c r="I187" s="6">
        <f t="shared" si="29"/>
        <v>12</v>
      </c>
      <c r="J187" s="18" t="str">
        <f t="shared" si="24"/>
        <v>(185,12)</v>
      </c>
      <c r="K187" s="17">
        <f>COUNTIFS(Sheet1!$C:$C,Feuil1!K$1,Sheet1!$D:$D,Feuil1!$C187)</f>
        <v>0</v>
      </c>
      <c r="L187" s="6">
        <f t="shared" si="30"/>
        <v>4</v>
      </c>
      <c r="M187" s="18" t="str">
        <f t="shared" si="25"/>
        <v>(185,4)</v>
      </c>
      <c r="N187" s="17">
        <f>COUNTIFS(Sheet1!$C:$C,Feuil1!N$1,Sheet1!$D:$D,Feuil1!$C187)</f>
        <v>4</v>
      </c>
      <c r="O187" s="6">
        <f t="shared" si="31"/>
        <v>230</v>
      </c>
      <c r="P187" s="18" t="str">
        <f t="shared" si="26"/>
        <v>(185,230)</v>
      </c>
    </row>
    <row r="188" spans="1:16" hidden="1" x14ac:dyDescent="0.2">
      <c r="A188" s="4">
        <f t="shared" si="32"/>
        <v>186</v>
      </c>
      <c r="B188" s="4"/>
      <c r="C188" s="7">
        <f t="shared" si="33"/>
        <v>45416</v>
      </c>
      <c r="D188" s="11" t="str">
        <f t="shared" si="27"/>
        <v>{2024-05-04},</v>
      </c>
      <c r="E188" s="17">
        <f>COUNTIFS(Sheet1!$C:$C,Feuil1!E$1,Sheet1!$D:$D,Feuil1!$C188)</f>
        <v>0</v>
      </c>
      <c r="F188" s="6">
        <f t="shared" si="34"/>
        <v>7</v>
      </c>
      <c r="G188" s="18" t="str">
        <f t="shared" si="28"/>
        <v>(186,7)</v>
      </c>
      <c r="H188" s="17">
        <f>COUNTIFS(Sheet1!$C:$C,Feuil1!H$1,Sheet1!$D:$D,Feuil1!$C188)</f>
        <v>0</v>
      </c>
      <c r="I188" s="6">
        <f t="shared" si="29"/>
        <v>12</v>
      </c>
      <c r="J188" s="18" t="str">
        <f t="shared" si="24"/>
        <v>(186,12)</v>
      </c>
      <c r="K188" s="17">
        <f>COUNTIFS(Sheet1!$C:$C,Feuil1!K$1,Sheet1!$D:$D,Feuil1!$C188)</f>
        <v>0</v>
      </c>
      <c r="L188" s="6">
        <f t="shared" si="30"/>
        <v>4</v>
      </c>
      <c r="M188" s="18" t="str">
        <f t="shared" si="25"/>
        <v>(186,4)</v>
      </c>
      <c r="N188" s="17">
        <f>COUNTIFS(Sheet1!$C:$C,Feuil1!N$1,Sheet1!$D:$D,Feuil1!$C188)</f>
        <v>1</v>
      </c>
      <c r="O188" s="6">
        <f t="shared" si="31"/>
        <v>231</v>
      </c>
      <c r="P188" s="18" t="str">
        <f t="shared" si="26"/>
        <v>(186,231)</v>
      </c>
    </row>
    <row r="189" spans="1:16" hidden="1" x14ac:dyDescent="0.2">
      <c r="A189" s="4">
        <f t="shared" si="32"/>
        <v>187</v>
      </c>
      <c r="B189" s="4"/>
      <c r="C189" s="7">
        <f t="shared" si="33"/>
        <v>45417</v>
      </c>
      <c r="D189" s="11" t="str">
        <f t="shared" si="27"/>
        <v>{2024-05-05},</v>
      </c>
      <c r="E189" s="17">
        <f>COUNTIFS(Sheet1!$C:$C,Feuil1!E$1,Sheet1!$D:$D,Feuil1!$C189)</f>
        <v>0</v>
      </c>
      <c r="F189" s="6">
        <f t="shared" si="34"/>
        <v>7</v>
      </c>
      <c r="G189" s="18" t="str">
        <f t="shared" si="28"/>
        <v>(187,7)</v>
      </c>
      <c r="H189" s="17">
        <f>COUNTIFS(Sheet1!$C:$C,Feuil1!H$1,Sheet1!$D:$D,Feuil1!$C189)</f>
        <v>0</v>
      </c>
      <c r="I189" s="6">
        <f t="shared" si="29"/>
        <v>12</v>
      </c>
      <c r="J189" s="18" t="str">
        <f t="shared" si="24"/>
        <v>(187,12)</v>
      </c>
      <c r="K189" s="17">
        <f>COUNTIFS(Sheet1!$C:$C,Feuil1!K$1,Sheet1!$D:$D,Feuil1!$C189)</f>
        <v>0</v>
      </c>
      <c r="L189" s="6">
        <f t="shared" si="30"/>
        <v>4</v>
      </c>
      <c r="M189" s="18" t="str">
        <f t="shared" si="25"/>
        <v>(187,4)</v>
      </c>
      <c r="N189" s="17">
        <f>COUNTIFS(Sheet1!$C:$C,Feuil1!N$1,Sheet1!$D:$D,Feuil1!$C189)</f>
        <v>2</v>
      </c>
      <c r="O189" s="6">
        <f t="shared" si="31"/>
        <v>233</v>
      </c>
      <c r="P189" s="18" t="str">
        <f t="shared" si="26"/>
        <v>(187,233)</v>
      </c>
    </row>
    <row r="190" spans="1:16" hidden="1" x14ac:dyDescent="0.2">
      <c r="A190" s="4">
        <f t="shared" si="32"/>
        <v>188</v>
      </c>
      <c r="B190" s="4"/>
      <c r="C190" s="7">
        <f t="shared" si="33"/>
        <v>45418</v>
      </c>
      <c r="D190" s="11" t="str">
        <f t="shared" si="27"/>
        <v>{2024-05-06},</v>
      </c>
      <c r="E190" s="17">
        <f>COUNTIFS(Sheet1!$C:$C,Feuil1!E$1,Sheet1!$D:$D,Feuil1!$C190)</f>
        <v>0</v>
      </c>
      <c r="F190" s="6">
        <f t="shared" si="34"/>
        <v>7</v>
      </c>
      <c r="G190" s="18" t="str">
        <f t="shared" si="28"/>
        <v>(188,7)</v>
      </c>
      <c r="H190" s="17">
        <f>COUNTIFS(Sheet1!$C:$C,Feuil1!H$1,Sheet1!$D:$D,Feuil1!$C190)</f>
        <v>0</v>
      </c>
      <c r="I190" s="6">
        <f t="shared" si="29"/>
        <v>12</v>
      </c>
      <c r="J190" s="18" t="str">
        <f t="shared" si="24"/>
        <v>(188,12)</v>
      </c>
      <c r="K190" s="17">
        <f>COUNTIFS(Sheet1!$C:$C,Feuil1!K$1,Sheet1!$D:$D,Feuil1!$C190)</f>
        <v>0</v>
      </c>
      <c r="L190" s="6">
        <f t="shared" si="30"/>
        <v>4</v>
      </c>
      <c r="M190" s="18" t="str">
        <f t="shared" si="25"/>
        <v>(188,4)</v>
      </c>
      <c r="N190" s="17">
        <f>COUNTIFS(Sheet1!$C:$C,Feuil1!N$1,Sheet1!$D:$D,Feuil1!$C190)</f>
        <v>3</v>
      </c>
      <c r="O190" s="6">
        <f t="shared" si="31"/>
        <v>236</v>
      </c>
      <c r="P190" s="18" t="str">
        <f t="shared" si="26"/>
        <v>(188,236)</v>
      </c>
    </row>
    <row r="191" spans="1:16" hidden="1" x14ac:dyDescent="0.2">
      <c r="A191" s="4">
        <f t="shared" si="32"/>
        <v>189</v>
      </c>
      <c r="B191" s="4"/>
      <c r="C191" s="7">
        <f t="shared" si="33"/>
        <v>45419</v>
      </c>
      <c r="D191" s="11" t="str">
        <f t="shared" si="27"/>
        <v>{2024-05-07},</v>
      </c>
      <c r="E191" s="17">
        <f>COUNTIFS(Sheet1!$C:$C,Feuil1!E$1,Sheet1!$D:$D,Feuil1!$C191)</f>
        <v>0</v>
      </c>
      <c r="F191" s="6">
        <f t="shared" si="34"/>
        <v>7</v>
      </c>
      <c r="G191" s="18" t="str">
        <f t="shared" si="28"/>
        <v>(189,7)</v>
      </c>
      <c r="H191" s="17">
        <f>COUNTIFS(Sheet1!$C:$C,Feuil1!H$1,Sheet1!$D:$D,Feuil1!$C191)</f>
        <v>0</v>
      </c>
      <c r="I191" s="6">
        <f t="shared" si="29"/>
        <v>12</v>
      </c>
      <c r="J191" s="18" t="str">
        <f t="shared" si="24"/>
        <v>(189,12)</v>
      </c>
      <c r="K191" s="17">
        <f>COUNTIFS(Sheet1!$C:$C,Feuil1!K$1,Sheet1!$D:$D,Feuil1!$C191)</f>
        <v>0</v>
      </c>
      <c r="L191" s="6">
        <f t="shared" si="30"/>
        <v>4</v>
      </c>
      <c r="M191" s="18" t="str">
        <f t="shared" si="25"/>
        <v>(189,4)</v>
      </c>
      <c r="N191" s="17">
        <f>COUNTIFS(Sheet1!$C:$C,Feuil1!N$1,Sheet1!$D:$D,Feuil1!$C191)</f>
        <v>3</v>
      </c>
      <c r="O191" s="6">
        <f t="shared" si="31"/>
        <v>239</v>
      </c>
      <c r="P191" s="18" t="str">
        <f t="shared" si="26"/>
        <v>(189,239)</v>
      </c>
    </row>
    <row r="192" spans="1:16" hidden="1" x14ac:dyDescent="0.2">
      <c r="A192" s="4">
        <f t="shared" si="32"/>
        <v>190</v>
      </c>
      <c r="B192" s="4"/>
      <c r="C192" s="7">
        <f t="shared" si="33"/>
        <v>45420</v>
      </c>
      <c r="D192" s="11" t="str">
        <f t="shared" si="27"/>
        <v>{2024-05-08},</v>
      </c>
      <c r="E192" s="17">
        <f>COUNTIFS(Sheet1!$C:$C,Feuil1!E$1,Sheet1!$D:$D,Feuil1!$C192)</f>
        <v>0</v>
      </c>
      <c r="F192" s="6">
        <f t="shared" si="34"/>
        <v>7</v>
      </c>
      <c r="G192" s="18" t="str">
        <f t="shared" si="28"/>
        <v>(190,7)</v>
      </c>
      <c r="H192" s="17">
        <f>COUNTIFS(Sheet1!$C:$C,Feuil1!H$1,Sheet1!$D:$D,Feuil1!$C192)</f>
        <v>0</v>
      </c>
      <c r="I192" s="6">
        <f t="shared" si="29"/>
        <v>12</v>
      </c>
      <c r="J192" s="18" t="str">
        <f t="shared" si="24"/>
        <v>(190,12)</v>
      </c>
      <c r="K192" s="17">
        <f>COUNTIFS(Sheet1!$C:$C,Feuil1!K$1,Sheet1!$D:$D,Feuil1!$C192)</f>
        <v>0</v>
      </c>
      <c r="L192" s="6">
        <f t="shared" si="30"/>
        <v>4</v>
      </c>
      <c r="M192" s="18" t="str">
        <f t="shared" si="25"/>
        <v>(190,4)</v>
      </c>
      <c r="N192" s="17">
        <f>COUNTIFS(Sheet1!$C:$C,Feuil1!N$1,Sheet1!$D:$D,Feuil1!$C192)</f>
        <v>4</v>
      </c>
      <c r="O192" s="6">
        <f t="shared" si="31"/>
        <v>243</v>
      </c>
      <c r="P192" s="18" t="str">
        <f t="shared" si="26"/>
        <v>(190,243)</v>
      </c>
    </row>
    <row r="193" spans="1:16" hidden="1" x14ac:dyDescent="0.2">
      <c r="A193" s="4">
        <f t="shared" si="32"/>
        <v>191</v>
      </c>
      <c r="B193" s="4"/>
      <c r="C193" s="7">
        <f t="shared" si="33"/>
        <v>45421</v>
      </c>
      <c r="D193" s="11" t="str">
        <f t="shared" si="27"/>
        <v>{2024-05-09},</v>
      </c>
      <c r="E193" s="17">
        <f>COUNTIFS(Sheet1!$C:$C,Feuil1!E$1,Sheet1!$D:$D,Feuil1!$C193)</f>
        <v>0</v>
      </c>
      <c r="F193" s="6">
        <f t="shared" si="34"/>
        <v>7</v>
      </c>
      <c r="G193" s="18" t="str">
        <f t="shared" si="28"/>
        <v>(191,7)</v>
      </c>
      <c r="H193" s="17">
        <f>COUNTIFS(Sheet1!$C:$C,Feuil1!H$1,Sheet1!$D:$D,Feuil1!$C193)</f>
        <v>0</v>
      </c>
      <c r="I193" s="6">
        <f t="shared" si="29"/>
        <v>12</v>
      </c>
      <c r="J193" s="18" t="str">
        <f t="shared" si="24"/>
        <v>(191,12)</v>
      </c>
      <c r="K193" s="17">
        <f>COUNTIFS(Sheet1!$C:$C,Feuil1!K$1,Sheet1!$D:$D,Feuil1!$C193)</f>
        <v>0</v>
      </c>
      <c r="L193" s="6">
        <f t="shared" si="30"/>
        <v>4</v>
      </c>
      <c r="M193" s="18" t="str">
        <f t="shared" si="25"/>
        <v>(191,4)</v>
      </c>
      <c r="N193" s="17">
        <f>COUNTIFS(Sheet1!$C:$C,Feuil1!N$1,Sheet1!$D:$D,Feuil1!$C193)</f>
        <v>4</v>
      </c>
      <c r="O193" s="6">
        <f t="shared" si="31"/>
        <v>247</v>
      </c>
      <c r="P193" s="18" t="str">
        <f t="shared" si="26"/>
        <v>(191,247)</v>
      </c>
    </row>
    <row r="194" spans="1:16" hidden="1" x14ac:dyDescent="0.2">
      <c r="A194" s="4">
        <f t="shared" si="32"/>
        <v>192</v>
      </c>
      <c r="B194" s="4"/>
      <c r="C194" s="7">
        <f t="shared" si="33"/>
        <v>45422</v>
      </c>
      <c r="D194" s="11" t="str">
        <f t="shared" si="27"/>
        <v>{2024-05-10},</v>
      </c>
      <c r="E194" s="17">
        <f>COUNTIFS(Sheet1!$C:$C,Feuil1!E$1,Sheet1!$D:$D,Feuil1!$C194)</f>
        <v>1</v>
      </c>
      <c r="F194" s="6">
        <f t="shared" si="34"/>
        <v>8</v>
      </c>
      <c r="G194" s="18" t="str">
        <f t="shared" si="28"/>
        <v>(192,8)</v>
      </c>
      <c r="H194" s="17">
        <f>COUNTIFS(Sheet1!$C:$C,Feuil1!H$1,Sheet1!$D:$D,Feuil1!$C194)</f>
        <v>0</v>
      </c>
      <c r="I194" s="6">
        <f t="shared" si="29"/>
        <v>12</v>
      </c>
      <c r="J194" s="18" t="str">
        <f t="shared" si="24"/>
        <v>(192,12)</v>
      </c>
      <c r="K194" s="17">
        <f>COUNTIFS(Sheet1!$C:$C,Feuil1!K$1,Sheet1!$D:$D,Feuil1!$C194)</f>
        <v>1</v>
      </c>
      <c r="L194" s="6">
        <f t="shared" si="30"/>
        <v>5</v>
      </c>
      <c r="M194" s="18" t="str">
        <f t="shared" si="25"/>
        <v>(192,5)</v>
      </c>
      <c r="N194" s="17">
        <f>COUNTIFS(Sheet1!$C:$C,Feuil1!N$1,Sheet1!$D:$D,Feuil1!$C194)</f>
        <v>3</v>
      </c>
      <c r="O194" s="6">
        <f t="shared" si="31"/>
        <v>250</v>
      </c>
      <c r="P194" s="18" t="str">
        <f t="shared" si="26"/>
        <v>(192,250)</v>
      </c>
    </row>
    <row r="195" spans="1:16" hidden="1" x14ac:dyDescent="0.2">
      <c r="A195" s="4">
        <f t="shared" si="32"/>
        <v>193</v>
      </c>
      <c r="B195" s="4"/>
      <c r="C195" s="7">
        <f t="shared" si="33"/>
        <v>45423</v>
      </c>
      <c r="D195" s="11" t="str">
        <f t="shared" si="27"/>
        <v>{2024-05-11},</v>
      </c>
      <c r="E195" s="17">
        <f>COUNTIFS(Sheet1!$C:$C,Feuil1!E$1,Sheet1!$D:$D,Feuil1!$C195)</f>
        <v>0</v>
      </c>
      <c r="F195" s="6">
        <f t="shared" si="34"/>
        <v>8</v>
      </c>
      <c r="G195" s="18" t="str">
        <f t="shared" si="28"/>
        <v>(193,8)</v>
      </c>
      <c r="H195" s="17">
        <f>COUNTIFS(Sheet1!$C:$C,Feuil1!H$1,Sheet1!$D:$D,Feuil1!$C195)</f>
        <v>0</v>
      </c>
      <c r="I195" s="6">
        <f t="shared" si="29"/>
        <v>12</v>
      </c>
      <c r="J195" s="18" t="str">
        <f t="shared" ref="J195:J258" si="35">_xlfn.CONCAT("(",$A195,",",I195,")")</f>
        <v>(193,12)</v>
      </c>
      <c r="K195" s="17">
        <f>COUNTIFS(Sheet1!$C:$C,Feuil1!K$1,Sheet1!$D:$D,Feuil1!$C195)</f>
        <v>0</v>
      </c>
      <c r="L195" s="6">
        <f t="shared" si="30"/>
        <v>5</v>
      </c>
      <c r="M195" s="18" t="str">
        <f t="shared" ref="M195:M258" si="36">_xlfn.CONCAT("(",$A195,",",L195,")")</f>
        <v>(193,5)</v>
      </c>
      <c r="N195" s="17">
        <f>COUNTIFS(Sheet1!$C:$C,Feuil1!N$1,Sheet1!$D:$D,Feuil1!$C195)</f>
        <v>1</v>
      </c>
      <c r="O195" s="6">
        <f t="shared" si="31"/>
        <v>251</v>
      </c>
      <c r="P195" s="18" t="str">
        <f t="shared" ref="P195:P258" si="37">_xlfn.CONCAT("(",$A195,",",O195,")")</f>
        <v>(193,251)</v>
      </c>
    </row>
    <row r="196" spans="1:16" hidden="1" x14ac:dyDescent="0.2">
      <c r="A196" s="4">
        <f t="shared" si="32"/>
        <v>194</v>
      </c>
      <c r="B196" s="4"/>
      <c r="C196" s="7">
        <f t="shared" si="33"/>
        <v>45424</v>
      </c>
      <c r="D196" s="11" t="str">
        <f t="shared" ref="D196:D259" si="38">_xlfn.CONCAT("{",TEXT(C196,"aaaa-mm-dd"),"},")</f>
        <v>{2024-05-12},</v>
      </c>
      <c r="E196" s="17">
        <f>COUNTIFS(Sheet1!$C:$C,Feuil1!E$1,Sheet1!$D:$D,Feuil1!$C196)</f>
        <v>0</v>
      </c>
      <c r="F196" s="6">
        <f t="shared" si="34"/>
        <v>8</v>
      </c>
      <c r="G196" s="18" t="str">
        <f t="shared" ref="G196:G259" si="39">_xlfn.CONCAT("(",$A196,",",F196,")")</f>
        <v>(194,8)</v>
      </c>
      <c r="H196" s="17">
        <f>COUNTIFS(Sheet1!$C:$C,Feuil1!H$1,Sheet1!$D:$D,Feuil1!$C196)</f>
        <v>0</v>
      </c>
      <c r="I196" s="6">
        <f t="shared" ref="I196:I259" si="40">I195+H196</f>
        <v>12</v>
      </c>
      <c r="J196" s="18" t="str">
        <f t="shared" si="35"/>
        <v>(194,12)</v>
      </c>
      <c r="K196" s="17">
        <f>COUNTIFS(Sheet1!$C:$C,Feuil1!K$1,Sheet1!$D:$D,Feuil1!$C196)</f>
        <v>0</v>
      </c>
      <c r="L196" s="6">
        <f t="shared" ref="L196:L259" si="41">L195+K196</f>
        <v>5</v>
      </c>
      <c r="M196" s="18" t="str">
        <f t="shared" si="36"/>
        <v>(194,5)</v>
      </c>
      <c r="N196" s="17">
        <f>COUNTIFS(Sheet1!$C:$C,Feuil1!N$1,Sheet1!$D:$D,Feuil1!$C196)</f>
        <v>2</v>
      </c>
      <c r="O196" s="6">
        <f t="shared" ref="O196:O259" si="42">O195+N196</f>
        <v>253</v>
      </c>
      <c r="P196" s="18" t="str">
        <f t="shared" si="37"/>
        <v>(194,253)</v>
      </c>
    </row>
    <row r="197" spans="1:16" hidden="1" x14ac:dyDescent="0.2">
      <c r="A197" s="4">
        <f t="shared" ref="A197:A260" si="43">A196+1</f>
        <v>195</v>
      </c>
      <c r="B197" s="4"/>
      <c r="C197" s="7">
        <f t="shared" ref="C197:C260" si="44">C196+1</f>
        <v>45425</v>
      </c>
      <c r="D197" s="11" t="str">
        <f t="shared" si="38"/>
        <v>{2024-05-13},</v>
      </c>
      <c r="E197" s="17">
        <f>COUNTIFS(Sheet1!$C:$C,Feuil1!E$1,Sheet1!$D:$D,Feuil1!$C197)</f>
        <v>0</v>
      </c>
      <c r="F197" s="6">
        <f t="shared" ref="F197:F260" si="45">F196+E197</f>
        <v>8</v>
      </c>
      <c r="G197" s="18" t="str">
        <f t="shared" si="39"/>
        <v>(195,8)</v>
      </c>
      <c r="H197" s="17">
        <f>COUNTIFS(Sheet1!$C:$C,Feuil1!H$1,Sheet1!$D:$D,Feuil1!$C197)</f>
        <v>0</v>
      </c>
      <c r="I197" s="6">
        <f t="shared" si="40"/>
        <v>12</v>
      </c>
      <c r="J197" s="18" t="str">
        <f t="shared" si="35"/>
        <v>(195,12)</v>
      </c>
      <c r="K197" s="17">
        <f>COUNTIFS(Sheet1!$C:$C,Feuil1!K$1,Sheet1!$D:$D,Feuil1!$C197)</f>
        <v>0</v>
      </c>
      <c r="L197" s="6">
        <f t="shared" si="41"/>
        <v>5</v>
      </c>
      <c r="M197" s="18" t="str">
        <f t="shared" si="36"/>
        <v>(195,5)</v>
      </c>
      <c r="N197" s="17">
        <f>COUNTIFS(Sheet1!$C:$C,Feuil1!N$1,Sheet1!$D:$D,Feuil1!$C197)</f>
        <v>3</v>
      </c>
      <c r="O197" s="6">
        <f t="shared" si="42"/>
        <v>256</v>
      </c>
      <c r="P197" s="18" t="str">
        <f t="shared" si="37"/>
        <v>(195,256)</v>
      </c>
    </row>
    <row r="198" spans="1:16" hidden="1" x14ac:dyDescent="0.2">
      <c r="A198" s="4">
        <f t="shared" si="43"/>
        <v>196</v>
      </c>
      <c r="B198" s="4"/>
      <c r="C198" s="7">
        <f t="shared" si="44"/>
        <v>45426</v>
      </c>
      <c r="D198" s="11" t="str">
        <f t="shared" si="38"/>
        <v>{2024-05-14},</v>
      </c>
      <c r="E198" s="17">
        <f>COUNTIFS(Sheet1!$C:$C,Feuil1!E$1,Sheet1!$D:$D,Feuil1!$C198)</f>
        <v>0</v>
      </c>
      <c r="F198" s="6">
        <f t="shared" si="45"/>
        <v>8</v>
      </c>
      <c r="G198" s="18" t="str">
        <f t="shared" si="39"/>
        <v>(196,8)</v>
      </c>
      <c r="H198" s="17">
        <f>COUNTIFS(Sheet1!$C:$C,Feuil1!H$1,Sheet1!$D:$D,Feuil1!$C198)</f>
        <v>0</v>
      </c>
      <c r="I198" s="6">
        <f t="shared" si="40"/>
        <v>12</v>
      </c>
      <c r="J198" s="18" t="str">
        <f t="shared" si="35"/>
        <v>(196,12)</v>
      </c>
      <c r="K198" s="17">
        <f>COUNTIFS(Sheet1!$C:$C,Feuil1!K$1,Sheet1!$D:$D,Feuil1!$C198)</f>
        <v>0</v>
      </c>
      <c r="L198" s="6">
        <f t="shared" si="41"/>
        <v>5</v>
      </c>
      <c r="M198" s="18" t="str">
        <f t="shared" si="36"/>
        <v>(196,5)</v>
      </c>
      <c r="N198" s="17">
        <f>COUNTIFS(Sheet1!$C:$C,Feuil1!N$1,Sheet1!$D:$D,Feuil1!$C198)</f>
        <v>3</v>
      </c>
      <c r="O198" s="6">
        <f t="shared" si="42"/>
        <v>259</v>
      </c>
      <c r="P198" s="18" t="str">
        <f t="shared" si="37"/>
        <v>(196,259)</v>
      </c>
    </row>
    <row r="199" spans="1:16" hidden="1" x14ac:dyDescent="0.2">
      <c r="A199" s="4">
        <f t="shared" si="43"/>
        <v>197</v>
      </c>
      <c r="B199" s="4"/>
      <c r="C199" s="7">
        <f t="shared" si="44"/>
        <v>45427</v>
      </c>
      <c r="D199" s="11" t="str">
        <f t="shared" si="38"/>
        <v>{2024-05-15},</v>
      </c>
      <c r="E199" s="17">
        <f>COUNTIFS(Sheet1!$C:$C,Feuil1!E$1,Sheet1!$D:$D,Feuil1!$C199)</f>
        <v>0</v>
      </c>
      <c r="F199" s="6">
        <f t="shared" si="45"/>
        <v>8</v>
      </c>
      <c r="G199" s="18" t="str">
        <f t="shared" si="39"/>
        <v>(197,8)</v>
      </c>
      <c r="H199" s="17">
        <f>COUNTIFS(Sheet1!$C:$C,Feuil1!H$1,Sheet1!$D:$D,Feuil1!$C199)</f>
        <v>0</v>
      </c>
      <c r="I199" s="6">
        <f t="shared" si="40"/>
        <v>12</v>
      </c>
      <c r="J199" s="18" t="str">
        <f t="shared" si="35"/>
        <v>(197,12)</v>
      </c>
      <c r="K199" s="17">
        <f>COUNTIFS(Sheet1!$C:$C,Feuil1!K$1,Sheet1!$D:$D,Feuil1!$C199)</f>
        <v>0</v>
      </c>
      <c r="L199" s="6">
        <f t="shared" si="41"/>
        <v>5</v>
      </c>
      <c r="M199" s="18" t="str">
        <f t="shared" si="36"/>
        <v>(197,5)</v>
      </c>
      <c r="N199" s="17">
        <f>COUNTIFS(Sheet1!$C:$C,Feuil1!N$1,Sheet1!$D:$D,Feuil1!$C199)</f>
        <v>3</v>
      </c>
      <c r="O199" s="6">
        <f t="shared" si="42"/>
        <v>262</v>
      </c>
      <c r="P199" s="18" t="str">
        <f t="shared" si="37"/>
        <v>(197,262)</v>
      </c>
    </row>
    <row r="200" spans="1:16" hidden="1" x14ac:dyDescent="0.2">
      <c r="A200" s="4">
        <f t="shared" si="43"/>
        <v>198</v>
      </c>
      <c r="B200" s="4"/>
      <c r="C200" s="7">
        <f t="shared" si="44"/>
        <v>45428</v>
      </c>
      <c r="D200" s="11" t="str">
        <f t="shared" si="38"/>
        <v>{2024-05-16},</v>
      </c>
      <c r="E200" s="17">
        <f>COUNTIFS(Sheet1!$C:$C,Feuil1!E$1,Sheet1!$D:$D,Feuil1!$C200)</f>
        <v>0</v>
      </c>
      <c r="F200" s="6">
        <f t="shared" si="45"/>
        <v>8</v>
      </c>
      <c r="G200" s="18" t="str">
        <f t="shared" si="39"/>
        <v>(198,8)</v>
      </c>
      <c r="H200" s="17">
        <f>COUNTIFS(Sheet1!$C:$C,Feuil1!H$1,Sheet1!$D:$D,Feuil1!$C200)</f>
        <v>0</v>
      </c>
      <c r="I200" s="6">
        <f t="shared" si="40"/>
        <v>12</v>
      </c>
      <c r="J200" s="18" t="str">
        <f t="shared" si="35"/>
        <v>(198,12)</v>
      </c>
      <c r="K200" s="17">
        <f>COUNTIFS(Sheet1!$C:$C,Feuil1!K$1,Sheet1!$D:$D,Feuil1!$C200)</f>
        <v>0</v>
      </c>
      <c r="L200" s="6">
        <f t="shared" si="41"/>
        <v>5</v>
      </c>
      <c r="M200" s="18" t="str">
        <f t="shared" si="36"/>
        <v>(198,5)</v>
      </c>
      <c r="N200" s="17">
        <f>COUNTIFS(Sheet1!$C:$C,Feuil1!N$1,Sheet1!$D:$D,Feuil1!$C200)</f>
        <v>4</v>
      </c>
      <c r="O200" s="6">
        <f t="shared" si="42"/>
        <v>266</v>
      </c>
      <c r="P200" s="18" t="str">
        <f t="shared" si="37"/>
        <v>(198,266)</v>
      </c>
    </row>
    <row r="201" spans="1:16" hidden="1" x14ac:dyDescent="0.2">
      <c r="A201" s="4">
        <f t="shared" si="43"/>
        <v>199</v>
      </c>
      <c r="B201" s="4"/>
      <c r="C201" s="7">
        <f t="shared" si="44"/>
        <v>45429</v>
      </c>
      <c r="D201" s="11" t="str">
        <f t="shared" si="38"/>
        <v>{2024-05-17},</v>
      </c>
      <c r="E201" s="17">
        <f>COUNTIFS(Sheet1!$C:$C,Feuil1!E$1,Sheet1!$D:$D,Feuil1!$C201)</f>
        <v>0</v>
      </c>
      <c r="F201" s="6">
        <f t="shared" si="45"/>
        <v>8</v>
      </c>
      <c r="G201" s="18" t="str">
        <f t="shared" si="39"/>
        <v>(199,8)</v>
      </c>
      <c r="H201" s="17">
        <f>COUNTIFS(Sheet1!$C:$C,Feuil1!H$1,Sheet1!$D:$D,Feuil1!$C201)</f>
        <v>0</v>
      </c>
      <c r="I201" s="6">
        <f t="shared" si="40"/>
        <v>12</v>
      </c>
      <c r="J201" s="18" t="str">
        <f t="shared" si="35"/>
        <v>(199,12)</v>
      </c>
      <c r="K201" s="17">
        <f>COUNTIFS(Sheet1!$C:$C,Feuil1!K$1,Sheet1!$D:$D,Feuil1!$C201)</f>
        <v>0</v>
      </c>
      <c r="L201" s="6">
        <f t="shared" si="41"/>
        <v>5</v>
      </c>
      <c r="M201" s="18" t="str">
        <f t="shared" si="36"/>
        <v>(199,5)</v>
      </c>
      <c r="N201" s="17">
        <f>COUNTIFS(Sheet1!$C:$C,Feuil1!N$1,Sheet1!$D:$D,Feuil1!$C201)</f>
        <v>1</v>
      </c>
      <c r="O201" s="6">
        <f t="shared" si="42"/>
        <v>267</v>
      </c>
      <c r="P201" s="18" t="str">
        <f t="shared" si="37"/>
        <v>(199,267)</v>
      </c>
    </row>
    <row r="202" spans="1:16" hidden="1" x14ac:dyDescent="0.2">
      <c r="A202" s="4">
        <f t="shared" si="43"/>
        <v>200</v>
      </c>
      <c r="B202" s="4"/>
      <c r="C202" s="7">
        <f t="shared" si="44"/>
        <v>45430</v>
      </c>
      <c r="D202" s="11" t="str">
        <f t="shared" si="38"/>
        <v>{2024-05-18},</v>
      </c>
      <c r="E202" s="17">
        <f>COUNTIFS(Sheet1!$C:$C,Feuil1!E$1,Sheet1!$D:$D,Feuil1!$C202)</f>
        <v>0</v>
      </c>
      <c r="F202" s="6">
        <f t="shared" si="45"/>
        <v>8</v>
      </c>
      <c r="G202" s="18" t="str">
        <f t="shared" si="39"/>
        <v>(200,8)</v>
      </c>
      <c r="H202" s="17">
        <f>COUNTIFS(Sheet1!$C:$C,Feuil1!H$1,Sheet1!$D:$D,Feuil1!$C202)</f>
        <v>0</v>
      </c>
      <c r="I202" s="6">
        <f t="shared" si="40"/>
        <v>12</v>
      </c>
      <c r="J202" s="18" t="str">
        <f t="shared" si="35"/>
        <v>(200,12)</v>
      </c>
      <c r="K202" s="17">
        <f>COUNTIFS(Sheet1!$C:$C,Feuil1!K$1,Sheet1!$D:$D,Feuil1!$C202)</f>
        <v>0</v>
      </c>
      <c r="L202" s="6">
        <f t="shared" si="41"/>
        <v>5</v>
      </c>
      <c r="M202" s="18" t="str">
        <f t="shared" si="36"/>
        <v>(200,5)</v>
      </c>
      <c r="N202" s="17">
        <f>COUNTIFS(Sheet1!$C:$C,Feuil1!N$1,Sheet1!$D:$D,Feuil1!$C202)</f>
        <v>5</v>
      </c>
      <c r="O202" s="6">
        <f t="shared" si="42"/>
        <v>272</v>
      </c>
      <c r="P202" s="18" t="str">
        <f t="shared" si="37"/>
        <v>(200,272)</v>
      </c>
    </row>
    <row r="203" spans="1:16" hidden="1" x14ac:dyDescent="0.2">
      <c r="A203" s="4">
        <f t="shared" si="43"/>
        <v>201</v>
      </c>
      <c r="B203" s="4"/>
      <c r="C203" s="7">
        <f t="shared" si="44"/>
        <v>45431</v>
      </c>
      <c r="D203" s="11" t="str">
        <f t="shared" si="38"/>
        <v>{2024-05-19},</v>
      </c>
      <c r="E203" s="17">
        <f>COUNTIFS(Sheet1!$C:$C,Feuil1!E$1,Sheet1!$D:$D,Feuil1!$C203)</f>
        <v>0</v>
      </c>
      <c r="F203" s="6">
        <f t="shared" si="45"/>
        <v>8</v>
      </c>
      <c r="G203" s="18" t="str">
        <f t="shared" si="39"/>
        <v>(201,8)</v>
      </c>
      <c r="H203" s="17">
        <f>COUNTIFS(Sheet1!$C:$C,Feuil1!H$1,Sheet1!$D:$D,Feuil1!$C203)</f>
        <v>0</v>
      </c>
      <c r="I203" s="6">
        <f t="shared" si="40"/>
        <v>12</v>
      </c>
      <c r="J203" s="18" t="str">
        <f t="shared" si="35"/>
        <v>(201,12)</v>
      </c>
      <c r="K203" s="17">
        <f>COUNTIFS(Sheet1!$C:$C,Feuil1!K$1,Sheet1!$D:$D,Feuil1!$C203)</f>
        <v>0</v>
      </c>
      <c r="L203" s="6">
        <f t="shared" si="41"/>
        <v>5</v>
      </c>
      <c r="M203" s="18" t="str">
        <f t="shared" si="36"/>
        <v>(201,5)</v>
      </c>
      <c r="N203" s="17">
        <f>COUNTIFS(Sheet1!$C:$C,Feuil1!N$1,Sheet1!$D:$D,Feuil1!$C203)</f>
        <v>2</v>
      </c>
      <c r="O203" s="6">
        <f t="shared" si="42"/>
        <v>274</v>
      </c>
      <c r="P203" s="18" t="str">
        <f t="shared" si="37"/>
        <v>(201,274)</v>
      </c>
    </row>
    <row r="204" spans="1:16" hidden="1" x14ac:dyDescent="0.2">
      <c r="A204" s="4">
        <f t="shared" si="43"/>
        <v>202</v>
      </c>
      <c r="B204" s="4"/>
      <c r="C204" s="7">
        <f t="shared" si="44"/>
        <v>45432</v>
      </c>
      <c r="D204" s="11" t="str">
        <f t="shared" si="38"/>
        <v>{2024-05-20},</v>
      </c>
      <c r="E204" s="17">
        <f>COUNTIFS(Sheet1!$C:$C,Feuil1!E$1,Sheet1!$D:$D,Feuil1!$C204)</f>
        <v>0</v>
      </c>
      <c r="F204" s="6">
        <f t="shared" si="45"/>
        <v>8</v>
      </c>
      <c r="G204" s="18" t="str">
        <f t="shared" si="39"/>
        <v>(202,8)</v>
      </c>
      <c r="H204" s="17">
        <f>COUNTIFS(Sheet1!$C:$C,Feuil1!H$1,Sheet1!$D:$D,Feuil1!$C204)</f>
        <v>0</v>
      </c>
      <c r="I204" s="6">
        <f t="shared" si="40"/>
        <v>12</v>
      </c>
      <c r="J204" s="18" t="str">
        <f t="shared" si="35"/>
        <v>(202,12)</v>
      </c>
      <c r="K204" s="17">
        <f>COUNTIFS(Sheet1!$C:$C,Feuil1!K$1,Sheet1!$D:$D,Feuil1!$C204)</f>
        <v>0</v>
      </c>
      <c r="L204" s="6">
        <f t="shared" si="41"/>
        <v>5</v>
      </c>
      <c r="M204" s="18" t="str">
        <f t="shared" si="36"/>
        <v>(202,5)</v>
      </c>
      <c r="N204" s="17">
        <f>COUNTIFS(Sheet1!$C:$C,Feuil1!N$1,Sheet1!$D:$D,Feuil1!$C204)</f>
        <v>5</v>
      </c>
      <c r="O204" s="6">
        <f t="shared" si="42"/>
        <v>279</v>
      </c>
      <c r="P204" s="18" t="str">
        <f t="shared" si="37"/>
        <v>(202,279)</v>
      </c>
    </row>
    <row r="205" spans="1:16" hidden="1" x14ac:dyDescent="0.2">
      <c r="A205" s="4">
        <f t="shared" si="43"/>
        <v>203</v>
      </c>
      <c r="B205" s="4"/>
      <c r="C205" s="7">
        <f t="shared" si="44"/>
        <v>45433</v>
      </c>
      <c r="D205" s="11" t="str">
        <f t="shared" si="38"/>
        <v>{2024-05-21},</v>
      </c>
      <c r="E205" s="17">
        <f>COUNTIFS(Sheet1!$C:$C,Feuil1!E$1,Sheet1!$D:$D,Feuil1!$C205)</f>
        <v>0</v>
      </c>
      <c r="F205" s="6">
        <f t="shared" si="45"/>
        <v>8</v>
      </c>
      <c r="G205" s="18" t="str">
        <f t="shared" si="39"/>
        <v>(203,8)</v>
      </c>
      <c r="H205" s="17">
        <f>COUNTIFS(Sheet1!$C:$C,Feuil1!H$1,Sheet1!$D:$D,Feuil1!$C205)</f>
        <v>0</v>
      </c>
      <c r="I205" s="6">
        <f t="shared" si="40"/>
        <v>12</v>
      </c>
      <c r="J205" s="18" t="str">
        <f t="shared" si="35"/>
        <v>(203,12)</v>
      </c>
      <c r="K205" s="17">
        <f>COUNTIFS(Sheet1!$C:$C,Feuil1!K$1,Sheet1!$D:$D,Feuil1!$C205)</f>
        <v>0</v>
      </c>
      <c r="L205" s="6">
        <f t="shared" si="41"/>
        <v>5</v>
      </c>
      <c r="M205" s="18" t="str">
        <f t="shared" si="36"/>
        <v>(203,5)</v>
      </c>
      <c r="N205" s="17">
        <f>COUNTIFS(Sheet1!$C:$C,Feuil1!N$1,Sheet1!$D:$D,Feuil1!$C205)</f>
        <v>2</v>
      </c>
      <c r="O205" s="6">
        <f t="shared" si="42"/>
        <v>281</v>
      </c>
      <c r="P205" s="18" t="str">
        <f t="shared" si="37"/>
        <v>(203,281)</v>
      </c>
    </row>
    <row r="206" spans="1:16" hidden="1" x14ac:dyDescent="0.2">
      <c r="A206" s="4">
        <f t="shared" si="43"/>
        <v>204</v>
      </c>
      <c r="B206" s="4"/>
      <c r="C206" s="7">
        <f t="shared" si="44"/>
        <v>45434</v>
      </c>
      <c r="D206" s="11" t="str">
        <f t="shared" si="38"/>
        <v>{2024-05-22},</v>
      </c>
      <c r="E206" s="17">
        <f>COUNTIFS(Sheet1!$C:$C,Feuil1!E$1,Sheet1!$D:$D,Feuil1!$C206)</f>
        <v>0</v>
      </c>
      <c r="F206" s="6">
        <f t="shared" si="45"/>
        <v>8</v>
      </c>
      <c r="G206" s="18" t="str">
        <f t="shared" si="39"/>
        <v>(204,8)</v>
      </c>
      <c r="H206" s="17">
        <f>COUNTIFS(Sheet1!$C:$C,Feuil1!H$1,Sheet1!$D:$D,Feuil1!$C206)</f>
        <v>0</v>
      </c>
      <c r="I206" s="6">
        <f t="shared" si="40"/>
        <v>12</v>
      </c>
      <c r="J206" s="18" t="str">
        <f t="shared" si="35"/>
        <v>(204,12)</v>
      </c>
      <c r="K206" s="17">
        <f>COUNTIFS(Sheet1!$C:$C,Feuil1!K$1,Sheet1!$D:$D,Feuil1!$C206)</f>
        <v>0</v>
      </c>
      <c r="L206" s="6">
        <f t="shared" si="41"/>
        <v>5</v>
      </c>
      <c r="M206" s="18" t="str">
        <f t="shared" si="36"/>
        <v>(204,5)</v>
      </c>
      <c r="N206" s="17">
        <f>COUNTIFS(Sheet1!$C:$C,Feuil1!N$1,Sheet1!$D:$D,Feuil1!$C206)</f>
        <v>3</v>
      </c>
      <c r="O206" s="6">
        <f t="shared" si="42"/>
        <v>284</v>
      </c>
      <c r="P206" s="18" t="str">
        <f t="shared" si="37"/>
        <v>(204,284)</v>
      </c>
    </row>
    <row r="207" spans="1:16" hidden="1" x14ac:dyDescent="0.2">
      <c r="A207" s="4">
        <f t="shared" si="43"/>
        <v>205</v>
      </c>
      <c r="B207" s="4"/>
      <c r="C207" s="7">
        <f t="shared" si="44"/>
        <v>45435</v>
      </c>
      <c r="D207" s="11" t="str">
        <f t="shared" si="38"/>
        <v>{2024-05-23},</v>
      </c>
      <c r="E207" s="17">
        <f>COUNTIFS(Sheet1!$C:$C,Feuil1!E$1,Sheet1!$D:$D,Feuil1!$C207)</f>
        <v>0</v>
      </c>
      <c r="F207" s="6">
        <f t="shared" si="45"/>
        <v>8</v>
      </c>
      <c r="G207" s="18" t="str">
        <f t="shared" si="39"/>
        <v>(205,8)</v>
      </c>
      <c r="H207" s="17">
        <f>COUNTIFS(Sheet1!$C:$C,Feuil1!H$1,Sheet1!$D:$D,Feuil1!$C207)</f>
        <v>0</v>
      </c>
      <c r="I207" s="6">
        <f t="shared" si="40"/>
        <v>12</v>
      </c>
      <c r="J207" s="18" t="str">
        <f t="shared" si="35"/>
        <v>(205,12)</v>
      </c>
      <c r="K207" s="17">
        <f>COUNTIFS(Sheet1!$C:$C,Feuil1!K$1,Sheet1!$D:$D,Feuil1!$C207)</f>
        <v>0</v>
      </c>
      <c r="L207" s="6">
        <f t="shared" si="41"/>
        <v>5</v>
      </c>
      <c r="M207" s="18" t="str">
        <f t="shared" si="36"/>
        <v>(205,5)</v>
      </c>
      <c r="N207" s="17">
        <f>COUNTIFS(Sheet1!$C:$C,Feuil1!N$1,Sheet1!$D:$D,Feuil1!$C207)</f>
        <v>6</v>
      </c>
      <c r="O207" s="6">
        <f t="shared" si="42"/>
        <v>290</v>
      </c>
      <c r="P207" s="18" t="str">
        <f t="shared" si="37"/>
        <v>(205,290)</v>
      </c>
    </row>
    <row r="208" spans="1:16" hidden="1" x14ac:dyDescent="0.2">
      <c r="A208" s="4">
        <f t="shared" si="43"/>
        <v>206</v>
      </c>
      <c r="B208" s="4"/>
      <c r="C208" s="7">
        <f t="shared" si="44"/>
        <v>45436</v>
      </c>
      <c r="D208" s="11" t="str">
        <f t="shared" si="38"/>
        <v>{2024-05-24},</v>
      </c>
      <c r="E208" s="17">
        <f>COUNTIFS(Sheet1!$C:$C,Feuil1!E$1,Sheet1!$D:$D,Feuil1!$C208)</f>
        <v>0</v>
      </c>
      <c r="F208" s="6">
        <f t="shared" si="45"/>
        <v>8</v>
      </c>
      <c r="G208" s="18" t="str">
        <f t="shared" si="39"/>
        <v>(206,8)</v>
      </c>
      <c r="H208" s="17">
        <f>COUNTIFS(Sheet1!$C:$C,Feuil1!H$1,Sheet1!$D:$D,Feuil1!$C208)</f>
        <v>0</v>
      </c>
      <c r="I208" s="6">
        <f t="shared" si="40"/>
        <v>12</v>
      </c>
      <c r="J208" s="18" t="str">
        <f t="shared" si="35"/>
        <v>(206,12)</v>
      </c>
      <c r="K208" s="17">
        <f>COUNTIFS(Sheet1!$C:$C,Feuil1!K$1,Sheet1!$D:$D,Feuil1!$C208)</f>
        <v>0</v>
      </c>
      <c r="L208" s="6">
        <f t="shared" si="41"/>
        <v>5</v>
      </c>
      <c r="M208" s="18" t="str">
        <f t="shared" si="36"/>
        <v>(206,5)</v>
      </c>
      <c r="N208" s="17">
        <f>COUNTIFS(Sheet1!$C:$C,Feuil1!N$1,Sheet1!$D:$D,Feuil1!$C208)</f>
        <v>3</v>
      </c>
      <c r="O208" s="6">
        <f t="shared" si="42"/>
        <v>293</v>
      </c>
      <c r="P208" s="18" t="str">
        <f t="shared" si="37"/>
        <v>(206,293)</v>
      </c>
    </row>
    <row r="209" spans="1:16" hidden="1" x14ac:dyDescent="0.2">
      <c r="A209" s="4">
        <f t="shared" si="43"/>
        <v>207</v>
      </c>
      <c r="B209" s="4"/>
      <c r="C209" s="7">
        <f t="shared" si="44"/>
        <v>45437</v>
      </c>
      <c r="D209" s="11" t="str">
        <f t="shared" si="38"/>
        <v>{2024-05-25},</v>
      </c>
      <c r="E209" s="17">
        <f>COUNTIFS(Sheet1!$C:$C,Feuil1!E$1,Sheet1!$D:$D,Feuil1!$C209)</f>
        <v>0</v>
      </c>
      <c r="F209" s="6">
        <f t="shared" si="45"/>
        <v>8</v>
      </c>
      <c r="G209" s="18" t="str">
        <f t="shared" si="39"/>
        <v>(207,8)</v>
      </c>
      <c r="H209" s="17">
        <f>COUNTIFS(Sheet1!$C:$C,Feuil1!H$1,Sheet1!$D:$D,Feuil1!$C209)</f>
        <v>0</v>
      </c>
      <c r="I209" s="6">
        <f t="shared" si="40"/>
        <v>12</v>
      </c>
      <c r="J209" s="18" t="str">
        <f t="shared" si="35"/>
        <v>(207,12)</v>
      </c>
      <c r="K209" s="17">
        <f>COUNTIFS(Sheet1!$C:$C,Feuil1!K$1,Sheet1!$D:$D,Feuil1!$C209)</f>
        <v>0</v>
      </c>
      <c r="L209" s="6">
        <f t="shared" si="41"/>
        <v>5</v>
      </c>
      <c r="M209" s="18" t="str">
        <f t="shared" si="36"/>
        <v>(207,5)</v>
      </c>
      <c r="N209" s="17">
        <f>COUNTIFS(Sheet1!$C:$C,Feuil1!N$1,Sheet1!$D:$D,Feuil1!$C209)</f>
        <v>2</v>
      </c>
      <c r="O209" s="6">
        <f t="shared" si="42"/>
        <v>295</v>
      </c>
      <c r="P209" s="18" t="str">
        <f t="shared" si="37"/>
        <v>(207,295)</v>
      </c>
    </row>
    <row r="210" spans="1:16" hidden="1" x14ac:dyDescent="0.2">
      <c r="A210" s="4">
        <f t="shared" si="43"/>
        <v>208</v>
      </c>
      <c r="B210" s="4"/>
      <c r="C210" s="7">
        <f t="shared" si="44"/>
        <v>45438</v>
      </c>
      <c r="D210" s="11" t="str">
        <f t="shared" si="38"/>
        <v>{2024-05-26},</v>
      </c>
      <c r="E210" s="17">
        <f>COUNTIFS(Sheet1!$C:$C,Feuil1!E$1,Sheet1!$D:$D,Feuil1!$C210)</f>
        <v>0</v>
      </c>
      <c r="F210" s="6">
        <f t="shared" si="45"/>
        <v>8</v>
      </c>
      <c r="G210" s="18" t="str">
        <f t="shared" si="39"/>
        <v>(208,8)</v>
      </c>
      <c r="H210" s="17">
        <f>COUNTIFS(Sheet1!$C:$C,Feuil1!H$1,Sheet1!$D:$D,Feuil1!$C210)</f>
        <v>0</v>
      </c>
      <c r="I210" s="6">
        <f t="shared" si="40"/>
        <v>12</v>
      </c>
      <c r="J210" s="18" t="str">
        <f t="shared" si="35"/>
        <v>(208,12)</v>
      </c>
      <c r="K210" s="17">
        <f>COUNTIFS(Sheet1!$C:$C,Feuil1!K$1,Sheet1!$D:$D,Feuil1!$C210)</f>
        <v>1</v>
      </c>
      <c r="L210" s="6">
        <f t="shared" si="41"/>
        <v>6</v>
      </c>
      <c r="M210" s="18" t="str">
        <f t="shared" si="36"/>
        <v>(208,6)</v>
      </c>
      <c r="N210" s="17">
        <f>COUNTIFS(Sheet1!$C:$C,Feuil1!N$1,Sheet1!$D:$D,Feuil1!$C210)</f>
        <v>0</v>
      </c>
      <c r="O210" s="6">
        <f t="shared" si="42"/>
        <v>295</v>
      </c>
      <c r="P210" s="18" t="str">
        <f t="shared" si="37"/>
        <v>(208,295)</v>
      </c>
    </row>
    <row r="211" spans="1:16" hidden="1" x14ac:dyDescent="0.2">
      <c r="A211" s="4">
        <f t="shared" si="43"/>
        <v>209</v>
      </c>
      <c r="B211" s="4"/>
      <c r="C211" s="7">
        <f t="shared" si="44"/>
        <v>45439</v>
      </c>
      <c r="D211" s="11" t="str">
        <f t="shared" si="38"/>
        <v>{2024-05-27},</v>
      </c>
      <c r="E211" s="17">
        <f>COUNTIFS(Sheet1!$C:$C,Feuil1!E$1,Sheet1!$D:$D,Feuil1!$C211)</f>
        <v>0</v>
      </c>
      <c r="F211" s="6">
        <f t="shared" si="45"/>
        <v>8</v>
      </c>
      <c r="G211" s="18" t="str">
        <f t="shared" si="39"/>
        <v>(209,8)</v>
      </c>
      <c r="H211" s="17">
        <f>COUNTIFS(Sheet1!$C:$C,Feuil1!H$1,Sheet1!$D:$D,Feuil1!$C211)</f>
        <v>0</v>
      </c>
      <c r="I211" s="6">
        <f t="shared" si="40"/>
        <v>12</v>
      </c>
      <c r="J211" s="18" t="str">
        <f t="shared" si="35"/>
        <v>(209,12)</v>
      </c>
      <c r="K211" s="17">
        <f>COUNTIFS(Sheet1!$C:$C,Feuil1!K$1,Sheet1!$D:$D,Feuil1!$C211)</f>
        <v>0</v>
      </c>
      <c r="L211" s="6">
        <f t="shared" si="41"/>
        <v>6</v>
      </c>
      <c r="M211" s="18" t="str">
        <f t="shared" si="36"/>
        <v>(209,6)</v>
      </c>
      <c r="N211" s="17">
        <f>COUNTIFS(Sheet1!$C:$C,Feuil1!N$1,Sheet1!$D:$D,Feuil1!$C211)</f>
        <v>5</v>
      </c>
      <c r="O211" s="6">
        <f t="shared" si="42"/>
        <v>300</v>
      </c>
      <c r="P211" s="18" t="str">
        <f t="shared" si="37"/>
        <v>(209,300)</v>
      </c>
    </row>
    <row r="212" spans="1:16" hidden="1" x14ac:dyDescent="0.2">
      <c r="A212" s="4">
        <f t="shared" si="43"/>
        <v>210</v>
      </c>
      <c r="B212" s="4"/>
      <c r="C212" s="7">
        <f t="shared" si="44"/>
        <v>45440</v>
      </c>
      <c r="D212" s="11" t="str">
        <f t="shared" si="38"/>
        <v>{2024-05-28},</v>
      </c>
      <c r="E212" s="17">
        <f>COUNTIFS(Sheet1!$C:$C,Feuil1!E$1,Sheet1!$D:$D,Feuil1!$C212)</f>
        <v>0</v>
      </c>
      <c r="F212" s="6">
        <f t="shared" si="45"/>
        <v>8</v>
      </c>
      <c r="G212" s="18" t="str">
        <f t="shared" si="39"/>
        <v>(210,8)</v>
      </c>
      <c r="H212" s="17">
        <f>COUNTIFS(Sheet1!$C:$C,Feuil1!H$1,Sheet1!$D:$D,Feuil1!$C212)</f>
        <v>1</v>
      </c>
      <c r="I212" s="6">
        <f t="shared" si="40"/>
        <v>13</v>
      </c>
      <c r="J212" s="18" t="str">
        <f t="shared" si="35"/>
        <v>(210,13)</v>
      </c>
      <c r="K212" s="17">
        <f>COUNTIFS(Sheet1!$C:$C,Feuil1!K$1,Sheet1!$D:$D,Feuil1!$C212)</f>
        <v>0</v>
      </c>
      <c r="L212" s="6">
        <f t="shared" si="41"/>
        <v>6</v>
      </c>
      <c r="M212" s="18" t="str">
        <f t="shared" si="36"/>
        <v>(210,6)</v>
      </c>
      <c r="N212" s="17">
        <f>COUNTIFS(Sheet1!$C:$C,Feuil1!N$1,Sheet1!$D:$D,Feuil1!$C212)</f>
        <v>6</v>
      </c>
      <c r="O212" s="6">
        <f t="shared" si="42"/>
        <v>306</v>
      </c>
      <c r="P212" s="18" t="str">
        <f t="shared" si="37"/>
        <v>(210,306)</v>
      </c>
    </row>
    <row r="213" spans="1:16" hidden="1" x14ac:dyDescent="0.2">
      <c r="A213" s="4">
        <f t="shared" si="43"/>
        <v>211</v>
      </c>
      <c r="B213" s="4"/>
      <c r="C213" s="7">
        <f t="shared" si="44"/>
        <v>45441</v>
      </c>
      <c r="D213" s="11" t="str">
        <f t="shared" si="38"/>
        <v>{2024-05-29},</v>
      </c>
      <c r="E213" s="17">
        <f>COUNTIFS(Sheet1!$C:$C,Feuil1!E$1,Sheet1!$D:$D,Feuil1!$C213)</f>
        <v>0</v>
      </c>
      <c r="F213" s="6">
        <f t="shared" si="45"/>
        <v>8</v>
      </c>
      <c r="G213" s="18" t="str">
        <f t="shared" si="39"/>
        <v>(211,8)</v>
      </c>
      <c r="H213" s="17">
        <f>COUNTIFS(Sheet1!$C:$C,Feuil1!H$1,Sheet1!$D:$D,Feuil1!$C213)</f>
        <v>0</v>
      </c>
      <c r="I213" s="6">
        <f t="shared" si="40"/>
        <v>13</v>
      </c>
      <c r="J213" s="18" t="str">
        <f t="shared" si="35"/>
        <v>(211,13)</v>
      </c>
      <c r="K213" s="17">
        <f>COUNTIFS(Sheet1!$C:$C,Feuil1!K$1,Sheet1!$D:$D,Feuil1!$C213)</f>
        <v>0</v>
      </c>
      <c r="L213" s="6">
        <f t="shared" si="41"/>
        <v>6</v>
      </c>
      <c r="M213" s="18" t="str">
        <f t="shared" si="36"/>
        <v>(211,6)</v>
      </c>
      <c r="N213" s="17">
        <f>COUNTIFS(Sheet1!$C:$C,Feuil1!N$1,Sheet1!$D:$D,Feuil1!$C213)</f>
        <v>4</v>
      </c>
      <c r="O213" s="6">
        <f t="shared" si="42"/>
        <v>310</v>
      </c>
      <c r="P213" s="18" t="str">
        <f t="shared" si="37"/>
        <v>(211,310)</v>
      </c>
    </row>
    <row r="214" spans="1:16" hidden="1" x14ac:dyDescent="0.2">
      <c r="A214" s="4">
        <f t="shared" si="43"/>
        <v>212</v>
      </c>
      <c r="B214" s="4"/>
      <c r="C214" s="7">
        <f t="shared" si="44"/>
        <v>45442</v>
      </c>
      <c r="D214" s="11" t="str">
        <f t="shared" si="38"/>
        <v>{2024-05-30},</v>
      </c>
      <c r="E214" s="17">
        <f>COUNTIFS(Sheet1!$C:$C,Feuil1!E$1,Sheet1!$D:$D,Feuil1!$C214)</f>
        <v>0</v>
      </c>
      <c r="F214" s="6">
        <f t="shared" si="45"/>
        <v>8</v>
      </c>
      <c r="G214" s="18" t="str">
        <f t="shared" si="39"/>
        <v>(212,8)</v>
      </c>
      <c r="H214" s="17">
        <f>COUNTIFS(Sheet1!$C:$C,Feuil1!H$1,Sheet1!$D:$D,Feuil1!$C214)</f>
        <v>0</v>
      </c>
      <c r="I214" s="6">
        <f t="shared" si="40"/>
        <v>13</v>
      </c>
      <c r="J214" s="18" t="str">
        <f t="shared" si="35"/>
        <v>(212,13)</v>
      </c>
      <c r="K214" s="17">
        <f>COUNTIFS(Sheet1!$C:$C,Feuil1!K$1,Sheet1!$D:$D,Feuil1!$C214)</f>
        <v>0</v>
      </c>
      <c r="L214" s="6">
        <f t="shared" si="41"/>
        <v>6</v>
      </c>
      <c r="M214" s="18" t="str">
        <f t="shared" si="36"/>
        <v>(212,6)</v>
      </c>
      <c r="N214" s="17">
        <f>COUNTIFS(Sheet1!$C:$C,Feuil1!N$1,Sheet1!$D:$D,Feuil1!$C214)</f>
        <v>3</v>
      </c>
      <c r="O214" s="6">
        <f t="shared" si="42"/>
        <v>313</v>
      </c>
      <c r="P214" s="18" t="str">
        <f t="shared" si="37"/>
        <v>(212,313)</v>
      </c>
    </row>
    <row r="215" spans="1:16" hidden="1" x14ac:dyDescent="0.2">
      <c r="A215" s="4">
        <f t="shared" si="43"/>
        <v>213</v>
      </c>
      <c r="B215" s="4"/>
      <c r="C215" s="7">
        <f t="shared" si="44"/>
        <v>45443</v>
      </c>
      <c r="D215" s="11" t="str">
        <f t="shared" si="38"/>
        <v>{2024-05-31},</v>
      </c>
      <c r="E215" s="17">
        <f>COUNTIFS(Sheet1!$C:$C,Feuil1!E$1,Sheet1!$D:$D,Feuil1!$C215)</f>
        <v>0</v>
      </c>
      <c r="F215" s="6">
        <f t="shared" si="45"/>
        <v>8</v>
      </c>
      <c r="G215" s="18" t="str">
        <f t="shared" si="39"/>
        <v>(213,8)</v>
      </c>
      <c r="H215" s="17">
        <f>COUNTIFS(Sheet1!$C:$C,Feuil1!H$1,Sheet1!$D:$D,Feuil1!$C215)</f>
        <v>0</v>
      </c>
      <c r="I215" s="6">
        <f t="shared" si="40"/>
        <v>13</v>
      </c>
      <c r="J215" s="18" t="str">
        <f t="shared" si="35"/>
        <v>(213,13)</v>
      </c>
      <c r="K215" s="17">
        <f>COUNTIFS(Sheet1!$C:$C,Feuil1!K$1,Sheet1!$D:$D,Feuil1!$C215)</f>
        <v>0</v>
      </c>
      <c r="L215" s="6">
        <f t="shared" si="41"/>
        <v>6</v>
      </c>
      <c r="M215" s="18" t="str">
        <f t="shared" si="36"/>
        <v>(213,6)</v>
      </c>
      <c r="N215" s="17">
        <f>COUNTIFS(Sheet1!$C:$C,Feuil1!N$1,Sheet1!$D:$D,Feuil1!$C215)</f>
        <v>4</v>
      </c>
      <c r="O215" s="6">
        <f t="shared" si="42"/>
        <v>317</v>
      </c>
      <c r="P215" s="18" t="str">
        <f t="shared" si="37"/>
        <v>(213,317)</v>
      </c>
    </row>
    <row r="216" spans="1:16" hidden="1" x14ac:dyDescent="0.2">
      <c r="A216" s="4">
        <f t="shared" si="43"/>
        <v>214</v>
      </c>
      <c r="B216" s="4"/>
      <c r="C216" s="5">
        <f t="shared" si="44"/>
        <v>45444</v>
      </c>
      <c r="D216" s="11" t="str">
        <f t="shared" si="38"/>
        <v>{2024-06-01},</v>
      </c>
      <c r="E216" s="17">
        <f>COUNTIFS(Sheet1!$C:$C,Feuil1!E$1,Sheet1!$D:$D,Feuil1!$C216)</f>
        <v>0</v>
      </c>
      <c r="F216" s="6">
        <f t="shared" si="45"/>
        <v>8</v>
      </c>
      <c r="G216" s="18" t="str">
        <f t="shared" si="39"/>
        <v>(214,8)</v>
      </c>
      <c r="H216" s="17">
        <f>COUNTIFS(Sheet1!$C:$C,Feuil1!H$1,Sheet1!$D:$D,Feuil1!$C216)</f>
        <v>0</v>
      </c>
      <c r="I216" s="6">
        <f t="shared" si="40"/>
        <v>13</v>
      </c>
      <c r="J216" s="18" t="str">
        <f t="shared" si="35"/>
        <v>(214,13)</v>
      </c>
      <c r="K216" s="17">
        <f>COUNTIFS(Sheet1!$C:$C,Feuil1!K$1,Sheet1!$D:$D,Feuil1!$C216)</f>
        <v>0</v>
      </c>
      <c r="L216" s="6">
        <f t="shared" si="41"/>
        <v>6</v>
      </c>
      <c r="M216" s="18" t="str">
        <f t="shared" si="36"/>
        <v>(214,6)</v>
      </c>
      <c r="N216" s="17">
        <f>COUNTIFS(Sheet1!$C:$C,Feuil1!N$1,Sheet1!$D:$D,Feuil1!$C216)</f>
        <v>2</v>
      </c>
      <c r="O216" s="6">
        <f t="shared" si="42"/>
        <v>319</v>
      </c>
      <c r="P216" s="18" t="str">
        <f t="shared" si="37"/>
        <v>(214,319)</v>
      </c>
    </row>
    <row r="217" spans="1:16" hidden="1" x14ac:dyDescent="0.2">
      <c r="A217" s="4">
        <f t="shared" si="43"/>
        <v>215</v>
      </c>
      <c r="B217" s="4"/>
      <c r="C217" s="7">
        <f t="shared" si="44"/>
        <v>45445</v>
      </c>
      <c r="D217" s="11" t="str">
        <f t="shared" si="38"/>
        <v>{2024-06-02},</v>
      </c>
      <c r="E217" s="17">
        <f>COUNTIFS(Sheet1!$C:$C,Feuil1!E$1,Sheet1!$D:$D,Feuil1!$C217)</f>
        <v>0</v>
      </c>
      <c r="F217" s="6">
        <f t="shared" si="45"/>
        <v>8</v>
      </c>
      <c r="G217" s="18" t="str">
        <f t="shared" si="39"/>
        <v>(215,8)</v>
      </c>
      <c r="H217" s="17">
        <f>COUNTIFS(Sheet1!$C:$C,Feuil1!H$1,Sheet1!$D:$D,Feuil1!$C217)</f>
        <v>0</v>
      </c>
      <c r="I217" s="6">
        <f t="shared" si="40"/>
        <v>13</v>
      </c>
      <c r="J217" s="18" t="str">
        <f t="shared" si="35"/>
        <v>(215,13)</v>
      </c>
      <c r="K217" s="17">
        <f>COUNTIFS(Sheet1!$C:$C,Feuil1!K$1,Sheet1!$D:$D,Feuil1!$C217)</f>
        <v>0</v>
      </c>
      <c r="L217" s="6">
        <f t="shared" si="41"/>
        <v>6</v>
      </c>
      <c r="M217" s="18" t="str">
        <f t="shared" si="36"/>
        <v>(215,6)</v>
      </c>
      <c r="N217" s="17">
        <f>COUNTIFS(Sheet1!$C:$C,Feuil1!N$1,Sheet1!$D:$D,Feuil1!$C217)</f>
        <v>5</v>
      </c>
      <c r="O217" s="6">
        <f t="shared" si="42"/>
        <v>324</v>
      </c>
      <c r="P217" s="18" t="str">
        <f t="shared" si="37"/>
        <v>(215,324)</v>
      </c>
    </row>
    <row r="218" spans="1:16" hidden="1" x14ac:dyDescent="0.2">
      <c r="A218" s="4">
        <f t="shared" si="43"/>
        <v>216</v>
      </c>
      <c r="B218" s="4"/>
      <c r="C218" s="7">
        <f t="shared" si="44"/>
        <v>45446</v>
      </c>
      <c r="D218" s="11" t="str">
        <f t="shared" si="38"/>
        <v>{2024-06-03},</v>
      </c>
      <c r="E218" s="17">
        <f>COUNTIFS(Sheet1!$C:$C,Feuil1!E$1,Sheet1!$D:$D,Feuil1!$C218)</f>
        <v>0</v>
      </c>
      <c r="F218" s="6">
        <f t="shared" si="45"/>
        <v>8</v>
      </c>
      <c r="G218" s="18" t="str">
        <f t="shared" si="39"/>
        <v>(216,8)</v>
      </c>
      <c r="H218" s="17">
        <f>COUNTIFS(Sheet1!$C:$C,Feuil1!H$1,Sheet1!$D:$D,Feuil1!$C218)</f>
        <v>0</v>
      </c>
      <c r="I218" s="6">
        <f t="shared" si="40"/>
        <v>13</v>
      </c>
      <c r="J218" s="18" t="str">
        <f t="shared" si="35"/>
        <v>(216,13)</v>
      </c>
      <c r="K218" s="17">
        <f>COUNTIFS(Sheet1!$C:$C,Feuil1!K$1,Sheet1!$D:$D,Feuil1!$C218)</f>
        <v>0</v>
      </c>
      <c r="L218" s="6">
        <f t="shared" si="41"/>
        <v>6</v>
      </c>
      <c r="M218" s="18" t="str">
        <f t="shared" si="36"/>
        <v>(216,6)</v>
      </c>
      <c r="N218" s="17">
        <f>COUNTIFS(Sheet1!$C:$C,Feuil1!N$1,Sheet1!$D:$D,Feuil1!$C218)</f>
        <v>2</v>
      </c>
      <c r="O218" s="6">
        <f t="shared" si="42"/>
        <v>326</v>
      </c>
      <c r="P218" s="18" t="str">
        <f t="shared" si="37"/>
        <v>(216,326)</v>
      </c>
    </row>
    <row r="219" spans="1:16" hidden="1" x14ac:dyDescent="0.2">
      <c r="A219" s="4">
        <f t="shared" si="43"/>
        <v>217</v>
      </c>
      <c r="B219" s="4"/>
      <c r="C219" s="7">
        <f t="shared" si="44"/>
        <v>45447</v>
      </c>
      <c r="D219" s="11" t="str">
        <f t="shared" si="38"/>
        <v>{2024-06-04},</v>
      </c>
      <c r="E219" s="17">
        <f>COUNTIFS(Sheet1!$C:$C,Feuil1!E$1,Sheet1!$D:$D,Feuil1!$C219)</f>
        <v>0</v>
      </c>
      <c r="F219" s="6">
        <f t="shared" si="45"/>
        <v>8</v>
      </c>
      <c r="G219" s="18" t="str">
        <f t="shared" si="39"/>
        <v>(217,8)</v>
      </c>
      <c r="H219" s="17">
        <f>COUNTIFS(Sheet1!$C:$C,Feuil1!H$1,Sheet1!$D:$D,Feuil1!$C219)</f>
        <v>0</v>
      </c>
      <c r="I219" s="6">
        <f t="shared" si="40"/>
        <v>13</v>
      </c>
      <c r="J219" s="18" t="str">
        <f t="shared" si="35"/>
        <v>(217,13)</v>
      </c>
      <c r="K219" s="17">
        <f>COUNTIFS(Sheet1!$C:$C,Feuil1!K$1,Sheet1!$D:$D,Feuil1!$C219)</f>
        <v>0</v>
      </c>
      <c r="L219" s="6">
        <f t="shared" si="41"/>
        <v>6</v>
      </c>
      <c r="M219" s="18" t="str">
        <f t="shared" si="36"/>
        <v>(217,6)</v>
      </c>
      <c r="N219" s="17">
        <f>COUNTIFS(Sheet1!$C:$C,Feuil1!N$1,Sheet1!$D:$D,Feuil1!$C219)</f>
        <v>2</v>
      </c>
      <c r="O219" s="6">
        <f t="shared" si="42"/>
        <v>328</v>
      </c>
      <c r="P219" s="18" t="str">
        <f t="shared" si="37"/>
        <v>(217,328)</v>
      </c>
    </row>
    <row r="220" spans="1:16" hidden="1" x14ac:dyDescent="0.2">
      <c r="A220" s="4">
        <f t="shared" si="43"/>
        <v>218</v>
      </c>
      <c r="B220" s="4"/>
      <c r="C220" s="7">
        <f t="shared" si="44"/>
        <v>45448</v>
      </c>
      <c r="D220" s="11" t="str">
        <f t="shared" si="38"/>
        <v>{2024-06-05},</v>
      </c>
      <c r="E220" s="17">
        <f>COUNTIFS(Sheet1!$C:$C,Feuil1!E$1,Sheet1!$D:$D,Feuil1!$C220)</f>
        <v>1</v>
      </c>
      <c r="F220" s="6">
        <f t="shared" si="45"/>
        <v>9</v>
      </c>
      <c r="G220" s="18" t="str">
        <f t="shared" si="39"/>
        <v>(218,9)</v>
      </c>
      <c r="H220" s="17">
        <f>COUNTIFS(Sheet1!$C:$C,Feuil1!H$1,Sheet1!$D:$D,Feuil1!$C220)</f>
        <v>0</v>
      </c>
      <c r="I220" s="6">
        <f t="shared" si="40"/>
        <v>13</v>
      </c>
      <c r="J220" s="18" t="str">
        <f t="shared" si="35"/>
        <v>(218,13)</v>
      </c>
      <c r="K220" s="17">
        <f>COUNTIFS(Sheet1!$C:$C,Feuil1!K$1,Sheet1!$D:$D,Feuil1!$C220)</f>
        <v>0</v>
      </c>
      <c r="L220" s="6">
        <f t="shared" si="41"/>
        <v>6</v>
      </c>
      <c r="M220" s="18" t="str">
        <f t="shared" si="36"/>
        <v>(218,6)</v>
      </c>
      <c r="N220" s="17">
        <f>COUNTIFS(Sheet1!$C:$C,Feuil1!N$1,Sheet1!$D:$D,Feuil1!$C220)</f>
        <v>4</v>
      </c>
      <c r="O220" s="6">
        <f t="shared" si="42"/>
        <v>332</v>
      </c>
      <c r="P220" s="18" t="str">
        <f t="shared" si="37"/>
        <v>(218,332)</v>
      </c>
    </row>
    <row r="221" spans="1:16" hidden="1" x14ac:dyDescent="0.2">
      <c r="A221" s="4">
        <f t="shared" si="43"/>
        <v>219</v>
      </c>
      <c r="B221" s="4"/>
      <c r="C221" s="7">
        <f t="shared" si="44"/>
        <v>45449</v>
      </c>
      <c r="D221" s="11" t="str">
        <f t="shared" si="38"/>
        <v>{2024-06-06},</v>
      </c>
      <c r="E221" s="17">
        <f>COUNTIFS(Sheet1!$C:$C,Feuil1!E$1,Sheet1!$D:$D,Feuil1!$C221)</f>
        <v>0</v>
      </c>
      <c r="F221" s="6">
        <f t="shared" si="45"/>
        <v>9</v>
      </c>
      <c r="G221" s="18" t="str">
        <f t="shared" si="39"/>
        <v>(219,9)</v>
      </c>
      <c r="H221" s="17">
        <f>COUNTIFS(Sheet1!$C:$C,Feuil1!H$1,Sheet1!$D:$D,Feuil1!$C221)</f>
        <v>0</v>
      </c>
      <c r="I221" s="6">
        <f t="shared" si="40"/>
        <v>13</v>
      </c>
      <c r="J221" s="18" t="str">
        <f t="shared" si="35"/>
        <v>(219,13)</v>
      </c>
      <c r="K221" s="17">
        <f>COUNTIFS(Sheet1!$C:$C,Feuil1!K$1,Sheet1!$D:$D,Feuil1!$C221)</f>
        <v>0</v>
      </c>
      <c r="L221" s="6">
        <f t="shared" si="41"/>
        <v>6</v>
      </c>
      <c r="M221" s="18" t="str">
        <f t="shared" si="36"/>
        <v>(219,6)</v>
      </c>
      <c r="N221" s="17">
        <f>COUNTIFS(Sheet1!$C:$C,Feuil1!N$1,Sheet1!$D:$D,Feuil1!$C221)</f>
        <v>6</v>
      </c>
      <c r="O221" s="6">
        <f t="shared" si="42"/>
        <v>338</v>
      </c>
      <c r="P221" s="18" t="str">
        <f t="shared" si="37"/>
        <v>(219,338)</v>
      </c>
    </row>
    <row r="222" spans="1:16" hidden="1" x14ac:dyDescent="0.2">
      <c r="A222" s="4">
        <f t="shared" si="43"/>
        <v>220</v>
      </c>
      <c r="B222" s="4"/>
      <c r="C222" s="7">
        <f t="shared" si="44"/>
        <v>45450</v>
      </c>
      <c r="D222" s="11" t="str">
        <f t="shared" si="38"/>
        <v>{2024-06-07},</v>
      </c>
      <c r="E222" s="17">
        <f>COUNTIFS(Sheet1!$C:$C,Feuil1!E$1,Sheet1!$D:$D,Feuil1!$C222)</f>
        <v>0</v>
      </c>
      <c r="F222" s="6">
        <f t="shared" si="45"/>
        <v>9</v>
      </c>
      <c r="G222" s="18" t="str">
        <f t="shared" si="39"/>
        <v>(220,9)</v>
      </c>
      <c r="H222" s="17">
        <f>COUNTIFS(Sheet1!$C:$C,Feuil1!H$1,Sheet1!$D:$D,Feuil1!$C222)</f>
        <v>0</v>
      </c>
      <c r="I222" s="6">
        <f t="shared" si="40"/>
        <v>13</v>
      </c>
      <c r="J222" s="18" t="str">
        <f t="shared" si="35"/>
        <v>(220,13)</v>
      </c>
      <c r="K222" s="17">
        <f>COUNTIFS(Sheet1!$C:$C,Feuil1!K$1,Sheet1!$D:$D,Feuil1!$C222)</f>
        <v>0</v>
      </c>
      <c r="L222" s="6">
        <f t="shared" si="41"/>
        <v>6</v>
      </c>
      <c r="M222" s="18" t="str">
        <f t="shared" si="36"/>
        <v>(220,6)</v>
      </c>
      <c r="N222" s="17">
        <f>COUNTIFS(Sheet1!$C:$C,Feuil1!N$1,Sheet1!$D:$D,Feuil1!$C222)</f>
        <v>2</v>
      </c>
      <c r="O222" s="6">
        <f t="shared" si="42"/>
        <v>340</v>
      </c>
      <c r="P222" s="18" t="str">
        <f t="shared" si="37"/>
        <v>(220,340)</v>
      </c>
    </row>
    <row r="223" spans="1:16" hidden="1" x14ac:dyDescent="0.2">
      <c r="A223" s="4">
        <f t="shared" si="43"/>
        <v>221</v>
      </c>
      <c r="B223" s="4"/>
      <c r="C223" s="7">
        <f t="shared" si="44"/>
        <v>45451</v>
      </c>
      <c r="D223" s="11" t="str">
        <f t="shared" si="38"/>
        <v>{2024-06-08},</v>
      </c>
      <c r="E223" s="17">
        <f>COUNTIFS(Sheet1!$C:$C,Feuil1!E$1,Sheet1!$D:$D,Feuil1!$C223)</f>
        <v>0</v>
      </c>
      <c r="F223" s="6">
        <f t="shared" si="45"/>
        <v>9</v>
      </c>
      <c r="G223" s="18" t="str">
        <f t="shared" si="39"/>
        <v>(221,9)</v>
      </c>
      <c r="H223" s="17">
        <f>COUNTIFS(Sheet1!$C:$C,Feuil1!H$1,Sheet1!$D:$D,Feuil1!$C223)</f>
        <v>0</v>
      </c>
      <c r="I223" s="6">
        <f t="shared" si="40"/>
        <v>13</v>
      </c>
      <c r="J223" s="18" t="str">
        <f t="shared" si="35"/>
        <v>(221,13)</v>
      </c>
      <c r="K223" s="17">
        <f>COUNTIFS(Sheet1!$C:$C,Feuil1!K$1,Sheet1!$D:$D,Feuil1!$C223)</f>
        <v>0</v>
      </c>
      <c r="L223" s="6">
        <f t="shared" si="41"/>
        <v>6</v>
      </c>
      <c r="M223" s="18" t="str">
        <f t="shared" si="36"/>
        <v>(221,6)</v>
      </c>
      <c r="N223" s="17">
        <f>COUNTIFS(Sheet1!$C:$C,Feuil1!N$1,Sheet1!$D:$D,Feuil1!$C223)</f>
        <v>3</v>
      </c>
      <c r="O223" s="6">
        <f t="shared" si="42"/>
        <v>343</v>
      </c>
      <c r="P223" s="18" t="str">
        <f t="shared" si="37"/>
        <v>(221,343)</v>
      </c>
    </row>
    <row r="224" spans="1:16" hidden="1" x14ac:dyDescent="0.2">
      <c r="A224" s="4">
        <f t="shared" si="43"/>
        <v>222</v>
      </c>
      <c r="B224" s="4"/>
      <c r="C224" s="7">
        <f t="shared" si="44"/>
        <v>45452</v>
      </c>
      <c r="D224" s="11" t="str">
        <f t="shared" si="38"/>
        <v>{2024-06-09},</v>
      </c>
      <c r="E224" s="17">
        <f>COUNTIFS(Sheet1!$C:$C,Feuil1!E$1,Sheet1!$D:$D,Feuil1!$C224)</f>
        <v>0</v>
      </c>
      <c r="F224" s="6">
        <f t="shared" si="45"/>
        <v>9</v>
      </c>
      <c r="G224" s="18" t="str">
        <f t="shared" si="39"/>
        <v>(222,9)</v>
      </c>
      <c r="H224" s="17">
        <f>COUNTIFS(Sheet1!$C:$C,Feuil1!H$1,Sheet1!$D:$D,Feuil1!$C224)</f>
        <v>0</v>
      </c>
      <c r="I224" s="6">
        <f t="shared" si="40"/>
        <v>13</v>
      </c>
      <c r="J224" s="18" t="str">
        <f t="shared" si="35"/>
        <v>(222,13)</v>
      </c>
      <c r="K224" s="17">
        <f>COUNTIFS(Sheet1!$C:$C,Feuil1!K$1,Sheet1!$D:$D,Feuil1!$C224)</f>
        <v>0</v>
      </c>
      <c r="L224" s="6">
        <f t="shared" si="41"/>
        <v>6</v>
      </c>
      <c r="M224" s="18" t="str">
        <f t="shared" si="36"/>
        <v>(222,6)</v>
      </c>
      <c r="N224" s="17">
        <f>COUNTIFS(Sheet1!$C:$C,Feuil1!N$1,Sheet1!$D:$D,Feuil1!$C224)</f>
        <v>6</v>
      </c>
      <c r="O224" s="6">
        <f t="shared" si="42"/>
        <v>349</v>
      </c>
      <c r="P224" s="18" t="str">
        <f t="shared" si="37"/>
        <v>(222,349)</v>
      </c>
    </row>
    <row r="225" spans="1:16" hidden="1" x14ac:dyDescent="0.2">
      <c r="A225" s="4">
        <f t="shared" si="43"/>
        <v>223</v>
      </c>
      <c r="B225" s="4"/>
      <c r="C225" s="7">
        <f t="shared" si="44"/>
        <v>45453</v>
      </c>
      <c r="D225" s="11" t="str">
        <f t="shared" si="38"/>
        <v>{2024-06-10},</v>
      </c>
      <c r="E225" s="17">
        <f>COUNTIFS(Sheet1!$C:$C,Feuil1!E$1,Sheet1!$D:$D,Feuil1!$C225)</f>
        <v>0</v>
      </c>
      <c r="F225" s="6">
        <f t="shared" si="45"/>
        <v>9</v>
      </c>
      <c r="G225" s="18" t="str">
        <f t="shared" si="39"/>
        <v>(223,9)</v>
      </c>
      <c r="H225" s="17">
        <f>COUNTIFS(Sheet1!$C:$C,Feuil1!H$1,Sheet1!$D:$D,Feuil1!$C225)</f>
        <v>0</v>
      </c>
      <c r="I225" s="6">
        <f t="shared" si="40"/>
        <v>13</v>
      </c>
      <c r="J225" s="18" t="str">
        <f t="shared" si="35"/>
        <v>(223,13)</v>
      </c>
      <c r="K225" s="17">
        <f>COUNTIFS(Sheet1!$C:$C,Feuil1!K$1,Sheet1!$D:$D,Feuil1!$C225)</f>
        <v>0</v>
      </c>
      <c r="L225" s="6">
        <f t="shared" si="41"/>
        <v>6</v>
      </c>
      <c r="M225" s="18" t="str">
        <f t="shared" si="36"/>
        <v>(223,6)</v>
      </c>
      <c r="N225" s="17">
        <f>COUNTIFS(Sheet1!$C:$C,Feuil1!N$1,Sheet1!$D:$D,Feuil1!$C225)</f>
        <v>3</v>
      </c>
      <c r="O225" s="6">
        <f t="shared" si="42"/>
        <v>352</v>
      </c>
      <c r="P225" s="18" t="str">
        <f t="shared" si="37"/>
        <v>(223,352)</v>
      </c>
    </row>
    <row r="226" spans="1:16" hidden="1" x14ac:dyDescent="0.2">
      <c r="A226" s="4">
        <f t="shared" si="43"/>
        <v>224</v>
      </c>
      <c r="B226" s="4"/>
      <c r="C226" s="7">
        <f t="shared" si="44"/>
        <v>45454</v>
      </c>
      <c r="D226" s="11" t="str">
        <f t="shared" si="38"/>
        <v>{2024-06-11},</v>
      </c>
      <c r="E226" s="17">
        <f>COUNTIFS(Sheet1!$C:$C,Feuil1!E$1,Sheet1!$D:$D,Feuil1!$C226)</f>
        <v>0</v>
      </c>
      <c r="F226" s="6">
        <f t="shared" si="45"/>
        <v>9</v>
      </c>
      <c r="G226" s="18" t="str">
        <f t="shared" si="39"/>
        <v>(224,9)</v>
      </c>
      <c r="H226" s="17">
        <f>COUNTIFS(Sheet1!$C:$C,Feuil1!H$1,Sheet1!$D:$D,Feuil1!$C226)</f>
        <v>0</v>
      </c>
      <c r="I226" s="6">
        <f t="shared" si="40"/>
        <v>13</v>
      </c>
      <c r="J226" s="18" t="str">
        <f t="shared" si="35"/>
        <v>(224,13)</v>
      </c>
      <c r="K226" s="17">
        <f>COUNTIFS(Sheet1!$C:$C,Feuil1!K$1,Sheet1!$D:$D,Feuil1!$C226)</f>
        <v>0</v>
      </c>
      <c r="L226" s="6">
        <f t="shared" si="41"/>
        <v>6</v>
      </c>
      <c r="M226" s="18" t="str">
        <f t="shared" si="36"/>
        <v>(224,6)</v>
      </c>
      <c r="N226" s="17">
        <f>COUNTIFS(Sheet1!$C:$C,Feuil1!N$1,Sheet1!$D:$D,Feuil1!$C226)</f>
        <v>4</v>
      </c>
      <c r="O226" s="6">
        <f t="shared" si="42"/>
        <v>356</v>
      </c>
      <c r="P226" s="18" t="str">
        <f t="shared" si="37"/>
        <v>(224,356)</v>
      </c>
    </row>
    <row r="227" spans="1:16" hidden="1" x14ac:dyDescent="0.2">
      <c r="A227" s="4">
        <f t="shared" si="43"/>
        <v>225</v>
      </c>
      <c r="B227" s="4"/>
      <c r="C227" s="7">
        <f t="shared" si="44"/>
        <v>45455</v>
      </c>
      <c r="D227" s="11" t="str">
        <f t="shared" si="38"/>
        <v>{2024-06-12},</v>
      </c>
      <c r="E227" s="17">
        <f>COUNTIFS(Sheet1!$C:$C,Feuil1!E$1,Sheet1!$D:$D,Feuil1!$C227)</f>
        <v>0</v>
      </c>
      <c r="F227" s="6">
        <f t="shared" si="45"/>
        <v>9</v>
      </c>
      <c r="G227" s="18" t="str">
        <f t="shared" si="39"/>
        <v>(225,9)</v>
      </c>
      <c r="H227" s="17">
        <f>COUNTIFS(Sheet1!$C:$C,Feuil1!H$1,Sheet1!$D:$D,Feuil1!$C227)</f>
        <v>0</v>
      </c>
      <c r="I227" s="6">
        <f t="shared" si="40"/>
        <v>13</v>
      </c>
      <c r="J227" s="18" t="str">
        <f t="shared" si="35"/>
        <v>(225,13)</v>
      </c>
      <c r="K227" s="17">
        <f>COUNTIFS(Sheet1!$C:$C,Feuil1!K$1,Sheet1!$D:$D,Feuil1!$C227)</f>
        <v>0</v>
      </c>
      <c r="L227" s="6">
        <f t="shared" si="41"/>
        <v>6</v>
      </c>
      <c r="M227" s="18" t="str">
        <f t="shared" si="36"/>
        <v>(225,6)</v>
      </c>
      <c r="N227" s="17">
        <f>COUNTIFS(Sheet1!$C:$C,Feuil1!N$1,Sheet1!$D:$D,Feuil1!$C227)</f>
        <v>7</v>
      </c>
      <c r="O227" s="6">
        <f t="shared" si="42"/>
        <v>363</v>
      </c>
      <c r="P227" s="18" t="str">
        <f t="shared" si="37"/>
        <v>(225,363)</v>
      </c>
    </row>
    <row r="228" spans="1:16" hidden="1" x14ac:dyDescent="0.2">
      <c r="A228" s="4">
        <f t="shared" si="43"/>
        <v>226</v>
      </c>
      <c r="B228" s="4"/>
      <c r="C228" s="7">
        <f t="shared" si="44"/>
        <v>45456</v>
      </c>
      <c r="D228" s="11" t="str">
        <f t="shared" si="38"/>
        <v>{2024-06-13},</v>
      </c>
      <c r="E228" s="17">
        <f>COUNTIFS(Sheet1!$C:$C,Feuil1!E$1,Sheet1!$D:$D,Feuil1!$C228)</f>
        <v>0</v>
      </c>
      <c r="F228" s="6">
        <f t="shared" si="45"/>
        <v>9</v>
      </c>
      <c r="G228" s="18" t="str">
        <f t="shared" si="39"/>
        <v>(226,9)</v>
      </c>
      <c r="H228" s="17">
        <f>COUNTIFS(Sheet1!$C:$C,Feuil1!H$1,Sheet1!$D:$D,Feuil1!$C228)</f>
        <v>0</v>
      </c>
      <c r="I228" s="6">
        <f t="shared" si="40"/>
        <v>13</v>
      </c>
      <c r="J228" s="18" t="str">
        <f t="shared" si="35"/>
        <v>(226,13)</v>
      </c>
      <c r="K228" s="17">
        <f>COUNTIFS(Sheet1!$C:$C,Feuil1!K$1,Sheet1!$D:$D,Feuil1!$C228)</f>
        <v>0</v>
      </c>
      <c r="L228" s="6">
        <f t="shared" si="41"/>
        <v>6</v>
      </c>
      <c r="M228" s="18" t="str">
        <f t="shared" si="36"/>
        <v>(226,6)</v>
      </c>
      <c r="N228" s="17">
        <f>COUNTIFS(Sheet1!$C:$C,Feuil1!N$1,Sheet1!$D:$D,Feuil1!$C228)</f>
        <v>3</v>
      </c>
      <c r="O228" s="6">
        <f t="shared" si="42"/>
        <v>366</v>
      </c>
      <c r="P228" s="18" t="str">
        <f t="shared" si="37"/>
        <v>(226,366)</v>
      </c>
    </row>
    <row r="229" spans="1:16" hidden="1" x14ac:dyDescent="0.2">
      <c r="A229" s="4">
        <f t="shared" si="43"/>
        <v>227</v>
      </c>
      <c r="B229" s="4"/>
      <c r="C229" s="7">
        <f t="shared" si="44"/>
        <v>45457</v>
      </c>
      <c r="D229" s="11" t="str">
        <f t="shared" si="38"/>
        <v>{2024-06-14},</v>
      </c>
      <c r="E229" s="17">
        <f>COUNTIFS(Sheet1!$C:$C,Feuil1!E$1,Sheet1!$D:$D,Feuil1!$C229)</f>
        <v>0</v>
      </c>
      <c r="F229" s="6">
        <f t="shared" si="45"/>
        <v>9</v>
      </c>
      <c r="G229" s="18" t="str">
        <f t="shared" si="39"/>
        <v>(227,9)</v>
      </c>
      <c r="H229" s="17">
        <f>COUNTIFS(Sheet1!$C:$C,Feuil1!H$1,Sheet1!$D:$D,Feuil1!$C229)</f>
        <v>0</v>
      </c>
      <c r="I229" s="6">
        <f t="shared" si="40"/>
        <v>13</v>
      </c>
      <c r="J229" s="18" t="str">
        <f t="shared" si="35"/>
        <v>(227,13)</v>
      </c>
      <c r="K229" s="17">
        <f>COUNTIFS(Sheet1!$C:$C,Feuil1!K$1,Sheet1!$D:$D,Feuil1!$C229)</f>
        <v>0</v>
      </c>
      <c r="L229" s="6">
        <f t="shared" si="41"/>
        <v>6</v>
      </c>
      <c r="M229" s="18" t="str">
        <f t="shared" si="36"/>
        <v>(227,6)</v>
      </c>
      <c r="N229" s="17">
        <f>COUNTIFS(Sheet1!$C:$C,Feuil1!N$1,Sheet1!$D:$D,Feuil1!$C229)</f>
        <v>4</v>
      </c>
      <c r="O229" s="6">
        <f t="shared" si="42"/>
        <v>370</v>
      </c>
      <c r="P229" s="18" t="str">
        <f t="shared" si="37"/>
        <v>(227,370)</v>
      </c>
    </row>
    <row r="230" spans="1:16" hidden="1" x14ac:dyDescent="0.2">
      <c r="A230" s="4">
        <f t="shared" si="43"/>
        <v>228</v>
      </c>
      <c r="B230" s="4"/>
      <c r="C230" s="7">
        <f t="shared" si="44"/>
        <v>45458</v>
      </c>
      <c r="D230" s="11" t="str">
        <f t="shared" si="38"/>
        <v>{2024-06-15},</v>
      </c>
      <c r="E230" s="17">
        <f>COUNTIFS(Sheet1!$C:$C,Feuil1!E$1,Sheet1!$D:$D,Feuil1!$C230)</f>
        <v>0</v>
      </c>
      <c r="F230" s="6">
        <f t="shared" si="45"/>
        <v>9</v>
      </c>
      <c r="G230" s="18" t="str">
        <f t="shared" si="39"/>
        <v>(228,9)</v>
      </c>
      <c r="H230" s="17">
        <f>COUNTIFS(Sheet1!$C:$C,Feuil1!H$1,Sheet1!$D:$D,Feuil1!$C230)</f>
        <v>0</v>
      </c>
      <c r="I230" s="6">
        <f t="shared" si="40"/>
        <v>13</v>
      </c>
      <c r="J230" s="18" t="str">
        <f t="shared" si="35"/>
        <v>(228,13)</v>
      </c>
      <c r="K230" s="17">
        <f>COUNTIFS(Sheet1!$C:$C,Feuil1!K$1,Sheet1!$D:$D,Feuil1!$C230)</f>
        <v>0</v>
      </c>
      <c r="L230" s="6">
        <f t="shared" si="41"/>
        <v>6</v>
      </c>
      <c r="M230" s="18" t="str">
        <f t="shared" si="36"/>
        <v>(228,6)</v>
      </c>
      <c r="N230" s="17">
        <f>COUNTIFS(Sheet1!$C:$C,Feuil1!N$1,Sheet1!$D:$D,Feuil1!$C230)</f>
        <v>3</v>
      </c>
      <c r="O230" s="6">
        <f t="shared" si="42"/>
        <v>373</v>
      </c>
      <c r="P230" s="18" t="str">
        <f t="shared" si="37"/>
        <v>(228,373)</v>
      </c>
    </row>
    <row r="231" spans="1:16" hidden="1" x14ac:dyDescent="0.2">
      <c r="A231" s="4">
        <f t="shared" si="43"/>
        <v>229</v>
      </c>
      <c r="B231" s="4"/>
      <c r="C231" s="7">
        <f t="shared" si="44"/>
        <v>45459</v>
      </c>
      <c r="D231" s="11" t="str">
        <f t="shared" si="38"/>
        <v>{2024-06-16},</v>
      </c>
      <c r="E231" s="17">
        <f>COUNTIFS(Sheet1!$C:$C,Feuil1!E$1,Sheet1!$D:$D,Feuil1!$C231)</f>
        <v>0</v>
      </c>
      <c r="F231" s="6">
        <f t="shared" si="45"/>
        <v>9</v>
      </c>
      <c r="G231" s="18" t="str">
        <f t="shared" si="39"/>
        <v>(229,9)</v>
      </c>
      <c r="H231" s="17">
        <f>COUNTIFS(Sheet1!$C:$C,Feuil1!H$1,Sheet1!$D:$D,Feuil1!$C231)</f>
        <v>0</v>
      </c>
      <c r="I231" s="6">
        <f t="shared" si="40"/>
        <v>13</v>
      </c>
      <c r="J231" s="18" t="str">
        <f t="shared" si="35"/>
        <v>(229,13)</v>
      </c>
      <c r="K231" s="17">
        <f>COUNTIFS(Sheet1!$C:$C,Feuil1!K$1,Sheet1!$D:$D,Feuil1!$C231)</f>
        <v>0</v>
      </c>
      <c r="L231" s="6">
        <f t="shared" si="41"/>
        <v>6</v>
      </c>
      <c r="M231" s="18" t="str">
        <f t="shared" si="36"/>
        <v>(229,6)</v>
      </c>
      <c r="N231" s="17">
        <f>COUNTIFS(Sheet1!$C:$C,Feuil1!N$1,Sheet1!$D:$D,Feuil1!$C231)</f>
        <v>0</v>
      </c>
      <c r="O231" s="6">
        <f t="shared" si="42"/>
        <v>373</v>
      </c>
      <c r="P231" s="18" t="str">
        <f t="shared" si="37"/>
        <v>(229,373)</v>
      </c>
    </row>
    <row r="232" spans="1:16" hidden="1" x14ac:dyDescent="0.2">
      <c r="A232" s="4">
        <f t="shared" si="43"/>
        <v>230</v>
      </c>
      <c r="B232" s="4"/>
      <c r="C232" s="7">
        <f t="shared" si="44"/>
        <v>45460</v>
      </c>
      <c r="D232" s="11" t="str">
        <f t="shared" si="38"/>
        <v>{2024-06-17},</v>
      </c>
      <c r="E232" s="17">
        <f>COUNTIFS(Sheet1!$C:$C,Feuil1!E$1,Sheet1!$D:$D,Feuil1!$C232)</f>
        <v>0</v>
      </c>
      <c r="F232" s="6">
        <f t="shared" si="45"/>
        <v>9</v>
      </c>
      <c r="G232" s="18" t="str">
        <f t="shared" si="39"/>
        <v>(230,9)</v>
      </c>
      <c r="H232" s="17">
        <f>COUNTIFS(Sheet1!$C:$C,Feuil1!H$1,Sheet1!$D:$D,Feuil1!$C232)</f>
        <v>0</v>
      </c>
      <c r="I232" s="6">
        <f t="shared" si="40"/>
        <v>13</v>
      </c>
      <c r="J232" s="18" t="str">
        <f t="shared" si="35"/>
        <v>(230,13)</v>
      </c>
      <c r="K232" s="17">
        <f>COUNTIFS(Sheet1!$C:$C,Feuil1!K$1,Sheet1!$D:$D,Feuil1!$C232)</f>
        <v>0</v>
      </c>
      <c r="L232" s="6">
        <f t="shared" si="41"/>
        <v>6</v>
      </c>
      <c r="M232" s="18" t="str">
        <f t="shared" si="36"/>
        <v>(230,6)</v>
      </c>
      <c r="N232" s="17">
        <f>COUNTIFS(Sheet1!$C:$C,Feuil1!N$1,Sheet1!$D:$D,Feuil1!$C232)</f>
        <v>5</v>
      </c>
      <c r="O232" s="6">
        <f t="shared" si="42"/>
        <v>378</v>
      </c>
      <c r="P232" s="18" t="str">
        <f t="shared" si="37"/>
        <v>(230,378)</v>
      </c>
    </row>
    <row r="233" spans="1:16" hidden="1" x14ac:dyDescent="0.2">
      <c r="A233" s="4">
        <f t="shared" si="43"/>
        <v>231</v>
      </c>
      <c r="B233" s="4"/>
      <c r="C233" s="7">
        <f t="shared" si="44"/>
        <v>45461</v>
      </c>
      <c r="D233" s="11" t="str">
        <f t="shared" si="38"/>
        <v>{2024-06-18},</v>
      </c>
      <c r="E233" s="17">
        <f>COUNTIFS(Sheet1!$C:$C,Feuil1!E$1,Sheet1!$D:$D,Feuil1!$C233)</f>
        <v>0</v>
      </c>
      <c r="F233" s="6">
        <f t="shared" si="45"/>
        <v>9</v>
      </c>
      <c r="G233" s="18" t="str">
        <f t="shared" si="39"/>
        <v>(231,9)</v>
      </c>
      <c r="H233" s="17">
        <f>COUNTIFS(Sheet1!$C:$C,Feuil1!H$1,Sheet1!$D:$D,Feuil1!$C233)</f>
        <v>0</v>
      </c>
      <c r="I233" s="6">
        <f t="shared" si="40"/>
        <v>13</v>
      </c>
      <c r="J233" s="18" t="str">
        <f t="shared" si="35"/>
        <v>(231,13)</v>
      </c>
      <c r="K233" s="17">
        <f>COUNTIFS(Sheet1!$C:$C,Feuil1!K$1,Sheet1!$D:$D,Feuil1!$C233)</f>
        <v>0</v>
      </c>
      <c r="L233" s="6">
        <f t="shared" si="41"/>
        <v>6</v>
      </c>
      <c r="M233" s="18" t="str">
        <f t="shared" si="36"/>
        <v>(231,6)</v>
      </c>
      <c r="N233" s="17">
        <f>COUNTIFS(Sheet1!$C:$C,Feuil1!N$1,Sheet1!$D:$D,Feuil1!$C233)</f>
        <v>0</v>
      </c>
      <c r="O233" s="6">
        <f t="shared" si="42"/>
        <v>378</v>
      </c>
      <c r="P233" s="18" t="str">
        <f t="shared" si="37"/>
        <v>(231,378)</v>
      </c>
    </row>
    <row r="234" spans="1:16" hidden="1" x14ac:dyDescent="0.2">
      <c r="A234" s="4">
        <f t="shared" si="43"/>
        <v>232</v>
      </c>
      <c r="B234" s="4"/>
      <c r="C234" s="7">
        <f t="shared" si="44"/>
        <v>45462</v>
      </c>
      <c r="D234" s="11" t="str">
        <f t="shared" si="38"/>
        <v>{2024-06-19},</v>
      </c>
      <c r="E234" s="17">
        <f>COUNTIFS(Sheet1!$C:$C,Feuil1!E$1,Sheet1!$D:$D,Feuil1!$C234)</f>
        <v>0</v>
      </c>
      <c r="F234" s="6">
        <f t="shared" si="45"/>
        <v>9</v>
      </c>
      <c r="G234" s="18" t="str">
        <f t="shared" si="39"/>
        <v>(232,9)</v>
      </c>
      <c r="H234" s="17">
        <f>COUNTIFS(Sheet1!$C:$C,Feuil1!H$1,Sheet1!$D:$D,Feuil1!$C234)</f>
        <v>0</v>
      </c>
      <c r="I234" s="6">
        <f t="shared" si="40"/>
        <v>13</v>
      </c>
      <c r="J234" s="18" t="str">
        <f t="shared" si="35"/>
        <v>(232,13)</v>
      </c>
      <c r="K234" s="17">
        <f>COUNTIFS(Sheet1!$C:$C,Feuil1!K$1,Sheet1!$D:$D,Feuil1!$C234)</f>
        <v>0</v>
      </c>
      <c r="L234" s="6">
        <f t="shared" si="41"/>
        <v>6</v>
      </c>
      <c r="M234" s="18" t="str">
        <f t="shared" si="36"/>
        <v>(232,6)</v>
      </c>
      <c r="N234" s="17">
        <f>COUNTIFS(Sheet1!$C:$C,Feuil1!N$1,Sheet1!$D:$D,Feuil1!$C234)</f>
        <v>6</v>
      </c>
      <c r="O234" s="6">
        <f t="shared" si="42"/>
        <v>384</v>
      </c>
      <c r="P234" s="18" t="str">
        <f t="shared" si="37"/>
        <v>(232,384)</v>
      </c>
    </row>
    <row r="235" spans="1:16" hidden="1" x14ac:dyDescent="0.2">
      <c r="A235" s="4">
        <f t="shared" si="43"/>
        <v>233</v>
      </c>
      <c r="B235" s="4"/>
      <c r="C235" s="7">
        <f t="shared" si="44"/>
        <v>45463</v>
      </c>
      <c r="D235" s="11" t="str">
        <f t="shared" si="38"/>
        <v>{2024-06-20},</v>
      </c>
      <c r="E235" s="17">
        <f>COUNTIFS(Sheet1!$C:$C,Feuil1!E$1,Sheet1!$D:$D,Feuil1!$C235)</f>
        <v>0</v>
      </c>
      <c r="F235" s="6">
        <f t="shared" si="45"/>
        <v>9</v>
      </c>
      <c r="G235" s="18" t="str">
        <f t="shared" si="39"/>
        <v>(233,9)</v>
      </c>
      <c r="H235" s="17">
        <f>COUNTIFS(Sheet1!$C:$C,Feuil1!H$1,Sheet1!$D:$D,Feuil1!$C235)</f>
        <v>0</v>
      </c>
      <c r="I235" s="6">
        <f t="shared" si="40"/>
        <v>13</v>
      </c>
      <c r="J235" s="18" t="str">
        <f t="shared" si="35"/>
        <v>(233,13)</v>
      </c>
      <c r="K235" s="17">
        <f>COUNTIFS(Sheet1!$C:$C,Feuil1!K$1,Sheet1!$D:$D,Feuil1!$C235)</f>
        <v>0</v>
      </c>
      <c r="L235" s="6">
        <f t="shared" si="41"/>
        <v>6</v>
      </c>
      <c r="M235" s="18" t="str">
        <f t="shared" si="36"/>
        <v>(233,6)</v>
      </c>
      <c r="N235" s="17">
        <f>COUNTIFS(Sheet1!$C:$C,Feuil1!N$1,Sheet1!$D:$D,Feuil1!$C235)</f>
        <v>6</v>
      </c>
      <c r="O235" s="6">
        <f t="shared" si="42"/>
        <v>390</v>
      </c>
      <c r="P235" s="18" t="str">
        <f t="shared" si="37"/>
        <v>(233,390)</v>
      </c>
    </row>
    <row r="236" spans="1:16" hidden="1" x14ac:dyDescent="0.2">
      <c r="A236" s="4">
        <f t="shared" si="43"/>
        <v>234</v>
      </c>
      <c r="B236" s="4"/>
      <c r="C236" s="7">
        <f t="shared" si="44"/>
        <v>45464</v>
      </c>
      <c r="D236" s="11" t="str">
        <f t="shared" si="38"/>
        <v>{2024-06-21},</v>
      </c>
      <c r="E236" s="17">
        <f>COUNTIFS(Sheet1!$C:$C,Feuil1!E$1,Sheet1!$D:$D,Feuil1!$C236)</f>
        <v>0</v>
      </c>
      <c r="F236" s="6">
        <f t="shared" si="45"/>
        <v>9</v>
      </c>
      <c r="G236" s="18" t="str">
        <f t="shared" si="39"/>
        <v>(234,9)</v>
      </c>
      <c r="H236" s="17">
        <f>COUNTIFS(Sheet1!$C:$C,Feuil1!H$1,Sheet1!$D:$D,Feuil1!$C236)</f>
        <v>0</v>
      </c>
      <c r="I236" s="6">
        <f t="shared" si="40"/>
        <v>13</v>
      </c>
      <c r="J236" s="18" t="str">
        <f t="shared" si="35"/>
        <v>(234,13)</v>
      </c>
      <c r="K236" s="17">
        <f>COUNTIFS(Sheet1!$C:$C,Feuil1!K$1,Sheet1!$D:$D,Feuil1!$C236)</f>
        <v>0</v>
      </c>
      <c r="L236" s="6">
        <f t="shared" si="41"/>
        <v>6</v>
      </c>
      <c r="M236" s="18" t="str">
        <f t="shared" si="36"/>
        <v>(234,6)</v>
      </c>
      <c r="N236" s="17">
        <f>COUNTIFS(Sheet1!$C:$C,Feuil1!N$1,Sheet1!$D:$D,Feuil1!$C236)</f>
        <v>3</v>
      </c>
      <c r="O236" s="6">
        <f t="shared" si="42"/>
        <v>393</v>
      </c>
      <c r="P236" s="18" t="str">
        <f t="shared" si="37"/>
        <v>(234,393)</v>
      </c>
    </row>
    <row r="237" spans="1:16" hidden="1" x14ac:dyDescent="0.2">
      <c r="A237" s="4">
        <f t="shared" si="43"/>
        <v>235</v>
      </c>
      <c r="B237" s="4"/>
      <c r="C237" s="7">
        <f t="shared" si="44"/>
        <v>45465</v>
      </c>
      <c r="D237" s="11" t="str">
        <f t="shared" si="38"/>
        <v>{2024-06-22},</v>
      </c>
      <c r="E237" s="17">
        <f>COUNTIFS(Sheet1!$C:$C,Feuil1!E$1,Sheet1!$D:$D,Feuil1!$C237)</f>
        <v>0</v>
      </c>
      <c r="F237" s="6">
        <f t="shared" si="45"/>
        <v>9</v>
      </c>
      <c r="G237" s="18" t="str">
        <f t="shared" si="39"/>
        <v>(235,9)</v>
      </c>
      <c r="H237" s="17">
        <f>COUNTIFS(Sheet1!$C:$C,Feuil1!H$1,Sheet1!$D:$D,Feuil1!$C237)</f>
        <v>0</v>
      </c>
      <c r="I237" s="6">
        <f t="shared" si="40"/>
        <v>13</v>
      </c>
      <c r="J237" s="18" t="str">
        <f t="shared" si="35"/>
        <v>(235,13)</v>
      </c>
      <c r="K237" s="17">
        <f>COUNTIFS(Sheet1!$C:$C,Feuil1!K$1,Sheet1!$D:$D,Feuil1!$C237)</f>
        <v>0</v>
      </c>
      <c r="L237" s="6">
        <f t="shared" si="41"/>
        <v>6</v>
      </c>
      <c r="M237" s="18" t="str">
        <f t="shared" si="36"/>
        <v>(235,6)</v>
      </c>
      <c r="N237" s="17">
        <f>COUNTIFS(Sheet1!$C:$C,Feuil1!N$1,Sheet1!$D:$D,Feuil1!$C237)</f>
        <v>8</v>
      </c>
      <c r="O237" s="6">
        <f t="shared" si="42"/>
        <v>401</v>
      </c>
      <c r="P237" s="18" t="str">
        <f t="shared" si="37"/>
        <v>(235,401)</v>
      </c>
    </row>
    <row r="238" spans="1:16" hidden="1" x14ac:dyDescent="0.2">
      <c r="A238" s="4">
        <f t="shared" si="43"/>
        <v>236</v>
      </c>
      <c r="B238" s="4"/>
      <c r="C238" s="7">
        <f t="shared" si="44"/>
        <v>45466</v>
      </c>
      <c r="D238" s="11" t="str">
        <f t="shared" si="38"/>
        <v>{2024-06-23},</v>
      </c>
      <c r="E238" s="17">
        <f>COUNTIFS(Sheet1!$C:$C,Feuil1!E$1,Sheet1!$D:$D,Feuil1!$C238)</f>
        <v>0</v>
      </c>
      <c r="F238" s="6">
        <f t="shared" si="45"/>
        <v>9</v>
      </c>
      <c r="G238" s="18" t="str">
        <f t="shared" si="39"/>
        <v>(236,9)</v>
      </c>
      <c r="H238" s="17">
        <f>COUNTIFS(Sheet1!$C:$C,Feuil1!H$1,Sheet1!$D:$D,Feuil1!$C238)</f>
        <v>0</v>
      </c>
      <c r="I238" s="6">
        <f t="shared" si="40"/>
        <v>13</v>
      </c>
      <c r="J238" s="18" t="str">
        <f t="shared" si="35"/>
        <v>(236,13)</v>
      </c>
      <c r="K238" s="17">
        <f>COUNTIFS(Sheet1!$C:$C,Feuil1!K$1,Sheet1!$D:$D,Feuil1!$C238)</f>
        <v>0</v>
      </c>
      <c r="L238" s="6">
        <f t="shared" si="41"/>
        <v>6</v>
      </c>
      <c r="M238" s="18" t="str">
        <f t="shared" si="36"/>
        <v>(236,6)</v>
      </c>
      <c r="N238" s="17">
        <f>COUNTIFS(Sheet1!$C:$C,Feuil1!N$1,Sheet1!$D:$D,Feuil1!$C238)</f>
        <v>7</v>
      </c>
      <c r="O238" s="6">
        <f t="shared" si="42"/>
        <v>408</v>
      </c>
      <c r="P238" s="18" t="str">
        <f t="shared" si="37"/>
        <v>(236,408)</v>
      </c>
    </row>
    <row r="239" spans="1:16" hidden="1" x14ac:dyDescent="0.2">
      <c r="A239" s="4">
        <f t="shared" si="43"/>
        <v>237</v>
      </c>
      <c r="B239" s="4"/>
      <c r="C239" s="7">
        <f t="shared" si="44"/>
        <v>45467</v>
      </c>
      <c r="D239" s="11" t="str">
        <f t="shared" si="38"/>
        <v>{2024-06-24},</v>
      </c>
      <c r="E239" s="17">
        <f>COUNTIFS(Sheet1!$C:$C,Feuil1!E$1,Sheet1!$D:$D,Feuil1!$C239)</f>
        <v>0</v>
      </c>
      <c r="F239" s="6">
        <f t="shared" si="45"/>
        <v>9</v>
      </c>
      <c r="G239" s="18" t="str">
        <f t="shared" si="39"/>
        <v>(237,9)</v>
      </c>
      <c r="H239" s="17">
        <f>COUNTIFS(Sheet1!$C:$C,Feuil1!H$1,Sheet1!$D:$D,Feuil1!$C239)</f>
        <v>0</v>
      </c>
      <c r="I239" s="6">
        <f t="shared" si="40"/>
        <v>13</v>
      </c>
      <c r="J239" s="18" t="str">
        <f t="shared" si="35"/>
        <v>(237,13)</v>
      </c>
      <c r="K239" s="17">
        <f>COUNTIFS(Sheet1!$C:$C,Feuil1!K$1,Sheet1!$D:$D,Feuil1!$C239)</f>
        <v>0</v>
      </c>
      <c r="L239" s="6">
        <f t="shared" si="41"/>
        <v>6</v>
      </c>
      <c r="M239" s="18" t="str">
        <f t="shared" si="36"/>
        <v>(237,6)</v>
      </c>
      <c r="N239" s="17">
        <f>COUNTIFS(Sheet1!$C:$C,Feuil1!N$1,Sheet1!$D:$D,Feuil1!$C239)</f>
        <v>7</v>
      </c>
      <c r="O239" s="6">
        <f t="shared" si="42"/>
        <v>415</v>
      </c>
      <c r="P239" s="18" t="str">
        <f t="shared" si="37"/>
        <v>(237,415)</v>
      </c>
    </row>
    <row r="240" spans="1:16" hidden="1" x14ac:dyDescent="0.2">
      <c r="A240" s="4">
        <f t="shared" si="43"/>
        <v>238</v>
      </c>
      <c r="B240" s="4"/>
      <c r="C240" s="7">
        <f t="shared" si="44"/>
        <v>45468</v>
      </c>
      <c r="D240" s="11" t="str">
        <f t="shared" si="38"/>
        <v>{2024-06-25},</v>
      </c>
      <c r="E240" s="17">
        <f>COUNTIFS(Sheet1!$C:$C,Feuil1!E$1,Sheet1!$D:$D,Feuil1!$C240)</f>
        <v>0</v>
      </c>
      <c r="F240" s="6">
        <f t="shared" si="45"/>
        <v>9</v>
      </c>
      <c r="G240" s="18" t="str">
        <f t="shared" si="39"/>
        <v>(238,9)</v>
      </c>
      <c r="H240" s="17">
        <f>COUNTIFS(Sheet1!$C:$C,Feuil1!H$1,Sheet1!$D:$D,Feuil1!$C240)</f>
        <v>0</v>
      </c>
      <c r="I240" s="6">
        <f t="shared" si="40"/>
        <v>13</v>
      </c>
      <c r="J240" s="18" t="str">
        <f t="shared" si="35"/>
        <v>(238,13)</v>
      </c>
      <c r="K240" s="17">
        <f>COUNTIFS(Sheet1!$C:$C,Feuil1!K$1,Sheet1!$D:$D,Feuil1!$C240)</f>
        <v>0</v>
      </c>
      <c r="L240" s="6">
        <f t="shared" si="41"/>
        <v>6</v>
      </c>
      <c r="M240" s="18" t="str">
        <f t="shared" si="36"/>
        <v>(238,6)</v>
      </c>
      <c r="N240" s="17">
        <f>COUNTIFS(Sheet1!$C:$C,Feuil1!N$1,Sheet1!$D:$D,Feuil1!$C240)</f>
        <v>3</v>
      </c>
      <c r="O240" s="6">
        <f t="shared" si="42"/>
        <v>418</v>
      </c>
      <c r="P240" s="18" t="str">
        <f t="shared" si="37"/>
        <v>(238,418)</v>
      </c>
    </row>
    <row r="241" spans="1:16" hidden="1" x14ac:dyDescent="0.2">
      <c r="A241" s="4">
        <f t="shared" si="43"/>
        <v>239</v>
      </c>
      <c r="B241" s="4"/>
      <c r="C241" s="7">
        <f t="shared" si="44"/>
        <v>45469</v>
      </c>
      <c r="D241" s="11" t="str">
        <f t="shared" si="38"/>
        <v>{2024-06-26},</v>
      </c>
      <c r="E241" s="17">
        <f>COUNTIFS(Sheet1!$C:$C,Feuil1!E$1,Sheet1!$D:$D,Feuil1!$C241)</f>
        <v>0</v>
      </c>
      <c r="F241" s="6">
        <f t="shared" si="45"/>
        <v>9</v>
      </c>
      <c r="G241" s="18" t="str">
        <f t="shared" si="39"/>
        <v>(239,9)</v>
      </c>
      <c r="H241" s="17">
        <f>COUNTIFS(Sheet1!$C:$C,Feuil1!H$1,Sheet1!$D:$D,Feuil1!$C241)</f>
        <v>0</v>
      </c>
      <c r="I241" s="6">
        <f t="shared" si="40"/>
        <v>13</v>
      </c>
      <c r="J241" s="18" t="str">
        <f t="shared" si="35"/>
        <v>(239,13)</v>
      </c>
      <c r="K241" s="17">
        <f>COUNTIFS(Sheet1!$C:$C,Feuil1!K$1,Sheet1!$D:$D,Feuil1!$C241)</f>
        <v>0</v>
      </c>
      <c r="L241" s="6">
        <f t="shared" si="41"/>
        <v>6</v>
      </c>
      <c r="M241" s="18" t="str">
        <f t="shared" si="36"/>
        <v>(239,6)</v>
      </c>
      <c r="N241" s="17">
        <f>COUNTIFS(Sheet1!$C:$C,Feuil1!N$1,Sheet1!$D:$D,Feuil1!$C241)</f>
        <v>3</v>
      </c>
      <c r="O241" s="6">
        <f t="shared" si="42"/>
        <v>421</v>
      </c>
      <c r="P241" s="18" t="str">
        <f t="shared" si="37"/>
        <v>(239,421)</v>
      </c>
    </row>
    <row r="242" spans="1:16" hidden="1" x14ac:dyDescent="0.2">
      <c r="A242" s="4">
        <f t="shared" si="43"/>
        <v>240</v>
      </c>
      <c r="B242" s="4"/>
      <c r="C242" s="7">
        <f t="shared" si="44"/>
        <v>45470</v>
      </c>
      <c r="D242" s="11" t="str">
        <f t="shared" si="38"/>
        <v>{2024-06-27},</v>
      </c>
      <c r="E242" s="17">
        <f>COUNTIFS(Sheet1!$C:$C,Feuil1!E$1,Sheet1!$D:$D,Feuil1!$C242)</f>
        <v>0</v>
      </c>
      <c r="F242" s="6">
        <f t="shared" si="45"/>
        <v>9</v>
      </c>
      <c r="G242" s="18" t="str">
        <f t="shared" si="39"/>
        <v>(240,9)</v>
      </c>
      <c r="H242" s="17">
        <f>COUNTIFS(Sheet1!$C:$C,Feuil1!H$1,Sheet1!$D:$D,Feuil1!$C242)</f>
        <v>0</v>
      </c>
      <c r="I242" s="6">
        <f t="shared" si="40"/>
        <v>13</v>
      </c>
      <c r="J242" s="18" t="str">
        <f t="shared" si="35"/>
        <v>(240,13)</v>
      </c>
      <c r="K242" s="17">
        <f>COUNTIFS(Sheet1!$C:$C,Feuil1!K$1,Sheet1!$D:$D,Feuil1!$C242)</f>
        <v>0</v>
      </c>
      <c r="L242" s="6">
        <f t="shared" si="41"/>
        <v>6</v>
      </c>
      <c r="M242" s="18" t="str">
        <f t="shared" si="36"/>
        <v>(240,6)</v>
      </c>
      <c r="N242" s="17">
        <f>COUNTIFS(Sheet1!$C:$C,Feuil1!N$1,Sheet1!$D:$D,Feuil1!$C242)</f>
        <v>6</v>
      </c>
      <c r="O242" s="6">
        <f t="shared" si="42"/>
        <v>427</v>
      </c>
      <c r="P242" s="18" t="str">
        <f t="shared" si="37"/>
        <v>(240,427)</v>
      </c>
    </row>
    <row r="243" spans="1:16" hidden="1" x14ac:dyDescent="0.2">
      <c r="A243" s="4">
        <f t="shared" si="43"/>
        <v>241</v>
      </c>
      <c r="B243" s="4"/>
      <c r="C243" s="7">
        <f t="shared" si="44"/>
        <v>45471</v>
      </c>
      <c r="D243" s="11" t="str">
        <f t="shared" si="38"/>
        <v>{2024-06-28},</v>
      </c>
      <c r="E243" s="17">
        <f>COUNTIFS(Sheet1!$C:$C,Feuil1!E$1,Sheet1!$D:$D,Feuil1!$C243)</f>
        <v>0</v>
      </c>
      <c r="F243" s="6">
        <f t="shared" si="45"/>
        <v>9</v>
      </c>
      <c r="G243" s="18" t="str">
        <f t="shared" si="39"/>
        <v>(241,9)</v>
      </c>
      <c r="H243" s="17">
        <f>COUNTIFS(Sheet1!$C:$C,Feuil1!H$1,Sheet1!$D:$D,Feuil1!$C243)</f>
        <v>0</v>
      </c>
      <c r="I243" s="6">
        <f t="shared" si="40"/>
        <v>13</v>
      </c>
      <c r="J243" s="18" t="str">
        <f t="shared" si="35"/>
        <v>(241,13)</v>
      </c>
      <c r="K243" s="17">
        <f>COUNTIFS(Sheet1!$C:$C,Feuil1!K$1,Sheet1!$D:$D,Feuil1!$C243)</f>
        <v>0</v>
      </c>
      <c r="L243" s="6">
        <f t="shared" si="41"/>
        <v>6</v>
      </c>
      <c r="M243" s="18" t="str">
        <f t="shared" si="36"/>
        <v>(241,6)</v>
      </c>
      <c r="N243" s="17">
        <f>COUNTIFS(Sheet1!$C:$C,Feuil1!N$1,Sheet1!$D:$D,Feuil1!$C243)</f>
        <v>5</v>
      </c>
      <c r="O243" s="6">
        <f t="shared" si="42"/>
        <v>432</v>
      </c>
      <c r="P243" s="18" t="str">
        <f t="shared" si="37"/>
        <v>(241,432)</v>
      </c>
    </row>
    <row r="244" spans="1:16" hidden="1" x14ac:dyDescent="0.2">
      <c r="A244" s="4">
        <f t="shared" si="43"/>
        <v>242</v>
      </c>
      <c r="B244" s="4"/>
      <c r="C244" s="7">
        <f t="shared" si="44"/>
        <v>45472</v>
      </c>
      <c r="D244" s="11" t="str">
        <f t="shared" si="38"/>
        <v>{2024-06-29},</v>
      </c>
      <c r="E244" s="17">
        <f>COUNTIFS(Sheet1!$C:$C,Feuil1!E$1,Sheet1!$D:$D,Feuil1!$C244)</f>
        <v>0</v>
      </c>
      <c r="F244" s="6">
        <f t="shared" si="45"/>
        <v>9</v>
      </c>
      <c r="G244" s="18" t="str">
        <f t="shared" si="39"/>
        <v>(242,9)</v>
      </c>
      <c r="H244" s="17">
        <f>COUNTIFS(Sheet1!$C:$C,Feuil1!H$1,Sheet1!$D:$D,Feuil1!$C244)</f>
        <v>0</v>
      </c>
      <c r="I244" s="6">
        <f t="shared" si="40"/>
        <v>13</v>
      </c>
      <c r="J244" s="18" t="str">
        <f t="shared" si="35"/>
        <v>(242,13)</v>
      </c>
      <c r="K244" s="17">
        <f>COUNTIFS(Sheet1!$C:$C,Feuil1!K$1,Sheet1!$D:$D,Feuil1!$C244)</f>
        <v>0</v>
      </c>
      <c r="L244" s="6">
        <f t="shared" si="41"/>
        <v>6</v>
      </c>
      <c r="M244" s="18" t="str">
        <f t="shared" si="36"/>
        <v>(242,6)</v>
      </c>
      <c r="N244" s="17">
        <f>COUNTIFS(Sheet1!$C:$C,Feuil1!N$1,Sheet1!$D:$D,Feuil1!$C244)</f>
        <v>6</v>
      </c>
      <c r="O244" s="6">
        <f t="shared" si="42"/>
        <v>438</v>
      </c>
      <c r="P244" s="18" t="str">
        <f t="shared" si="37"/>
        <v>(242,438)</v>
      </c>
    </row>
    <row r="245" spans="1:16" hidden="1" x14ac:dyDescent="0.2">
      <c r="A245" s="4">
        <f t="shared" si="43"/>
        <v>243</v>
      </c>
      <c r="B245" s="4"/>
      <c r="C245" s="7">
        <f t="shared" si="44"/>
        <v>45473</v>
      </c>
      <c r="D245" s="11" t="str">
        <f t="shared" si="38"/>
        <v>{2024-06-30},</v>
      </c>
      <c r="E245" s="17">
        <f>COUNTIFS(Sheet1!$C:$C,Feuil1!E$1,Sheet1!$D:$D,Feuil1!$C245)</f>
        <v>0</v>
      </c>
      <c r="F245" s="6">
        <f t="shared" si="45"/>
        <v>9</v>
      </c>
      <c r="G245" s="18" t="str">
        <f t="shared" si="39"/>
        <v>(243,9)</v>
      </c>
      <c r="H245" s="17">
        <f>COUNTIFS(Sheet1!$C:$C,Feuil1!H$1,Sheet1!$D:$D,Feuil1!$C245)</f>
        <v>0</v>
      </c>
      <c r="I245" s="6">
        <f t="shared" si="40"/>
        <v>13</v>
      </c>
      <c r="J245" s="18" t="str">
        <f t="shared" si="35"/>
        <v>(243,13)</v>
      </c>
      <c r="K245" s="17">
        <f>COUNTIFS(Sheet1!$C:$C,Feuil1!K$1,Sheet1!$D:$D,Feuil1!$C245)</f>
        <v>0</v>
      </c>
      <c r="L245" s="6">
        <f t="shared" si="41"/>
        <v>6</v>
      </c>
      <c r="M245" s="18" t="str">
        <f t="shared" si="36"/>
        <v>(243,6)</v>
      </c>
      <c r="N245" s="17">
        <f>COUNTIFS(Sheet1!$C:$C,Feuil1!N$1,Sheet1!$D:$D,Feuil1!$C245)</f>
        <v>4</v>
      </c>
      <c r="O245" s="6">
        <f t="shared" si="42"/>
        <v>442</v>
      </c>
      <c r="P245" s="18" t="str">
        <f t="shared" si="37"/>
        <v>(243,442)</v>
      </c>
    </row>
    <row r="246" spans="1:16" hidden="1" x14ac:dyDescent="0.2">
      <c r="A246" s="4">
        <f t="shared" si="43"/>
        <v>244</v>
      </c>
      <c r="B246" s="4"/>
      <c r="C246" s="5">
        <f t="shared" si="44"/>
        <v>45474</v>
      </c>
      <c r="D246" s="11" t="str">
        <f t="shared" si="38"/>
        <v>{2024-07-01},</v>
      </c>
      <c r="E246" s="17">
        <f>COUNTIFS(Sheet1!$C:$C,Feuil1!E$1,Sheet1!$D:$D,Feuil1!$C246)</f>
        <v>0</v>
      </c>
      <c r="F246" s="6">
        <f t="shared" si="45"/>
        <v>9</v>
      </c>
      <c r="G246" s="18" t="str">
        <f t="shared" si="39"/>
        <v>(244,9)</v>
      </c>
      <c r="H246" s="17">
        <f>COUNTIFS(Sheet1!$C:$C,Feuil1!H$1,Sheet1!$D:$D,Feuil1!$C246)</f>
        <v>0</v>
      </c>
      <c r="I246" s="6">
        <f t="shared" si="40"/>
        <v>13</v>
      </c>
      <c r="J246" s="18" t="str">
        <f t="shared" si="35"/>
        <v>(244,13)</v>
      </c>
      <c r="K246" s="17">
        <f>COUNTIFS(Sheet1!$C:$C,Feuil1!K$1,Sheet1!$D:$D,Feuil1!$C246)</f>
        <v>0</v>
      </c>
      <c r="L246" s="6">
        <f t="shared" si="41"/>
        <v>6</v>
      </c>
      <c r="M246" s="18" t="str">
        <f t="shared" si="36"/>
        <v>(244,6)</v>
      </c>
      <c r="N246" s="17">
        <f>COUNTIFS(Sheet1!$C:$C,Feuil1!N$1,Sheet1!$D:$D,Feuil1!$C246)</f>
        <v>5</v>
      </c>
      <c r="O246" s="6">
        <f t="shared" si="42"/>
        <v>447</v>
      </c>
      <c r="P246" s="18" t="str">
        <f t="shared" si="37"/>
        <v>(244,447)</v>
      </c>
    </row>
    <row r="247" spans="1:16" hidden="1" x14ac:dyDescent="0.2">
      <c r="A247" s="4">
        <f t="shared" si="43"/>
        <v>245</v>
      </c>
      <c r="B247" s="4"/>
      <c r="C247" s="7">
        <f t="shared" si="44"/>
        <v>45475</v>
      </c>
      <c r="D247" s="11" t="str">
        <f t="shared" si="38"/>
        <v>{2024-07-02},</v>
      </c>
      <c r="E247" s="17">
        <f>COUNTIFS(Sheet1!$C:$C,Feuil1!E$1,Sheet1!$D:$D,Feuil1!$C247)</f>
        <v>0</v>
      </c>
      <c r="F247" s="6">
        <f t="shared" si="45"/>
        <v>9</v>
      </c>
      <c r="G247" s="18" t="str">
        <f t="shared" si="39"/>
        <v>(245,9)</v>
      </c>
      <c r="H247" s="17">
        <f>COUNTIFS(Sheet1!$C:$C,Feuil1!H$1,Sheet1!$D:$D,Feuil1!$C247)</f>
        <v>0</v>
      </c>
      <c r="I247" s="6">
        <f t="shared" si="40"/>
        <v>13</v>
      </c>
      <c r="J247" s="18" t="str">
        <f t="shared" si="35"/>
        <v>(245,13)</v>
      </c>
      <c r="K247" s="17">
        <f>COUNTIFS(Sheet1!$C:$C,Feuil1!K$1,Sheet1!$D:$D,Feuil1!$C247)</f>
        <v>0</v>
      </c>
      <c r="L247" s="6">
        <f t="shared" si="41"/>
        <v>6</v>
      </c>
      <c r="M247" s="18" t="str">
        <f t="shared" si="36"/>
        <v>(245,6)</v>
      </c>
      <c r="N247" s="17">
        <f>COUNTIFS(Sheet1!$C:$C,Feuil1!N$1,Sheet1!$D:$D,Feuil1!$C247)</f>
        <v>5</v>
      </c>
      <c r="O247" s="6">
        <f t="shared" si="42"/>
        <v>452</v>
      </c>
      <c r="P247" s="18" t="str">
        <f t="shared" si="37"/>
        <v>(245,452)</v>
      </c>
    </row>
    <row r="248" spans="1:16" hidden="1" x14ac:dyDescent="0.2">
      <c r="A248" s="4">
        <f t="shared" si="43"/>
        <v>246</v>
      </c>
      <c r="B248" s="4"/>
      <c r="C248" s="7">
        <f t="shared" si="44"/>
        <v>45476</v>
      </c>
      <c r="D248" s="11" t="str">
        <f t="shared" si="38"/>
        <v>{2024-07-03},</v>
      </c>
      <c r="E248" s="17">
        <f>COUNTIFS(Sheet1!$C:$C,Feuil1!E$1,Sheet1!$D:$D,Feuil1!$C248)</f>
        <v>1</v>
      </c>
      <c r="F248" s="6">
        <f t="shared" si="45"/>
        <v>10</v>
      </c>
      <c r="G248" s="18" t="str">
        <f t="shared" si="39"/>
        <v>(246,10)</v>
      </c>
      <c r="H248" s="17">
        <f>COUNTIFS(Sheet1!$C:$C,Feuil1!H$1,Sheet1!$D:$D,Feuil1!$C248)</f>
        <v>0</v>
      </c>
      <c r="I248" s="6">
        <f t="shared" si="40"/>
        <v>13</v>
      </c>
      <c r="J248" s="18" t="str">
        <f t="shared" si="35"/>
        <v>(246,13)</v>
      </c>
      <c r="K248" s="17">
        <f>COUNTIFS(Sheet1!$C:$C,Feuil1!K$1,Sheet1!$D:$D,Feuil1!$C248)</f>
        <v>0</v>
      </c>
      <c r="L248" s="6">
        <f t="shared" si="41"/>
        <v>6</v>
      </c>
      <c r="M248" s="18" t="str">
        <f t="shared" si="36"/>
        <v>(246,6)</v>
      </c>
      <c r="N248" s="17">
        <f>COUNTIFS(Sheet1!$C:$C,Feuil1!N$1,Sheet1!$D:$D,Feuil1!$C248)</f>
        <v>4</v>
      </c>
      <c r="O248" s="6">
        <f t="shared" si="42"/>
        <v>456</v>
      </c>
      <c r="P248" s="18" t="str">
        <f t="shared" si="37"/>
        <v>(246,456)</v>
      </c>
    </row>
    <row r="249" spans="1:16" hidden="1" x14ac:dyDescent="0.2">
      <c r="A249" s="4">
        <f t="shared" si="43"/>
        <v>247</v>
      </c>
      <c r="B249" s="4"/>
      <c r="C249" s="7">
        <f t="shared" si="44"/>
        <v>45477</v>
      </c>
      <c r="D249" s="11" t="str">
        <f t="shared" si="38"/>
        <v>{2024-07-04},</v>
      </c>
      <c r="E249" s="17">
        <f>COUNTIFS(Sheet1!$C:$C,Feuil1!E$1,Sheet1!$D:$D,Feuil1!$C249)</f>
        <v>0</v>
      </c>
      <c r="F249" s="6">
        <f t="shared" si="45"/>
        <v>10</v>
      </c>
      <c r="G249" s="18" t="str">
        <f t="shared" si="39"/>
        <v>(247,10)</v>
      </c>
      <c r="H249" s="17">
        <f>COUNTIFS(Sheet1!$C:$C,Feuil1!H$1,Sheet1!$D:$D,Feuil1!$C249)</f>
        <v>0</v>
      </c>
      <c r="I249" s="6">
        <f t="shared" si="40"/>
        <v>13</v>
      </c>
      <c r="J249" s="18" t="str">
        <f t="shared" si="35"/>
        <v>(247,13)</v>
      </c>
      <c r="K249" s="17">
        <f>COUNTIFS(Sheet1!$C:$C,Feuil1!K$1,Sheet1!$D:$D,Feuil1!$C249)</f>
        <v>0</v>
      </c>
      <c r="L249" s="6">
        <f t="shared" si="41"/>
        <v>6</v>
      </c>
      <c r="M249" s="18" t="str">
        <f t="shared" si="36"/>
        <v>(247,6)</v>
      </c>
      <c r="N249" s="17">
        <f>COUNTIFS(Sheet1!$C:$C,Feuil1!N$1,Sheet1!$D:$D,Feuil1!$C249)</f>
        <v>4</v>
      </c>
      <c r="O249" s="6">
        <f t="shared" si="42"/>
        <v>460</v>
      </c>
      <c r="P249" s="18" t="str">
        <f t="shared" si="37"/>
        <v>(247,460)</v>
      </c>
    </row>
    <row r="250" spans="1:16" hidden="1" x14ac:dyDescent="0.2">
      <c r="A250" s="4">
        <f t="shared" si="43"/>
        <v>248</v>
      </c>
      <c r="B250" s="4"/>
      <c r="C250" s="7">
        <f t="shared" si="44"/>
        <v>45478</v>
      </c>
      <c r="D250" s="11" t="str">
        <f t="shared" si="38"/>
        <v>{2024-07-05},</v>
      </c>
      <c r="E250" s="17">
        <f>COUNTIFS(Sheet1!$C:$C,Feuil1!E$1,Sheet1!$D:$D,Feuil1!$C250)</f>
        <v>0</v>
      </c>
      <c r="F250" s="6">
        <f t="shared" si="45"/>
        <v>10</v>
      </c>
      <c r="G250" s="18" t="str">
        <f t="shared" si="39"/>
        <v>(248,10)</v>
      </c>
      <c r="H250" s="17">
        <f>COUNTIFS(Sheet1!$C:$C,Feuil1!H$1,Sheet1!$D:$D,Feuil1!$C250)</f>
        <v>0</v>
      </c>
      <c r="I250" s="6">
        <f t="shared" si="40"/>
        <v>13</v>
      </c>
      <c r="J250" s="18" t="str">
        <f t="shared" si="35"/>
        <v>(248,13)</v>
      </c>
      <c r="K250" s="17">
        <f>COUNTIFS(Sheet1!$C:$C,Feuil1!K$1,Sheet1!$D:$D,Feuil1!$C250)</f>
        <v>0</v>
      </c>
      <c r="L250" s="6">
        <f t="shared" si="41"/>
        <v>6</v>
      </c>
      <c r="M250" s="18" t="str">
        <f t="shared" si="36"/>
        <v>(248,6)</v>
      </c>
      <c r="N250" s="17">
        <f>COUNTIFS(Sheet1!$C:$C,Feuil1!N$1,Sheet1!$D:$D,Feuil1!$C250)</f>
        <v>10</v>
      </c>
      <c r="O250" s="6">
        <f t="shared" si="42"/>
        <v>470</v>
      </c>
      <c r="P250" s="18" t="str">
        <f t="shared" si="37"/>
        <v>(248,470)</v>
      </c>
    </row>
    <row r="251" spans="1:16" hidden="1" x14ac:dyDescent="0.2">
      <c r="A251" s="4">
        <f t="shared" si="43"/>
        <v>249</v>
      </c>
      <c r="B251" s="4"/>
      <c r="C251" s="7">
        <f t="shared" si="44"/>
        <v>45479</v>
      </c>
      <c r="D251" s="11" t="str">
        <f t="shared" si="38"/>
        <v>{2024-07-06},</v>
      </c>
      <c r="E251" s="17">
        <f>COUNTIFS(Sheet1!$C:$C,Feuil1!E$1,Sheet1!$D:$D,Feuil1!$C251)</f>
        <v>0</v>
      </c>
      <c r="F251" s="6">
        <f t="shared" si="45"/>
        <v>10</v>
      </c>
      <c r="G251" s="18" t="str">
        <f t="shared" si="39"/>
        <v>(249,10)</v>
      </c>
      <c r="H251" s="17">
        <f>COUNTIFS(Sheet1!$C:$C,Feuil1!H$1,Sheet1!$D:$D,Feuil1!$C251)</f>
        <v>0</v>
      </c>
      <c r="I251" s="6">
        <f t="shared" si="40"/>
        <v>13</v>
      </c>
      <c r="J251" s="18" t="str">
        <f t="shared" si="35"/>
        <v>(249,13)</v>
      </c>
      <c r="K251" s="17">
        <f>COUNTIFS(Sheet1!$C:$C,Feuil1!K$1,Sheet1!$D:$D,Feuil1!$C251)</f>
        <v>0</v>
      </c>
      <c r="L251" s="6">
        <f t="shared" si="41"/>
        <v>6</v>
      </c>
      <c r="M251" s="18" t="str">
        <f t="shared" si="36"/>
        <v>(249,6)</v>
      </c>
      <c r="N251" s="17">
        <f>COUNTIFS(Sheet1!$C:$C,Feuil1!N$1,Sheet1!$D:$D,Feuil1!$C251)</f>
        <v>4</v>
      </c>
      <c r="O251" s="6">
        <f t="shared" si="42"/>
        <v>474</v>
      </c>
      <c r="P251" s="18" t="str">
        <f t="shared" si="37"/>
        <v>(249,474)</v>
      </c>
    </row>
    <row r="252" spans="1:16" hidden="1" x14ac:dyDescent="0.2">
      <c r="A252" s="4">
        <f t="shared" si="43"/>
        <v>250</v>
      </c>
      <c r="B252" s="4"/>
      <c r="C252" s="7">
        <f t="shared" si="44"/>
        <v>45480</v>
      </c>
      <c r="D252" s="11" t="str">
        <f t="shared" si="38"/>
        <v>{2024-07-07},</v>
      </c>
      <c r="E252" s="17">
        <f>COUNTIFS(Sheet1!$C:$C,Feuil1!E$1,Sheet1!$D:$D,Feuil1!$C252)</f>
        <v>0</v>
      </c>
      <c r="F252" s="6">
        <f t="shared" si="45"/>
        <v>10</v>
      </c>
      <c r="G252" s="18" t="str">
        <f t="shared" si="39"/>
        <v>(250,10)</v>
      </c>
      <c r="H252" s="17">
        <f>COUNTIFS(Sheet1!$C:$C,Feuil1!H$1,Sheet1!$D:$D,Feuil1!$C252)</f>
        <v>0</v>
      </c>
      <c r="I252" s="6">
        <f t="shared" si="40"/>
        <v>13</v>
      </c>
      <c r="J252" s="18" t="str">
        <f t="shared" si="35"/>
        <v>(250,13)</v>
      </c>
      <c r="K252" s="17">
        <f>COUNTIFS(Sheet1!$C:$C,Feuil1!K$1,Sheet1!$D:$D,Feuil1!$C252)</f>
        <v>0</v>
      </c>
      <c r="L252" s="6">
        <f t="shared" si="41"/>
        <v>6</v>
      </c>
      <c r="M252" s="18" t="str">
        <f t="shared" si="36"/>
        <v>(250,6)</v>
      </c>
      <c r="N252" s="17">
        <f>COUNTIFS(Sheet1!$C:$C,Feuil1!N$1,Sheet1!$D:$D,Feuil1!$C252)</f>
        <v>6</v>
      </c>
      <c r="O252" s="6">
        <f t="shared" si="42"/>
        <v>480</v>
      </c>
      <c r="P252" s="18" t="str">
        <f t="shared" si="37"/>
        <v>(250,480)</v>
      </c>
    </row>
    <row r="253" spans="1:16" hidden="1" x14ac:dyDescent="0.2">
      <c r="A253" s="4">
        <f t="shared" si="43"/>
        <v>251</v>
      </c>
      <c r="B253" s="4"/>
      <c r="C253" s="7">
        <f t="shared" si="44"/>
        <v>45481</v>
      </c>
      <c r="D253" s="11" t="str">
        <f t="shared" si="38"/>
        <v>{2024-07-08},</v>
      </c>
      <c r="E253" s="17">
        <f>COUNTIFS(Sheet1!$C:$C,Feuil1!E$1,Sheet1!$D:$D,Feuil1!$C253)</f>
        <v>0</v>
      </c>
      <c r="F253" s="6">
        <f t="shared" si="45"/>
        <v>10</v>
      </c>
      <c r="G253" s="18" t="str">
        <f t="shared" si="39"/>
        <v>(251,10)</v>
      </c>
      <c r="H253" s="17">
        <f>COUNTIFS(Sheet1!$C:$C,Feuil1!H$1,Sheet1!$D:$D,Feuil1!$C253)</f>
        <v>0</v>
      </c>
      <c r="I253" s="6">
        <f t="shared" si="40"/>
        <v>13</v>
      </c>
      <c r="J253" s="18" t="str">
        <f t="shared" si="35"/>
        <v>(251,13)</v>
      </c>
      <c r="K253" s="17">
        <f>COUNTIFS(Sheet1!$C:$C,Feuil1!K$1,Sheet1!$D:$D,Feuil1!$C253)</f>
        <v>0</v>
      </c>
      <c r="L253" s="6">
        <f t="shared" si="41"/>
        <v>6</v>
      </c>
      <c r="M253" s="18" t="str">
        <f t="shared" si="36"/>
        <v>(251,6)</v>
      </c>
      <c r="N253" s="17">
        <f>COUNTIFS(Sheet1!$C:$C,Feuil1!N$1,Sheet1!$D:$D,Feuil1!$C253)</f>
        <v>2</v>
      </c>
      <c r="O253" s="6">
        <f t="shared" si="42"/>
        <v>482</v>
      </c>
      <c r="P253" s="18" t="str">
        <f t="shared" si="37"/>
        <v>(251,482)</v>
      </c>
    </row>
    <row r="254" spans="1:16" hidden="1" x14ac:dyDescent="0.2">
      <c r="A254" s="4">
        <f t="shared" si="43"/>
        <v>252</v>
      </c>
      <c r="B254" s="4"/>
      <c r="C254" s="7">
        <f t="shared" si="44"/>
        <v>45482</v>
      </c>
      <c r="D254" s="11" t="str">
        <f t="shared" si="38"/>
        <v>{2024-07-09},</v>
      </c>
      <c r="E254" s="17">
        <f>COUNTIFS(Sheet1!$C:$C,Feuil1!E$1,Sheet1!$D:$D,Feuil1!$C254)</f>
        <v>0</v>
      </c>
      <c r="F254" s="6">
        <f t="shared" si="45"/>
        <v>10</v>
      </c>
      <c r="G254" s="18" t="str">
        <f t="shared" si="39"/>
        <v>(252,10)</v>
      </c>
      <c r="H254" s="17">
        <f>COUNTIFS(Sheet1!$C:$C,Feuil1!H$1,Sheet1!$D:$D,Feuil1!$C254)</f>
        <v>0</v>
      </c>
      <c r="I254" s="6">
        <f t="shared" si="40"/>
        <v>13</v>
      </c>
      <c r="J254" s="18" t="str">
        <f t="shared" si="35"/>
        <v>(252,13)</v>
      </c>
      <c r="K254" s="17">
        <f>COUNTIFS(Sheet1!$C:$C,Feuil1!K$1,Sheet1!$D:$D,Feuil1!$C254)</f>
        <v>0</v>
      </c>
      <c r="L254" s="6">
        <f t="shared" si="41"/>
        <v>6</v>
      </c>
      <c r="M254" s="18" t="str">
        <f t="shared" si="36"/>
        <v>(252,6)</v>
      </c>
      <c r="N254" s="17">
        <f>COUNTIFS(Sheet1!$C:$C,Feuil1!N$1,Sheet1!$D:$D,Feuil1!$C254)</f>
        <v>1</v>
      </c>
      <c r="O254" s="6">
        <f t="shared" si="42"/>
        <v>483</v>
      </c>
      <c r="P254" s="18" t="str">
        <f t="shared" si="37"/>
        <v>(252,483)</v>
      </c>
    </row>
    <row r="255" spans="1:16" hidden="1" x14ac:dyDescent="0.2">
      <c r="A255" s="4">
        <f t="shared" si="43"/>
        <v>253</v>
      </c>
      <c r="B255" s="4"/>
      <c r="C255" s="7">
        <f t="shared" si="44"/>
        <v>45483</v>
      </c>
      <c r="D255" s="11" t="str">
        <f t="shared" si="38"/>
        <v>{2024-07-10},</v>
      </c>
      <c r="E255" s="17">
        <f>COUNTIFS(Sheet1!$C:$C,Feuil1!E$1,Sheet1!$D:$D,Feuil1!$C255)</f>
        <v>0</v>
      </c>
      <c r="F255" s="6">
        <f t="shared" si="45"/>
        <v>10</v>
      </c>
      <c r="G255" s="18" t="str">
        <f t="shared" si="39"/>
        <v>(253,10)</v>
      </c>
      <c r="H255" s="17">
        <f>COUNTIFS(Sheet1!$C:$C,Feuil1!H$1,Sheet1!$D:$D,Feuil1!$C255)</f>
        <v>0</v>
      </c>
      <c r="I255" s="6">
        <f t="shared" si="40"/>
        <v>13</v>
      </c>
      <c r="J255" s="18" t="str">
        <f t="shared" si="35"/>
        <v>(253,13)</v>
      </c>
      <c r="K255" s="17">
        <f>COUNTIFS(Sheet1!$C:$C,Feuil1!K$1,Sheet1!$D:$D,Feuil1!$C255)</f>
        <v>0</v>
      </c>
      <c r="L255" s="6">
        <f t="shared" si="41"/>
        <v>6</v>
      </c>
      <c r="M255" s="18" t="str">
        <f t="shared" si="36"/>
        <v>(253,6)</v>
      </c>
      <c r="N255" s="17">
        <f>COUNTIFS(Sheet1!$C:$C,Feuil1!N$1,Sheet1!$D:$D,Feuil1!$C255)</f>
        <v>4</v>
      </c>
      <c r="O255" s="6">
        <f t="shared" si="42"/>
        <v>487</v>
      </c>
      <c r="P255" s="18" t="str">
        <f t="shared" si="37"/>
        <v>(253,487)</v>
      </c>
    </row>
    <row r="256" spans="1:16" hidden="1" x14ac:dyDescent="0.2">
      <c r="A256" s="4">
        <f t="shared" si="43"/>
        <v>254</v>
      </c>
      <c r="B256" s="4"/>
      <c r="C256" s="7">
        <f t="shared" si="44"/>
        <v>45484</v>
      </c>
      <c r="D256" s="11" t="str">
        <f t="shared" si="38"/>
        <v>{2024-07-11},</v>
      </c>
      <c r="E256" s="17">
        <f>COUNTIFS(Sheet1!$C:$C,Feuil1!E$1,Sheet1!$D:$D,Feuil1!$C256)</f>
        <v>0</v>
      </c>
      <c r="F256" s="6">
        <f t="shared" si="45"/>
        <v>10</v>
      </c>
      <c r="G256" s="18" t="str">
        <f t="shared" si="39"/>
        <v>(254,10)</v>
      </c>
      <c r="H256" s="17">
        <f>COUNTIFS(Sheet1!$C:$C,Feuil1!H$1,Sheet1!$D:$D,Feuil1!$C256)</f>
        <v>0</v>
      </c>
      <c r="I256" s="6">
        <f t="shared" si="40"/>
        <v>13</v>
      </c>
      <c r="J256" s="18" t="str">
        <f t="shared" si="35"/>
        <v>(254,13)</v>
      </c>
      <c r="K256" s="17">
        <f>COUNTIFS(Sheet1!$C:$C,Feuil1!K$1,Sheet1!$D:$D,Feuil1!$C256)</f>
        <v>0</v>
      </c>
      <c r="L256" s="6">
        <f t="shared" si="41"/>
        <v>6</v>
      </c>
      <c r="M256" s="18" t="str">
        <f t="shared" si="36"/>
        <v>(254,6)</v>
      </c>
      <c r="N256" s="17">
        <f>COUNTIFS(Sheet1!$C:$C,Feuil1!N$1,Sheet1!$D:$D,Feuil1!$C256)</f>
        <v>6</v>
      </c>
      <c r="O256" s="6">
        <f t="shared" si="42"/>
        <v>493</v>
      </c>
      <c r="P256" s="18" t="str">
        <f t="shared" si="37"/>
        <v>(254,493)</v>
      </c>
    </row>
    <row r="257" spans="1:16" hidden="1" x14ac:dyDescent="0.2">
      <c r="A257" s="4">
        <f t="shared" si="43"/>
        <v>255</v>
      </c>
      <c r="B257" s="4"/>
      <c r="C257" s="7">
        <f t="shared" si="44"/>
        <v>45485</v>
      </c>
      <c r="D257" s="11" t="str">
        <f t="shared" si="38"/>
        <v>{2024-07-12},</v>
      </c>
      <c r="E257" s="17">
        <f>COUNTIFS(Sheet1!$C:$C,Feuil1!E$1,Sheet1!$D:$D,Feuil1!$C257)</f>
        <v>0</v>
      </c>
      <c r="F257" s="6">
        <f t="shared" si="45"/>
        <v>10</v>
      </c>
      <c r="G257" s="18" t="str">
        <f t="shared" si="39"/>
        <v>(255,10)</v>
      </c>
      <c r="H257" s="17">
        <f>COUNTIFS(Sheet1!$C:$C,Feuil1!H$1,Sheet1!$D:$D,Feuil1!$C257)</f>
        <v>0</v>
      </c>
      <c r="I257" s="6">
        <f t="shared" si="40"/>
        <v>13</v>
      </c>
      <c r="J257" s="18" t="str">
        <f t="shared" si="35"/>
        <v>(255,13)</v>
      </c>
      <c r="K257" s="17">
        <f>COUNTIFS(Sheet1!$C:$C,Feuil1!K$1,Sheet1!$D:$D,Feuil1!$C257)</f>
        <v>0</v>
      </c>
      <c r="L257" s="6">
        <f t="shared" si="41"/>
        <v>6</v>
      </c>
      <c r="M257" s="18" t="str">
        <f t="shared" si="36"/>
        <v>(255,6)</v>
      </c>
      <c r="N257" s="17">
        <f>COUNTIFS(Sheet1!$C:$C,Feuil1!N$1,Sheet1!$D:$D,Feuil1!$C257)</f>
        <v>3</v>
      </c>
      <c r="O257" s="6">
        <f t="shared" si="42"/>
        <v>496</v>
      </c>
      <c r="P257" s="18" t="str">
        <f t="shared" si="37"/>
        <v>(255,496)</v>
      </c>
    </row>
    <row r="258" spans="1:16" hidden="1" x14ac:dyDescent="0.2">
      <c r="A258" s="4">
        <f t="shared" si="43"/>
        <v>256</v>
      </c>
      <c r="B258" s="4"/>
      <c r="C258" s="7">
        <f t="shared" si="44"/>
        <v>45486</v>
      </c>
      <c r="D258" s="11" t="str">
        <f t="shared" si="38"/>
        <v>{2024-07-13},</v>
      </c>
      <c r="E258" s="17">
        <f>COUNTIFS(Sheet1!$C:$C,Feuil1!E$1,Sheet1!$D:$D,Feuil1!$C258)</f>
        <v>0</v>
      </c>
      <c r="F258" s="6">
        <f t="shared" si="45"/>
        <v>10</v>
      </c>
      <c r="G258" s="18" t="str">
        <f t="shared" si="39"/>
        <v>(256,10)</v>
      </c>
      <c r="H258" s="17">
        <f>COUNTIFS(Sheet1!$C:$C,Feuil1!H$1,Sheet1!$D:$D,Feuil1!$C258)</f>
        <v>0</v>
      </c>
      <c r="I258" s="6">
        <f t="shared" si="40"/>
        <v>13</v>
      </c>
      <c r="J258" s="18" t="str">
        <f t="shared" si="35"/>
        <v>(256,13)</v>
      </c>
      <c r="K258" s="17">
        <f>COUNTIFS(Sheet1!$C:$C,Feuil1!K$1,Sheet1!$D:$D,Feuil1!$C258)</f>
        <v>0</v>
      </c>
      <c r="L258" s="6">
        <f t="shared" si="41"/>
        <v>6</v>
      </c>
      <c r="M258" s="18" t="str">
        <f t="shared" si="36"/>
        <v>(256,6)</v>
      </c>
      <c r="N258" s="17">
        <f>COUNTIFS(Sheet1!$C:$C,Feuil1!N$1,Sheet1!$D:$D,Feuil1!$C258)</f>
        <v>3</v>
      </c>
      <c r="O258" s="6">
        <f t="shared" si="42"/>
        <v>499</v>
      </c>
      <c r="P258" s="18" t="str">
        <f t="shared" si="37"/>
        <v>(256,499)</v>
      </c>
    </row>
    <row r="259" spans="1:16" hidden="1" x14ac:dyDescent="0.2">
      <c r="A259" s="4">
        <f t="shared" si="43"/>
        <v>257</v>
      </c>
      <c r="B259" s="4"/>
      <c r="C259" s="7">
        <f t="shared" si="44"/>
        <v>45487</v>
      </c>
      <c r="D259" s="11" t="str">
        <f t="shared" si="38"/>
        <v>{2024-07-14},</v>
      </c>
      <c r="E259" s="17">
        <f>COUNTIFS(Sheet1!$C:$C,Feuil1!E$1,Sheet1!$D:$D,Feuil1!$C259)</f>
        <v>0</v>
      </c>
      <c r="F259" s="6">
        <f t="shared" si="45"/>
        <v>10</v>
      </c>
      <c r="G259" s="18" t="str">
        <f t="shared" si="39"/>
        <v>(257,10)</v>
      </c>
      <c r="H259" s="17">
        <f>COUNTIFS(Sheet1!$C:$C,Feuil1!H$1,Sheet1!$D:$D,Feuil1!$C259)</f>
        <v>0</v>
      </c>
      <c r="I259" s="6">
        <f t="shared" si="40"/>
        <v>13</v>
      </c>
      <c r="J259" s="18" t="str">
        <f t="shared" ref="J259:J322" si="46">_xlfn.CONCAT("(",$A259,",",I259,")")</f>
        <v>(257,13)</v>
      </c>
      <c r="K259" s="17">
        <f>COUNTIFS(Sheet1!$C:$C,Feuil1!K$1,Sheet1!$D:$D,Feuil1!$C259)</f>
        <v>0</v>
      </c>
      <c r="L259" s="6">
        <f t="shared" si="41"/>
        <v>6</v>
      </c>
      <c r="M259" s="18" t="str">
        <f t="shared" ref="M259:M322" si="47">_xlfn.CONCAT("(",$A259,",",L259,")")</f>
        <v>(257,6)</v>
      </c>
      <c r="N259" s="17">
        <f>COUNTIFS(Sheet1!$C:$C,Feuil1!N$1,Sheet1!$D:$D,Feuil1!$C259)</f>
        <v>5</v>
      </c>
      <c r="O259" s="6">
        <f t="shared" si="42"/>
        <v>504</v>
      </c>
      <c r="P259" s="18" t="str">
        <f t="shared" ref="P259:P322" si="48">_xlfn.CONCAT("(",$A259,",",O259,")")</f>
        <v>(257,504)</v>
      </c>
    </row>
    <row r="260" spans="1:16" hidden="1" x14ac:dyDescent="0.2">
      <c r="A260" s="4">
        <f t="shared" si="43"/>
        <v>258</v>
      </c>
      <c r="B260" s="4"/>
      <c r="C260" s="7">
        <f t="shared" si="44"/>
        <v>45488</v>
      </c>
      <c r="D260" s="11" t="str">
        <f t="shared" ref="D260:D323" si="49">_xlfn.CONCAT("{",TEXT(C260,"aaaa-mm-dd"),"},")</f>
        <v>{2024-07-15},</v>
      </c>
      <c r="E260" s="17">
        <f>COUNTIFS(Sheet1!$C:$C,Feuil1!E$1,Sheet1!$D:$D,Feuil1!$C260)</f>
        <v>1</v>
      </c>
      <c r="F260" s="6">
        <f t="shared" si="45"/>
        <v>11</v>
      </c>
      <c r="G260" s="18" t="str">
        <f t="shared" ref="G260:G323" si="50">_xlfn.CONCAT("(",$A260,",",F260,")")</f>
        <v>(258,11)</v>
      </c>
      <c r="H260" s="17">
        <f>COUNTIFS(Sheet1!$C:$C,Feuil1!H$1,Sheet1!$D:$D,Feuil1!$C260)</f>
        <v>0</v>
      </c>
      <c r="I260" s="6">
        <f t="shared" ref="I260:I323" si="51">I259+H260</f>
        <v>13</v>
      </c>
      <c r="J260" s="18" t="str">
        <f t="shared" si="46"/>
        <v>(258,13)</v>
      </c>
      <c r="K260" s="17">
        <f>COUNTIFS(Sheet1!$C:$C,Feuil1!K$1,Sheet1!$D:$D,Feuil1!$C260)</f>
        <v>0</v>
      </c>
      <c r="L260" s="6">
        <f t="shared" ref="L260:L323" si="52">L259+K260</f>
        <v>6</v>
      </c>
      <c r="M260" s="18" t="str">
        <f t="shared" si="47"/>
        <v>(258,6)</v>
      </c>
      <c r="N260" s="17">
        <f>COUNTIFS(Sheet1!$C:$C,Feuil1!N$1,Sheet1!$D:$D,Feuil1!$C260)</f>
        <v>3</v>
      </c>
      <c r="O260" s="6">
        <f t="shared" ref="O260:O323" si="53">O259+N260</f>
        <v>507</v>
      </c>
      <c r="P260" s="18" t="str">
        <f t="shared" si="48"/>
        <v>(258,507)</v>
      </c>
    </row>
    <row r="261" spans="1:16" hidden="1" x14ac:dyDescent="0.2">
      <c r="A261" s="4">
        <f t="shared" ref="A261:A324" si="54">A260+1</f>
        <v>259</v>
      </c>
      <c r="B261" s="4"/>
      <c r="C261" s="7">
        <f t="shared" ref="C261:C324" si="55">C260+1</f>
        <v>45489</v>
      </c>
      <c r="D261" s="11" t="str">
        <f t="shared" si="49"/>
        <v>{2024-07-16},</v>
      </c>
      <c r="E261" s="17">
        <f>COUNTIFS(Sheet1!$C:$C,Feuil1!E$1,Sheet1!$D:$D,Feuil1!$C261)</f>
        <v>0</v>
      </c>
      <c r="F261" s="6">
        <f t="shared" ref="F261:F324" si="56">F260+E261</f>
        <v>11</v>
      </c>
      <c r="G261" s="18" t="str">
        <f t="shared" si="50"/>
        <v>(259,11)</v>
      </c>
      <c r="H261" s="17">
        <f>COUNTIFS(Sheet1!$C:$C,Feuil1!H$1,Sheet1!$D:$D,Feuil1!$C261)</f>
        <v>0</v>
      </c>
      <c r="I261" s="6">
        <f t="shared" si="51"/>
        <v>13</v>
      </c>
      <c r="J261" s="18" t="str">
        <f t="shared" si="46"/>
        <v>(259,13)</v>
      </c>
      <c r="K261" s="17">
        <f>COUNTIFS(Sheet1!$C:$C,Feuil1!K$1,Sheet1!$D:$D,Feuil1!$C261)</f>
        <v>0</v>
      </c>
      <c r="L261" s="6">
        <f t="shared" si="52"/>
        <v>6</v>
      </c>
      <c r="M261" s="18" t="str">
        <f t="shared" si="47"/>
        <v>(259,6)</v>
      </c>
      <c r="N261" s="17">
        <f>COUNTIFS(Sheet1!$C:$C,Feuil1!N$1,Sheet1!$D:$D,Feuil1!$C261)</f>
        <v>3</v>
      </c>
      <c r="O261" s="6">
        <f t="shared" si="53"/>
        <v>510</v>
      </c>
      <c r="P261" s="18" t="str">
        <f t="shared" si="48"/>
        <v>(259,510)</v>
      </c>
    </row>
    <row r="262" spans="1:16" hidden="1" x14ac:dyDescent="0.2">
      <c r="A262" s="4">
        <f t="shared" si="54"/>
        <v>260</v>
      </c>
      <c r="B262" s="4"/>
      <c r="C262" s="7">
        <f t="shared" si="55"/>
        <v>45490</v>
      </c>
      <c r="D262" s="11" t="str">
        <f t="shared" si="49"/>
        <v>{2024-07-17},</v>
      </c>
      <c r="E262" s="17">
        <f>COUNTIFS(Sheet1!$C:$C,Feuil1!E$1,Sheet1!$D:$D,Feuil1!$C262)</f>
        <v>0</v>
      </c>
      <c r="F262" s="6">
        <f t="shared" si="56"/>
        <v>11</v>
      </c>
      <c r="G262" s="18" t="str">
        <f t="shared" si="50"/>
        <v>(260,11)</v>
      </c>
      <c r="H262" s="17">
        <f>COUNTIFS(Sheet1!$C:$C,Feuil1!H$1,Sheet1!$D:$D,Feuil1!$C262)</f>
        <v>0</v>
      </c>
      <c r="I262" s="6">
        <f t="shared" si="51"/>
        <v>13</v>
      </c>
      <c r="J262" s="18" t="str">
        <f t="shared" si="46"/>
        <v>(260,13)</v>
      </c>
      <c r="K262" s="17">
        <f>COUNTIFS(Sheet1!$C:$C,Feuil1!K$1,Sheet1!$D:$D,Feuil1!$C262)</f>
        <v>0</v>
      </c>
      <c r="L262" s="6">
        <f t="shared" si="52"/>
        <v>6</v>
      </c>
      <c r="M262" s="18" t="str">
        <f t="shared" si="47"/>
        <v>(260,6)</v>
      </c>
      <c r="N262" s="17">
        <f>COUNTIFS(Sheet1!$C:$C,Feuil1!N$1,Sheet1!$D:$D,Feuil1!$C262)</f>
        <v>2</v>
      </c>
      <c r="O262" s="6">
        <f t="shared" si="53"/>
        <v>512</v>
      </c>
      <c r="P262" s="18" t="str">
        <f t="shared" si="48"/>
        <v>(260,512)</v>
      </c>
    </row>
    <row r="263" spans="1:16" hidden="1" x14ac:dyDescent="0.2">
      <c r="A263" s="4">
        <f t="shared" si="54"/>
        <v>261</v>
      </c>
      <c r="B263" s="4"/>
      <c r="C263" s="7">
        <f t="shared" si="55"/>
        <v>45491</v>
      </c>
      <c r="D263" s="11" t="str">
        <f t="shared" si="49"/>
        <v>{2024-07-18},</v>
      </c>
      <c r="E263" s="17">
        <f>COUNTIFS(Sheet1!$C:$C,Feuil1!E$1,Sheet1!$D:$D,Feuil1!$C263)</f>
        <v>1</v>
      </c>
      <c r="F263" s="6">
        <f t="shared" si="56"/>
        <v>12</v>
      </c>
      <c r="G263" s="18" t="str">
        <f t="shared" si="50"/>
        <v>(261,12)</v>
      </c>
      <c r="H263" s="17">
        <f>COUNTIFS(Sheet1!$C:$C,Feuil1!H$1,Sheet1!$D:$D,Feuil1!$C263)</f>
        <v>0</v>
      </c>
      <c r="I263" s="6">
        <f t="shared" si="51"/>
        <v>13</v>
      </c>
      <c r="J263" s="18" t="str">
        <f t="shared" si="46"/>
        <v>(261,13)</v>
      </c>
      <c r="K263" s="17">
        <f>COUNTIFS(Sheet1!$C:$C,Feuil1!K$1,Sheet1!$D:$D,Feuil1!$C263)</f>
        <v>0</v>
      </c>
      <c r="L263" s="6">
        <f t="shared" si="52"/>
        <v>6</v>
      </c>
      <c r="M263" s="18" t="str">
        <f t="shared" si="47"/>
        <v>(261,6)</v>
      </c>
      <c r="N263" s="17">
        <f>COUNTIFS(Sheet1!$C:$C,Feuil1!N$1,Sheet1!$D:$D,Feuil1!$C263)</f>
        <v>3</v>
      </c>
      <c r="O263" s="6">
        <f t="shared" si="53"/>
        <v>515</v>
      </c>
      <c r="P263" s="18" t="str">
        <f t="shared" si="48"/>
        <v>(261,515)</v>
      </c>
    </row>
    <row r="264" spans="1:16" hidden="1" x14ac:dyDescent="0.2">
      <c r="A264" s="4">
        <f t="shared" si="54"/>
        <v>262</v>
      </c>
      <c r="B264" s="4"/>
      <c r="C264" s="7">
        <f t="shared" si="55"/>
        <v>45492</v>
      </c>
      <c r="D264" s="11" t="str">
        <f t="shared" si="49"/>
        <v>{2024-07-19},</v>
      </c>
      <c r="E264" s="17">
        <f>COUNTIFS(Sheet1!$C:$C,Feuil1!E$1,Sheet1!$D:$D,Feuil1!$C264)</f>
        <v>0</v>
      </c>
      <c r="F264" s="6">
        <f t="shared" si="56"/>
        <v>12</v>
      </c>
      <c r="G264" s="18" t="str">
        <f t="shared" si="50"/>
        <v>(262,12)</v>
      </c>
      <c r="H264" s="17">
        <f>COUNTIFS(Sheet1!$C:$C,Feuil1!H$1,Sheet1!$D:$D,Feuil1!$C264)</f>
        <v>0</v>
      </c>
      <c r="I264" s="6">
        <f t="shared" si="51"/>
        <v>13</v>
      </c>
      <c r="J264" s="18" t="str">
        <f t="shared" si="46"/>
        <v>(262,13)</v>
      </c>
      <c r="K264" s="17">
        <f>COUNTIFS(Sheet1!$C:$C,Feuil1!K$1,Sheet1!$D:$D,Feuil1!$C264)</f>
        <v>0</v>
      </c>
      <c r="L264" s="6">
        <f t="shared" si="52"/>
        <v>6</v>
      </c>
      <c r="M264" s="18" t="str">
        <f t="shared" si="47"/>
        <v>(262,6)</v>
      </c>
      <c r="N264" s="17">
        <f>COUNTIFS(Sheet1!$C:$C,Feuil1!N$1,Sheet1!$D:$D,Feuil1!$C264)</f>
        <v>6</v>
      </c>
      <c r="O264" s="6">
        <f t="shared" si="53"/>
        <v>521</v>
      </c>
      <c r="P264" s="18" t="str">
        <f t="shared" si="48"/>
        <v>(262,521)</v>
      </c>
    </row>
    <row r="265" spans="1:16" hidden="1" x14ac:dyDescent="0.2">
      <c r="A265" s="4">
        <f t="shared" si="54"/>
        <v>263</v>
      </c>
      <c r="B265" s="4"/>
      <c r="C265" s="7">
        <f t="shared" si="55"/>
        <v>45493</v>
      </c>
      <c r="D265" s="11" t="str">
        <f t="shared" si="49"/>
        <v>{2024-07-20},</v>
      </c>
      <c r="E265" s="17">
        <f>COUNTIFS(Sheet1!$C:$C,Feuil1!E$1,Sheet1!$D:$D,Feuil1!$C265)</f>
        <v>0</v>
      </c>
      <c r="F265" s="6">
        <f t="shared" si="56"/>
        <v>12</v>
      </c>
      <c r="G265" s="18" t="str">
        <f t="shared" si="50"/>
        <v>(263,12)</v>
      </c>
      <c r="H265" s="17">
        <f>COUNTIFS(Sheet1!$C:$C,Feuil1!H$1,Sheet1!$D:$D,Feuil1!$C265)</f>
        <v>0</v>
      </c>
      <c r="I265" s="6">
        <f t="shared" si="51"/>
        <v>13</v>
      </c>
      <c r="J265" s="18" t="str">
        <f t="shared" si="46"/>
        <v>(263,13)</v>
      </c>
      <c r="K265" s="17">
        <f>COUNTIFS(Sheet1!$C:$C,Feuil1!K$1,Sheet1!$D:$D,Feuil1!$C265)</f>
        <v>0</v>
      </c>
      <c r="L265" s="6">
        <f t="shared" si="52"/>
        <v>6</v>
      </c>
      <c r="M265" s="18" t="str">
        <f t="shared" si="47"/>
        <v>(263,6)</v>
      </c>
      <c r="N265" s="17">
        <f>COUNTIFS(Sheet1!$C:$C,Feuil1!N$1,Sheet1!$D:$D,Feuil1!$C265)</f>
        <v>5</v>
      </c>
      <c r="O265" s="6">
        <f t="shared" si="53"/>
        <v>526</v>
      </c>
      <c r="P265" s="18" t="str">
        <f t="shared" si="48"/>
        <v>(263,526)</v>
      </c>
    </row>
    <row r="266" spans="1:16" hidden="1" x14ac:dyDescent="0.2">
      <c r="A266" s="4">
        <f t="shared" si="54"/>
        <v>264</v>
      </c>
      <c r="B266" s="4"/>
      <c r="C266" s="7">
        <f t="shared" si="55"/>
        <v>45494</v>
      </c>
      <c r="D266" s="11" t="str">
        <f t="shared" si="49"/>
        <v>{2024-07-21},</v>
      </c>
      <c r="E266" s="17">
        <f>COUNTIFS(Sheet1!$C:$C,Feuil1!E$1,Sheet1!$D:$D,Feuil1!$C266)</f>
        <v>0</v>
      </c>
      <c r="F266" s="6">
        <f t="shared" si="56"/>
        <v>12</v>
      </c>
      <c r="G266" s="18" t="str">
        <f t="shared" si="50"/>
        <v>(264,12)</v>
      </c>
      <c r="H266" s="17">
        <f>COUNTIFS(Sheet1!$C:$C,Feuil1!H$1,Sheet1!$D:$D,Feuil1!$C266)</f>
        <v>0</v>
      </c>
      <c r="I266" s="6">
        <f t="shared" si="51"/>
        <v>13</v>
      </c>
      <c r="J266" s="18" t="str">
        <f t="shared" si="46"/>
        <v>(264,13)</v>
      </c>
      <c r="K266" s="17">
        <f>COUNTIFS(Sheet1!$C:$C,Feuil1!K$1,Sheet1!$D:$D,Feuil1!$C266)</f>
        <v>0</v>
      </c>
      <c r="L266" s="6">
        <f t="shared" si="52"/>
        <v>6</v>
      </c>
      <c r="M266" s="18" t="str">
        <f t="shared" si="47"/>
        <v>(264,6)</v>
      </c>
      <c r="N266" s="17">
        <f>COUNTIFS(Sheet1!$C:$C,Feuil1!N$1,Sheet1!$D:$D,Feuil1!$C266)</f>
        <v>4</v>
      </c>
      <c r="O266" s="6">
        <f t="shared" si="53"/>
        <v>530</v>
      </c>
      <c r="P266" s="18" t="str">
        <f t="shared" si="48"/>
        <v>(264,530)</v>
      </c>
    </row>
    <row r="267" spans="1:16" hidden="1" x14ac:dyDescent="0.2">
      <c r="A267" s="4">
        <f t="shared" si="54"/>
        <v>265</v>
      </c>
      <c r="B267" s="4"/>
      <c r="C267" s="7">
        <f t="shared" si="55"/>
        <v>45495</v>
      </c>
      <c r="D267" s="11" t="str">
        <f t="shared" si="49"/>
        <v>{2024-07-22},</v>
      </c>
      <c r="E267" s="17">
        <f>COUNTIFS(Sheet1!$C:$C,Feuil1!E$1,Sheet1!$D:$D,Feuil1!$C267)</f>
        <v>0</v>
      </c>
      <c r="F267" s="6">
        <f t="shared" si="56"/>
        <v>12</v>
      </c>
      <c r="G267" s="18" t="str">
        <f t="shared" si="50"/>
        <v>(265,12)</v>
      </c>
      <c r="H267" s="17">
        <f>COUNTIFS(Sheet1!$C:$C,Feuil1!H$1,Sheet1!$D:$D,Feuil1!$C267)</f>
        <v>0</v>
      </c>
      <c r="I267" s="6">
        <f t="shared" si="51"/>
        <v>13</v>
      </c>
      <c r="J267" s="18" t="str">
        <f t="shared" si="46"/>
        <v>(265,13)</v>
      </c>
      <c r="K267" s="17">
        <f>COUNTIFS(Sheet1!$C:$C,Feuil1!K$1,Sheet1!$D:$D,Feuil1!$C267)</f>
        <v>0</v>
      </c>
      <c r="L267" s="6">
        <f t="shared" si="52"/>
        <v>6</v>
      </c>
      <c r="M267" s="18" t="str">
        <f t="shared" si="47"/>
        <v>(265,6)</v>
      </c>
      <c r="N267" s="17">
        <f>COUNTIFS(Sheet1!$C:$C,Feuil1!N$1,Sheet1!$D:$D,Feuil1!$C267)</f>
        <v>2</v>
      </c>
      <c r="O267" s="6">
        <f t="shared" si="53"/>
        <v>532</v>
      </c>
      <c r="P267" s="18" t="str">
        <f t="shared" si="48"/>
        <v>(265,532)</v>
      </c>
    </row>
    <row r="268" spans="1:16" hidden="1" x14ac:dyDescent="0.2">
      <c r="A268" s="4">
        <f t="shared" si="54"/>
        <v>266</v>
      </c>
      <c r="B268" s="4"/>
      <c r="C268" s="7">
        <f t="shared" si="55"/>
        <v>45496</v>
      </c>
      <c r="D268" s="11" t="str">
        <f t="shared" si="49"/>
        <v>{2024-07-23},</v>
      </c>
      <c r="E268" s="17">
        <f>COUNTIFS(Sheet1!$C:$C,Feuil1!E$1,Sheet1!$D:$D,Feuil1!$C268)</f>
        <v>0</v>
      </c>
      <c r="F268" s="6">
        <f t="shared" si="56"/>
        <v>12</v>
      </c>
      <c r="G268" s="18" t="str">
        <f t="shared" si="50"/>
        <v>(266,12)</v>
      </c>
      <c r="H268" s="17">
        <f>COUNTIFS(Sheet1!$C:$C,Feuil1!H$1,Sheet1!$D:$D,Feuil1!$C268)</f>
        <v>0</v>
      </c>
      <c r="I268" s="6">
        <f t="shared" si="51"/>
        <v>13</v>
      </c>
      <c r="J268" s="18" t="str">
        <f t="shared" si="46"/>
        <v>(266,13)</v>
      </c>
      <c r="K268" s="17">
        <f>COUNTIFS(Sheet1!$C:$C,Feuil1!K$1,Sheet1!$D:$D,Feuil1!$C268)</f>
        <v>0</v>
      </c>
      <c r="L268" s="6">
        <f t="shared" si="52"/>
        <v>6</v>
      </c>
      <c r="M268" s="18" t="str">
        <f t="shared" si="47"/>
        <v>(266,6)</v>
      </c>
      <c r="N268" s="17">
        <f>COUNTIFS(Sheet1!$C:$C,Feuil1!N$1,Sheet1!$D:$D,Feuil1!$C268)</f>
        <v>3</v>
      </c>
      <c r="O268" s="6">
        <f t="shared" si="53"/>
        <v>535</v>
      </c>
      <c r="P268" s="18" t="str">
        <f t="shared" si="48"/>
        <v>(266,535)</v>
      </c>
    </row>
    <row r="269" spans="1:16" hidden="1" x14ac:dyDescent="0.2">
      <c r="A269" s="4">
        <f t="shared" si="54"/>
        <v>267</v>
      </c>
      <c r="B269" s="4"/>
      <c r="C269" s="7">
        <f t="shared" si="55"/>
        <v>45497</v>
      </c>
      <c r="D269" s="11" t="str">
        <f t="shared" si="49"/>
        <v>{2024-07-24},</v>
      </c>
      <c r="E269" s="17">
        <f>COUNTIFS(Sheet1!$C:$C,Feuil1!E$1,Sheet1!$D:$D,Feuil1!$C269)</f>
        <v>0</v>
      </c>
      <c r="F269" s="6">
        <f t="shared" si="56"/>
        <v>12</v>
      </c>
      <c r="G269" s="18" t="str">
        <f t="shared" si="50"/>
        <v>(267,12)</v>
      </c>
      <c r="H269" s="17">
        <f>COUNTIFS(Sheet1!$C:$C,Feuil1!H$1,Sheet1!$D:$D,Feuil1!$C269)</f>
        <v>0</v>
      </c>
      <c r="I269" s="6">
        <f t="shared" si="51"/>
        <v>13</v>
      </c>
      <c r="J269" s="18" t="str">
        <f t="shared" si="46"/>
        <v>(267,13)</v>
      </c>
      <c r="K269" s="17">
        <f>COUNTIFS(Sheet1!$C:$C,Feuil1!K$1,Sheet1!$D:$D,Feuil1!$C269)</f>
        <v>0</v>
      </c>
      <c r="L269" s="6">
        <f t="shared" si="52"/>
        <v>6</v>
      </c>
      <c r="M269" s="18" t="str">
        <f t="shared" si="47"/>
        <v>(267,6)</v>
      </c>
      <c r="N269" s="17">
        <f>COUNTIFS(Sheet1!$C:$C,Feuil1!N$1,Sheet1!$D:$D,Feuil1!$C269)</f>
        <v>4</v>
      </c>
      <c r="O269" s="6">
        <f t="shared" si="53"/>
        <v>539</v>
      </c>
      <c r="P269" s="18" t="str">
        <f t="shared" si="48"/>
        <v>(267,539)</v>
      </c>
    </row>
    <row r="270" spans="1:16" hidden="1" x14ac:dyDescent="0.2">
      <c r="A270" s="4">
        <f t="shared" si="54"/>
        <v>268</v>
      </c>
      <c r="B270" s="4"/>
      <c r="C270" s="7">
        <f t="shared" si="55"/>
        <v>45498</v>
      </c>
      <c r="D270" s="11" t="str">
        <f t="shared" si="49"/>
        <v>{2024-07-25},</v>
      </c>
      <c r="E270" s="17">
        <f>COUNTIFS(Sheet1!$C:$C,Feuil1!E$1,Sheet1!$D:$D,Feuil1!$C270)</f>
        <v>0</v>
      </c>
      <c r="F270" s="6">
        <f t="shared" si="56"/>
        <v>12</v>
      </c>
      <c r="G270" s="18" t="str">
        <f t="shared" si="50"/>
        <v>(268,12)</v>
      </c>
      <c r="H270" s="17">
        <f>COUNTIFS(Sheet1!$C:$C,Feuil1!H$1,Sheet1!$D:$D,Feuil1!$C270)</f>
        <v>0</v>
      </c>
      <c r="I270" s="6">
        <f t="shared" si="51"/>
        <v>13</v>
      </c>
      <c r="J270" s="18" t="str">
        <f t="shared" si="46"/>
        <v>(268,13)</v>
      </c>
      <c r="K270" s="17">
        <f>COUNTIFS(Sheet1!$C:$C,Feuil1!K$1,Sheet1!$D:$D,Feuil1!$C270)</f>
        <v>0</v>
      </c>
      <c r="L270" s="6">
        <f t="shared" si="52"/>
        <v>6</v>
      </c>
      <c r="M270" s="18" t="str">
        <f t="shared" si="47"/>
        <v>(268,6)</v>
      </c>
      <c r="N270" s="17">
        <f>COUNTIFS(Sheet1!$C:$C,Feuil1!N$1,Sheet1!$D:$D,Feuil1!$C270)</f>
        <v>5</v>
      </c>
      <c r="O270" s="6">
        <f t="shared" si="53"/>
        <v>544</v>
      </c>
      <c r="P270" s="18" t="str">
        <f t="shared" si="48"/>
        <v>(268,544)</v>
      </c>
    </row>
    <row r="271" spans="1:16" hidden="1" x14ac:dyDescent="0.2">
      <c r="A271" s="4">
        <f t="shared" si="54"/>
        <v>269</v>
      </c>
      <c r="B271" s="4"/>
      <c r="C271" s="7">
        <f t="shared" si="55"/>
        <v>45499</v>
      </c>
      <c r="D271" s="11" t="str">
        <f t="shared" si="49"/>
        <v>{2024-07-26},</v>
      </c>
      <c r="E271" s="17">
        <f>COUNTIFS(Sheet1!$C:$C,Feuil1!E$1,Sheet1!$D:$D,Feuil1!$C271)</f>
        <v>0</v>
      </c>
      <c r="F271" s="6">
        <f t="shared" si="56"/>
        <v>12</v>
      </c>
      <c r="G271" s="18" t="str">
        <f t="shared" si="50"/>
        <v>(269,12)</v>
      </c>
      <c r="H271" s="17">
        <f>COUNTIFS(Sheet1!$C:$C,Feuil1!H$1,Sheet1!$D:$D,Feuil1!$C271)</f>
        <v>0</v>
      </c>
      <c r="I271" s="6">
        <f t="shared" si="51"/>
        <v>13</v>
      </c>
      <c r="J271" s="18" t="str">
        <f t="shared" si="46"/>
        <v>(269,13)</v>
      </c>
      <c r="K271" s="17">
        <f>COUNTIFS(Sheet1!$C:$C,Feuil1!K$1,Sheet1!$D:$D,Feuil1!$C271)</f>
        <v>0</v>
      </c>
      <c r="L271" s="6">
        <f t="shared" si="52"/>
        <v>6</v>
      </c>
      <c r="M271" s="18" t="str">
        <f t="shared" si="47"/>
        <v>(269,6)</v>
      </c>
      <c r="N271" s="17">
        <f>COUNTIFS(Sheet1!$C:$C,Feuil1!N$1,Sheet1!$D:$D,Feuil1!$C271)</f>
        <v>3</v>
      </c>
      <c r="O271" s="6">
        <f t="shared" si="53"/>
        <v>547</v>
      </c>
      <c r="P271" s="18" t="str">
        <f t="shared" si="48"/>
        <v>(269,547)</v>
      </c>
    </row>
    <row r="272" spans="1:16" hidden="1" x14ac:dyDescent="0.2">
      <c r="A272" s="4">
        <f t="shared" si="54"/>
        <v>270</v>
      </c>
      <c r="B272" s="4"/>
      <c r="C272" s="7">
        <f t="shared" si="55"/>
        <v>45500</v>
      </c>
      <c r="D272" s="11" t="str">
        <f t="shared" si="49"/>
        <v>{2024-07-27},</v>
      </c>
      <c r="E272" s="17">
        <f>COUNTIFS(Sheet1!$C:$C,Feuil1!E$1,Sheet1!$D:$D,Feuil1!$C272)</f>
        <v>1</v>
      </c>
      <c r="F272" s="6">
        <f t="shared" si="56"/>
        <v>13</v>
      </c>
      <c r="G272" s="18" t="str">
        <f t="shared" si="50"/>
        <v>(270,13)</v>
      </c>
      <c r="H272" s="17">
        <f>COUNTIFS(Sheet1!$C:$C,Feuil1!H$1,Sheet1!$D:$D,Feuil1!$C272)</f>
        <v>0</v>
      </c>
      <c r="I272" s="6">
        <f t="shared" si="51"/>
        <v>13</v>
      </c>
      <c r="J272" s="18" t="str">
        <f t="shared" si="46"/>
        <v>(270,13)</v>
      </c>
      <c r="K272" s="17">
        <f>COUNTIFS(Sheet1!$C:$C,Feuil1!K$1,Sheet1!$D:$D,Feuil1!$C272)</f>
        <v>0</v>
      </c>
      <c r="L272" s="6">
        <f t="shared" si="52"/>
        <v>6</v>
      </c>
      <c r="M272" s="18" t="str">
        <f t="shared" si="47"/>
        <v>(270,6)</v>
      </c>
      <c r="N272" s="17">
        <f>COUNTIFS(Sheet1!$C:$C,Feuil1!N$1,Sheet1!$D:$D,Feuil1!$C272)</f>
        <v>4</v>
      </c>
      <c r="O272" s="6">
        <f t="shared" si="53"/>
        <v>551</v>
      </c>
      <c r="P272" s="18" t="str">
        <f t="shared" si="48"/>
        <v>(270,551)</v>
      </c>
    </row>
    <row r="273" spans="1:16" hidden="1" x14ac:dyDescent="0.2">
      <c r="A273" s="4">
        <f t="shared" si="54"/>
        <v>271</v>
      </c>
      <c r="B273" s="4"/>
      <c r="C273" s="7">
        <f t="shared" si="55"/>
        <v>45501</v>
      </c>
      <c r="D273" s="11" t="str">
        <f t="shared" si="49"/>
        <v>{2024-07-28},</v>
      </c>
      <c r="E273" s="17">
        <f>COUNTIFS(Sheet1!$C:$C,Feuil1!E$1,Sheet1!$D:$D,Feuil1!$C273)</f>
        <v>0</v>
      </c>
      <c r="F273" s="6">
        <f t="shared" si="56"/>
        <v>13</v>
      </c>
      <c r="G273" s="18" t="str">
        <f t="shared" si="50"/>
        <v>(271,13)</v>
      </c>
      <c r="H273" s="17">
        <f>COUNTIFS(Sheet1!$C:$C,Feuil1!H$1,Sheet1!$D:$D,Feuil1!$C273)</f>
        <v>0</v>
      </c>
      <c r="I273" s="6">
        <f t="shared" si="51"/>
        <v>13</v>
      </c>
      <c r="J273" s="18" t="str">
        <f t="shared" si="46"/>
        <v>(271,13)</v>
      </c>
      <c r="K273" s="17">
        <f>COUNTIFS(Sheet1!$C:$C,Feuil1!K$1,Sheet1!$D:$D,Feuil1!$C273)</f>
        <v>0</v>
      </c>
      <c r="L273" s="6">
        <f t="shared" si="52"/>
        <v>6</v>
      </c>
      <c r="M273" s="18" t="str">
        <f t="shared" si="47"/>
        <v>(271,6)</v>
      </c>
      <c r="N273" s="17">
        <f>COUNTIFS(Sheet1!$C:$C,Feuil1!N$1,Sheet1!$D:$D,Feuil1!$C273)</f>
        <v>5</v>
      </c>
      <c r="O273" s="6">
        <f t="shared" si="53"/>
        <v>556</v>
      </c>
      <c r="P273" s="18" t="str">
        <f t="shared" si="48"/>
        <v>(271,556)</v>
      </c>
    </row>
    <row r="274" spans="1:16" hidden="1" x14ac:dyDescent="0.2">
      <c r="A274" s="4">
        <f t="shared" si="54"/>
        <v>272</v>
      </c>
      <c r="B274" s="4"/>
      <c r="C274" s="7">
        <f t="shared" si="55"/>
        <v>45502</v>
      </c>
      <c r="D274" s="11" t="str">
        <f t="shared" si="49"/>
        <v>{2024-07-29},</v>
      </c>
      <c r="E274" s="17">
        <f>COUNTIFS(Sheet1!$C:$C,Feuil1!E$1,Sheet1!$D:$D,Feuil1!$C274)</f>
        <v>0</v>
      </c>
      <c r="F274" s="6">
        <f t="shared" si="56"/>
        <v>13</v>
      </c>
      <c r="G274" s="18" t="str">
        <f t="shared" si="50"/>
        <v>(272,13)</v>
      </c>
      <c r="H274" s="17">
        <f>COUNTIFS(Sheet1!$C:$C,Feuil1!H$1,Sheet1!$D:$D,Feuil1!$C274)</f>
        <v>0</v>
      </c>
      <c r="I274" s="6">
        <f t="shared" si="51"/>
        <v>13</v>
      </c>
      <c r="J274" s="18" t="str">
        <f t="shared" si="46"/>
        <v>(272,13)</v>
      </c>
      <c r="K274" s="17">
        <f>COUNTIFS(Sheet1!$C:$C,Feuil1!K$1,Sheet1!$D:$D,Feuil1!$C274)</f>
        <v>0</v>
      </c>
      <c r="L274" s="6">
        <f t="shared" si="52"/>
        <v>6</v>
      </c>
      <c r="M274" s="18" t="str">
        <f t="shared" si="47"/>
        <v>(272,6)</v>
      </c>
      <c r="N274" s="17">
        <f>COUNTIFS(Sheet1!$C:$C,Feuil1!N$1,Sheet1!$D:$D,Feuil1!$C274)</f>
        <v>2</v>
      </c>
      <c r="O274" s="6">
        <f t="shared" si="53"/>
        <v>558</v>
      </c>
      <c r="P274" s="18" t="str">
        <f t="shared" si="48"/>
        <v>(272,558)</v>
      </c>
    </row>
    <row r="275" spans="1:16" hidden="1" x14ac:dyDescent="0.2">
      <c r="A275" s="4">
        <f t="shared" si="54"/>
        <v>273</v>
      </c>
      <c r="B275" s="4"/>
      <c r="C275" s="7">
        <f t="shared" si="55"/>
        <v>45503</v>
      </c>
      <c r="D275" s="11" t="str">
        <f t="shared" si="49"/>
        <v>{2024-07-30},</v>
      </c>
      <c r="E275" s="17">
        <f>COUNTIFS(Sheet1!$C:$C,Feuil1!E$1,Sheet1!$D:$D,Feuil1!$C275)</f>
        <v>0</v>
      </c>
      <c r="F275" s="6">
        <f t="shared" si="56"/>
        <v>13</v>
      </c>
      <c r="G275" s="18" t="str">
        <f t="shared" si="50"/>
        <v>(273,13)</v>
      </c>
      <c r="H275" s="17">
        <f>COUNTIFS(Sheet1!$C:$C,Feuil1!H$1,Sheet1!$D:$D,Feuil1!$C275)</f>
        <v>0</v>
      </c>
      <c r="I275" s="6">
        <f t="shared" si="51"/>
        <v>13</v>
      </c>
      <c r="J275" s="18" t="str">
        <f t="shared" si="46"/>
        <v>(273,13)</v>
      </c>
      <c r="K275" s="17">
        <f>COUNTIFS(Sheet1!$C:$C,Feuil1!K$1,Sheet1!$D:$D,Feuil1!$C275)</f>
        <v>0</v>
      </c>
      <c r="L275" s="6">
        <f t="shared" si="52"/>
        <v>6</v>
      </c>
      <c r="M275" s="18" t="str">
        <f t="shared" si="47"/>
        <v>(273,6)</v>
      </c>
      <c r="N275" s="17">
        <f>COUNTIFS(Sheet1!$C:$C,Feuil1!N$1,Sheet1!$D:$D,Feuil1!$C275)</f>
        <v>4</v>
      </c>
      <c r="O275" s="6">
        <f t="shared" si="53"/>
        <v>562</v>
      </c>
      <c r="P275" s="18" t="str">
        <f t="shared" si="48"/>
        <v>(273,562)</v>
      </c>
    </row>
    <row r="276" spans="1:16" hidden="1" x14ac:dyDescent="0.2">
      <c r="A276" s="4">
        <f t="shared" si="54"/>
        <v>274</v>
      </c>
      <c r="B276" s="4"/>
      <c r="C276" s="7">
        <f t="shared" si="55"/>
        <v>45504</v>
      </c>
      <c r="D276" s="11" t="str">
        <f t="shared" si="49"/>
        <v>{2024-07-31},</v>
      </c>
      <c r="E276" s="17">
        <f>COUNTIFS(Sheet1!$C:$C,Feuil1!E$1,Sheet1!$D:$D,Feuil1!$C276)</f>
        <v>0</v>
      </c>
      <c r="F276" s="6">
        <f t="shared" si="56"/>
        <v>13</v>
      </c>
      <c r="G276" s="18" t="str">
        <f t="shared" si="50"/>
        <v>(274,13)</v>
      </c>
      <c r="H276" s="17">
        <f>COUNTIFS(Sheet1!$C:$C,Feuil1!H$1,Sheet1!$D:$D,Feuil1!$C276)</f>
        <v>0</v>
      </c>
      <c r="I276" s="6">
        <f t="shared" si="51"/>
        <v>13</v>
      </c>
      <c r="J276" s="18" t="str">
        <f t="shared" si="46"/>
        <v>(274,13)</v>
      </c>
      <c r="K276" s="17">
        <f>COUNTIFS(Sheet1!$C:$C,Feuil1!K$1,Sheet1!$D:$D,Feuil1!$C276)</f>
        <v>0</v>
      </c>
      <c r="L276" s="6">
        <f t="shared" si="52"/>
        <v>6</v>
      </c>
      <c r="M276" s="18" t="str">
        <f t="shared" si="47"/>
        <v>(274,6)</v>
      </c>
      <c r="N276" s="17">
        <f>COUNTIFS(Sheet1!$C:$C,Feuil1!N$1,Sheet1!$D:$D,Feuil1!$C276)</f>
        <v>9</v>
      </c>
      <c r="O276" s="6">
        <f t="shared" si="53"/>
        <v>571</v>
      </c>
      <c r="P276" s="18" t="str">
        <f t="shared" si="48"/>
        <v>(274,571)</v>
      </c>
    </row>
    <row r="277" spans="1:16" hidden="1" x14ac:dyDescent="0.2">
      <c r="A277" s="4">
        <f t="shared" si="54"/>
        <v>275</v>
      </c>
      <c r="B277" s="4"/>
      <c r="C277" s="5">
        <f t="shared" si="55"/>
        <v>45505</v>
      </c>
      <c r="D277" s="11" t="str">
        <f t="shared" si="49"/>
        <v>{2024-08-01},</v>
      </c>
      <c r="E277" s="17">
        <f>COUNTIFS(Sheet1!$C:$C,Feuil1!E$1,Sheet1!$D:$D,Feuil1!$C277)</f>
        <v>0</v>
      </c>
      <c r="F277" s="6">
        <f t="shared" si="56"/>
        <v>13</v>
      </c>
      <c r="G277" s="18" t="str">
        <f t="shared" si="50"/>
        <v>(275,13)</v>
      </c>
      <c r="H277" s="17">
        <f>COUNTIFS(Sheet1!$C:$C,Feuil1!H$1,Sheet1!$D:$D,Feuil1!$C277)</f>
        <v>0</v>
      </c>
      <c r="I277" s="6">
        <f t="shared" si="51"/>
        <v>13</v>
      </c>
      <c r="J277" s="18" t="str">
        <f t="shared" si="46"/>
        <v>(275,13)</v>
      </c>
      <c r="K277" s="17">
        <f>COUNTIFS(Sheet1!$C:$C,Feuil1!K$1,Sheet1!$D:$D,Feuil1!$C277)</f>
        <v>0</v>
      </c>
      <c r="L277" s="6">
        <f t="shared" si="52"/>
        <v>6</v>
      </c>
      <c r="M277" s="18" t="str">
        <f t="shared" si="47"/>
        <v>(275,6)</v>
      </c>
      <c r="N277" s="17">
        <f>COUNTIFS(Sheet1!$C:$C,Feuil1!N$1,Sheet1!$D:$D,Feuil1!$C277)</f>
        <v>9</v>
      </c>
      <c r="O277" s="6">
        <f t="shared" si="53"/>
        <v>580</v>
      </c>
      <c r="P277" s="18" t="str">
        <f t="shared" si="48"/>
        <v>(275,580)</v>
      </c>
    </row>
    <row r="278" spans="1:16" hidden="1" x14ac:dyDescent="0.2">
      <c r="A278" s="4">
        <f t="shared" si="54"/>
        <v>276</v>
      </c>
      <c r="B278" s="4"/>
      <c r="C278" s="7">
        <f t="shared" si="55"/>
        <v>45506</v>
      </c>
      <c r="D278" s="11" t="str">
        <f t="shared" si="49"/>
        <v>{2024-08-02},</v>
      </c>
      <c r="E278" s="17">
        <f>COUNTIFS(Sheet1!$C:$C,Feuil1!E$1,Sheet1!$D:$D,Feuil1!$C278)</f>
        <v>0</v>
      </c>
      <c r="F278" s="6">
        <f t="shared" si="56"/>
        <v>13</v>
      </c>
      <c r="G278" s="18" t="str">
        <f t="shared" si="50"/>
        <v>(276,13)</v>
      </c>
      <c r="H278" s="17">
        <f>COUNTIFS(Sheet1!$C:$C,Feuil1!H$1,Sheet1!$D:$D,Feuil1!$C278)</f>
        <v>0</v>
      </c>
      <c r="I278" s="6">
        <f t="shared" si="51"/>
        <v>13</v>
      </c>
      <c r="J278" s="18" t="str">
        <f t="shared" si="46"/>
        <v>(276,13)</v>
      </c>
      <c r="K278" s="17">
        <f>COUNTIFS(Sheet1!$C:$C,Feuil1!K$1,Sheet1!$D:$D,Feuil1!$C278)</f>
        <v>0</v>
      </c>
      <c r="L278" s="6">
        <f t="shared" si="52"/>
        <v>6</v>
      </c>
      <c r="M278" s="18" t="str">
        <f t="shared" si="47"/>
        <v>(276,6)</v>
      </c>
      <c r="N278" s="17">
        <f>COUNTIFS(Sheet1!$C:$C,Feuil1!N$1,Sheet1!$D:$D,Feuil1!$C278)</f>
        <v>4</v>
      </c>
      <c r="O278" s="6">
        <f t="shared" si="53"/>
        <v>584</v>
      </c>
      <c r="P278" s="18" t="str">
        <f t="shared" si="48"/>
        <v>(276,584)</v>
      </c>
    </row>
    <row r="279" spans="1:16" hidden="1" x14ac:dyDescent="0.2">
      <c r="A279" s="4">
        <f t="shared" si="54"/>
        <v>277</v>
      </c>
      <c r="B279" s="4"/>
      <c r="C279" s="7">
        <f t="shared" si="55"/>
        <v>45507</v>
      </c>
      <c r="D279" s="11" t="str">
        <f t="shared" si="49"/>
        <v>{2024-08-03},</v>
      </c>
      <c r="E279" s="17">
        <f>COUNTIFS(Sheet1!$C:$C,Feuil1!E$1,Sheet1!$D:$D,Feuil1!$C279)</f>
        <v>0</v>
      </c>
      <c r="F279" s="6">
        <f t="shared" si="56"/>
        <v>13</v>
      </c>
      <c r="G279" s="18" t="str">
        <f t="shared" si="50"/>
        <v>(277,13)</v>
      </c>
      <c r="H279" s="17">
        <f>COUNTIFS(Sheet1!$C:$C,Feuil1!H$1,Sheet1!$D:$D,Feuil1!$C279)</f>
        <v>0</v>
      </c>
      <c r="I279" s="6">
        <f t="shared" si="51"/>
        <v>13</v>
      </c>
      <c r="J279" s="18" t="str">
        <f t="shared" si="46"/>
        <v>(277,13)</v>
      </c>
      <c r="K279" s="17">
        <f>COUNTIFS(Sheet1!$C:$C,Feuil1!K$1,Sheet1!$D:$D,Feuil1!$C279)</f>
        <v>0</v>
      </c>
      <c r="L279" s="6">
        <f t="shared" si="52"/>
        <v>6</v>
      </c>
      <c r="M279" s="18" t="str">
        <f t="shared" si="47"/>
        <v>(277,6)</v>
      </c>
      <c r="N279" s="17">
        <f>COUNTIFS(Sheet1!$C:$C,Feuil1!N$1,Sheet1!$D:$D,Feuil1!$C279)</f>
        <v>3</v>
      </c>
      <c r="O279" s="6">
        <f t="shared" si="53"/>
        <v>587</v>
      </c>
      <c r="P279" s="18" t="str">
        <f t="shared" si="48"/>
        <v>(277,587)</v>
      </c>
    </row>
    <row r="280" spans="1:16" hidden="1" x14ac:dyDescent="0.2">
      <c r="A280" s="4">
        <f t="shared" si="54"/>
        <v>278</v>
      </c>
      <c r="B280" s="4"/>
      <c r="C280" s="7">
        <f t="shared" si="55"/>
        <v>45508</v>
      </c>
      <c r="D280" s="11" t="str">
        <f t="shared" si="49"/>
        <v>{2024-08-04},</v>
      </c>
      <c r="E280" s="17">
        <f>COUNTIFS(Sheet1!$C:$C,Feuil1!E$1,Sheet1!$D:$D,Feuil1!$C280)</f>
        <v>0</v>
      </c>
      <c r="F280" s="6">
        <f t="shared" si="56"/>
        <v>13</v>
      </c>
      <c r="G280" s="18" t="str">
        <f t="shared" si="50"/>
        <v>(278,13)</v>
      </c>
      <c r="H280" s="17">
        <f>COUNTIFS(Sheet1!$C:$C,Feuil1!H$1,Sheet1!$D:$D,Feuil1!$C280)</f>
        <v>0</v>
      </c>
      <c r="I280" s="6">
        <f t="shared" si="51"/>
        <v>13</v>
      </c>
      <c r="J280" s="18" t="str">
        <f t="shared" si="46"/>
        <v>(278,13)</v>
      </c>
      <c r="K280" s="17">
        <f>COUNTIFS(Sheet1!$C:$C,Feuil1!K$1,Sheet1!$D:$D,Feuil1!$C280)</f>
        <v>0</v>
      </c>
      <c r="L280" s="6">
        <f t="shared" si="52"/>
        <v>6</v>
      </c>
      <c r="M280" s="18" t="str">
        <f t="shared" si="47"/>
        <v>(278,6)</v>
      </c>
      <c r="N280" s="17">
        <f>COUNTIFS(Sheet1!$C:$C,Feuil1!N$1,Sheet1!$D:$D,Feuil1!$C280)</f>
        <v>2</v>
      </c>
      <c r="O280" s="6">
        <f t="shared" si="53"/>
        <v>589</v>
      </c>
      <c r="P280" s="18" t="str">
        <f t="shared" si="48"/>
        <v>(278,589)</v>
      </c>
    </row>
    <row r="281" spans="1:16" hidden="1" x14ac:dyDescent="0.2">
      <c r="A281" s="4">
        <f t="shared" si="54"/>
        <v>279</v>
      </c>
      <c r="B281" s="4"/>
      <c r="C281" s="7">
        <f t="shared" si="55"/>
        <v>45509</v>
      </c>
      <c r="D281" s="11" t="str">
        <f t="shared" si="49"/>
        <v>{2024-08-05},</v>
      </c>
      <c r="E281" s="17">
        <f>COUNTIFS(Sheet1!$C:$C,Feuil1!E$1,Sheet1!$D:$D,Feuil1!$C281)</f>
        <v>0</v>
      </c>
      <c r="F281" s="6">
        <f t="shared" si="56"/>
        <v>13</v>
      </c>
      <c r="G281" s="18" t="str">
        <f t="shared" si="50"/>
        <v>(279,13)</v>
      </c>
      <c r="H281" s="17">
        <f>COUNTIFS(Sheet1!$C:$C,Feuil1!H$1,Sheet1!$D:$D,Feuil1!$C281)</f>
        <v>0</v>
      </c>
      <c r="I281" s="6">
        <f t="shared" si="51"/>
        <v>13</v>
      </c>
      <c r="J281" s="18" t="str">
        <f t="shared" si="46"/>
        <v>(279,13)</v>
      </c>
      <c r="K281" s="17">
        <f>COUNTIFS(Sheet1!$C:$C,Feuil1!K$1,Sheet1!$D:$D,Feuil1!$C281)</f>
        <v>0</v>
      </c>
      <c r="L281" s="6">
        <f t="shared" si="52"/>
        <v>6</v>
      </c>
      <c r="M281" s="18" t="str">
        <f t="shared" si="47"/>
        <v>(279,6)</v>
      </c>
      <c r="N281" s="17">
        <f>COUNTIFS(Sheet1!$C:$C,Feuil1!N$1,Sheet1!$D:$D,Feuil1!$C281)</f>
        <v>3</v>
      </c>
      <c r="O281" s="6">
        <f t="shared" si="53"/>
        <v>592</v>
      </c>
      <c r="P281" s="18" t="str">
        <f t="shared" si="48"/>
        <v>(279,592)</v>
      </c>
    </row>
    <row r="282" spans="1:16" hidden="1" x14ac:dyDescent="0.2">
      <c r="A282" s="4">
        <f t="shared" si="54"/>
        <v>280</v>
      </c>
      <c r="B282" s="4"/>
      <c r="C282" s="7">
        <f t="shared" si="55"/>
        <v>45510</v>
      </c>
      <c r="D282" s="11" t="str">
        <f t="shared" si="49"/>
        <v>{2024-08-06},</v>
      </c>
      <c r="E282" s="17">
        <f>COUNTIFS(Sheet1!$C:$C,Feuil1!E$1,Sheet1!$D:$D,Feuil1!$C282)</f>
        <v>0</v>
      </c>
      <c r="F282" s="6">
        <f t="shared" si="56"/>
        <v>13</v>
      </c>
      <c r="G282" s="18" t="str">
        <f t="shared" si="50"/>
        <v>(280,13)</v>
      </c>
      <c r="H282" s="17">
        <f>COUNTIFS(Sheet1!$C:$C,Feuil1!H$1,Sheet1!$D:$D,Feuil1!$C282)</f>
        <v>0</v>
      </c>
      <c r="I282" s="6">
        <f t="shared" si="51"/>
        <v>13</v>
      </c>
      <c r="J282" s="18" t="str">
        <f t="shared" si="46"/>
        <v>(280,13)</v>
      </c>
      <c r="K282" s="17">
        <f>COUNTIFS(Sheet1!$C:$C,Feuil1!K$1,Sheet1!$D:$D,Feuil1!$C282)</f>
        <v>0</v>
      </c>
      <c r="L282" s="6">
        <f t="shared" si="52"/>
        <v>6</v>
      </c>
      <c r="M282" s="18" t="str">
        <f t="shared" si="47"/>
        <v>(280,6)</v>
      </c>
      <c r="N282" s="17">
        <f>COUNTIFS(Sheet1!$C:$C,Feuil1!N$1,Sheet1!$D:$D,Feuil1!$C282)</f>
        <v>2</v>
      </c>
      <c r="O282" s="6">
        <f t="shared" si="53"/>
        <v>594</v>
      </c>
      <c r="P282" s="18" t="str">
        <f t="shared" si="48"/>
        <v>(280,594)</v>
      </c>
    </row>
    <row r="283" spans="1:16" hidden="1" x14ac:dyDescent="0.2">
      <c r="A283" s="4">
        <f t="shared" si="54"/>
        <v>281</v>
      </c>
      <c r="B283" s="4"/>
      <c r="C283" s="7">
        <f t="shared" si="55"/>
        <v>45511</v>
      </c>
      <c r="D283" s="11" t="str">
        <f t="shared" si="49"/>
        <v>{2024-08-07},</v>
      </c>
      <c r="E283" s="17">
        <f>COUNTIFS(Sheet1!$C:$C,Feuil1!E$1,Sheet1!$D:$D,Feuil1!$C283)</f>
        <v>0</v>
      </c>
      <c r="F283" s="6">
        <f t="shared" si="56"/>
        <v>13</v>
      </c>
      <c r="G283" s="18" t="str">
        <f t="shared" si="50"/>
        <v>(281,13)</v>
      </c>
      <c r="H283" s="17">
        <f>COUNTIFS(Sheet1!$C:$C,Feuil1!H$1,Sheet1!$D:$D,Feuil1!$C283)</f>
        <v>0</v>
      </c>
      <c r="I283" s="6">
        <f t="shared" si="51"/>
        <v>13</v>
      </c>
      <c r="J283" s="18" t="str">
        <f t="shared" si="46"/>
        <v>(281,13)</v>
      </c>
      <c r="K283" s="17">
        <f>COUNTIFS(Sheet1!$C:$C,Feuil1!K$1,Sheet1!$D:$D,Feuil1!$C283)</f>
        <v>0</v>
      </c>
      <c r="L283" s="6">
        <f t="shared" si="52"/>
        <v>6</v>
      </c>
      <c r="M283" s="18" t="str">
        <f t="shared" si="47"/>
        <v>(281,6)</v>
      </c>
      <c r="N283" s="17">
        <f>COUNTIFS(Sheet1!$C:$C,Feuil1!N$1,Sheet1!$D:$D,Feuil1!$C283)</f>
        <v>7</v>
      </c>
      <c r="O283" s="6">
        <f t="shared" si="53"/>
        <v>601</v>
      </c>
      <c r="P283" s="18" t="str">
        <f t="shared" si="48"/>
        <v>(281,601)</v>
      </c>
    </row>
    <row r="284" spans="1:16" hidden="1" x14ac:dyDescent="0.2">
      <c r="A284" s="4">
        <f t="shared" si="54"/>
        <v>282</v>
      </c>
      <c r="B284" s="4"/>
      <c r="C284" s="7">
        <f t="shared" si="55"/>
        <v>45512</v>
      </c>
      <c r="D284" s="11" t="str">
        <f t="shared" si="49"/>
        <v>{2024-08-08},</v>
      </c>
      <c r="E284" s="17">
        <f>COUNTIFS(Sheet1!$C:$C,Feuil1!E$1,Sheet1!$D:$D,Feuil1!$C284)</f>
        <v>0</v>
      </c>
      <c r="F284" s="6">
        <f t="shared" si="56"/>
        <v>13</v>
      </c>
      <c r="G284" s="18" t="str">
        <f t="shared" si="50"/>
        <v>(282,13)</v>
      </c>
      <c r="H284" s="17">
        <f>COUNTIFS(Sheet1!$C:$C,Feuil1!H$1,Sheet1!$D:$D,Feuil1!$C284)</f>
        <v>0</v>
      </c>
      <c r="I284" s="6">
        <f t="shared" si="51"/>
        <v>13</v>
      </c>
      <c r="J284" s="18" t="str">
        <f t="shared" si="46"/>
        <v>(282,13)</v>
      </c>
      <c r="K284" s="17">
        <f>COUNTIFS(Sheet1!$C:$C,Feuil1!K$1,Sheet1!$D:$D,Feuil1!$C284)</f>
        <v>0</v>
      </c>
      <c r="L284" s="6">
        <f t="shared" si="52"/>
        <v>6</v>
      </c>
      <c r="M284" s="18" t="str">
        <f t="shared" si="47"/>
        <v>(282,6)</v>
      </c>
      <c r="N284" s="17">
        <f>COUNTIFS(Sheet1!$C:$C,Feuil1!N$1,Sheet1!$D:$D,Feuil1!$C284)</f>
        <v>5</v>
      </c>
      <c r="O284" s="6">
        <f t="shared" si="53"/>
        <v>606</v>
      </c>
      <c r="P284" s="18" t="str">
        <f t="shared" si="48"/>
        <v>(282,606)</v>
      </c>
    </row>
    <row r="285" spans="1:16" hidden="1" x14ac:dyDescent="0.2">
      <c r="A285" s="4">
        <f t="shared" si="54"/>
        <v>283</v>
      </c>
      <c r="B285" s="4"/>
      <c r="C285" s="7">
        <f t="shared" si="55"/>
        <v>45513</v>
      </c>
      <c r="D285" s="11" t="str">
        <f t="shared" si="49"/>
        <v>{2024-08-09},</v>
      </c>
      <c r="E285" s="17">
        <f>COUNTIFS(Sheet1!$C:$C,Feuil1!E$1,Sheet1!$D:$D,Feuil1!$C285)</f>
        <v>0</v>
      </c>
      <c r="F285" s="6">
        <f t="shared" si="56"/>
        <v>13</v>
      </c>
      <c r="G285" s="18" t="str">
        <f t="shared" si="50"/>
        <v>(283,13)</v>
      </c>
      <c r="H285" s="17">
        <f>COUNTIFS(Sheet1!$C:$C,Feuil1!H$1,Sheet1!$D:$D,Feuil1!$C285)</f>
        <v>0</v>
      </c>
      <c r="I285" s="6">
        <f t="shared" si="51"/>
        <v>13</v>
      </c>
      <c r="J285" s="18" t="str">
        <f t="shared" si="46"/>
        <v>(283,13)</v>
      </c>
      <c r="K285" s="17">
        <f>COUNTIFS(Sheet1!$C:$C,Feuil1!K$1,Sheet1!$D:$D,Feuil1!$C285)</f>
        <v>0</v>
      </c>
      <c r="L285" s="6">
        <f t="shared" si="52"/>
        <v>6</v>
      </c>
      <c r="M285" s="18" t="str">
        <f t="shared" si="47"/>
        <v>(283,6)</v>
      </c>
      <c r="N285" s="17">
        <f>COUNTIFS(Sheet1!$C:$C,Feuil1!N$1,Sheet1!$D:$D,Feuil1!$C285)</f>
        <v>2</v>
      </c>
      <c r="O285" s="6">
        <f t="shared" si="53"/>
        <v>608</v>
      </c>
      <c r="P285" s="18" t="str">
        <f t="shared" si="48"/>
        <v>(283,608)</v>
      </c>
    </row>
    <row r="286" spans="1:16" hidden="1" x14ac:dyDescent="0.2">
      <c r="A286" s="4">
        <f t="shared" si="54"/>
        <v>284</v>
      </c>
      <c r="B286" s="4"/>
      <c r="C286" s="7">
        <f t="shared" si="55"/>
        <v>45514</v>
      </c>
      <c r="D286" s="11" t="str">
        <f t="shared" si="49"/>
        <v>{2024-08-10},</v>
      </c>
      <c r="E286" s="17">
        <f>COUNTIFS(Sheet1!$C:$C,Feuil1!E$1,Sheet1!$D:$D,Feuil1!$C286)</f>
        <v>0</v>
      </c>
      <c r="F286" s="6">
        <f t="shared" si="56"/>
        <v>13</v>
      </c>
      <c r="G286" s="18" t="str">
        <f t="shared" si="50"/>
        <v>(284,13)</v>
      </c>
      <c r="H286" s="17">
        <f>COUNTIFS(Sheet1!$C:$C,Feuil1!H$1,Sheet1!$D:$D,Feuil1!$C286)</f>
        <v>0</v>
      </c>
      <c r="I286" s="6">
        <f t="shared" si="51"/>
        <v>13</v>
      </c>
      <c r="J286" s="18" t="str">
        <f t="shared" si="46"/>
        <v>(284,13)</v>
      </c>
      <c r="K286" s="17">
        <f>COUNTIFS(Sheet1!$C:$C,Feuil1!K$1,Sheet1!$D:$D,Feuil1!$C286)</f>
        <v>1</v>
      </c>
      <c r="L286" s="6">
        <f t="shared" si="52"/>
        <v>7</v>
      </c>
      <c r="M286" s="18" t="str">
        <f t="shared" si="47"/>
        <v>(284,7)</v>
      </c>
      <c r="N286" s="17">
        <f>COUNTIFS(Sheet1!$C:$C,Feuil1!N$1,Sheet1!$D:$D,Feuil1!$C286)</f>
        <v>5</v>
      </c>
      <c r="O286" s="6">
        <f t="shared" si="53"/>
        <v>613</v>
      </c>
      <c r="P286" s="18" t="str">
        <f t="shared" si="48"/>
        <v>(284,613)</v>
      </c>
    </row>
    <row r="287" spans="1:16" hidden="1" x14ac:dyDescent="0.2">
      <c r="A287" s="4">
        <f t="shared" si="54"/>
        <v>285</v>
      </c>
      <c r="B287" s="4"/>
      <c r="C287" s="7">
        <f t="shared" si="55"/>
        <v>45515</v>
      </c>
      <c r="D287" s="11" t="str">
        <f t="shared" si="49"/>
        <v>{2024-08-11},</v>
      </c>
      <c r="E287" s="17">
        <f>COUNTIFS(Sheet1!$C:$C,Feuil1!E$1,Sheet1!$D:$D,Feuil1!$C287)</f>
        <v>0</v>
      </c>
      <c r="F287" s="6">
        <f t="shared" si="56"/>
        <v>13</v>
      </c>
      <c r="G287" s="18" t="str">
        <f t="shared" si="50"/>
        <v>(285,13)</v>
      </c>
      <c r="H287" s="17">
        <f>COUNTIFS(Sheet1!$C:$C,Feuil1!H$1,Sheet1!$D:$D,Feuil1!$C287)</f>
        <v>0</v>
      </c>
      <c r="I287" s="6">
        <f t="shared" si="51"/>
        <v>13</v>
      </c>
      <c r="J287" s="18" t="str">
        <f t="shared" si="46"/>
        <v>(285,13)</v>
      </c>
      <c r="K287" s="17">
        <f>COUNTIFS(Sheet1!$C:$C,Feuil1!K$1,Sheet1!$D:$D,Feuil1!$C287)</f>
        <v>0</v>
      </c>
      <c r="L287" s="6">
        <f t="shared" si="52"/>
        <v>7</v>
      </c>
      <c r="M287" s="18" t="str">
        <f t="shared" si="47"/>
        <v>(285,7)</v>
      </c>
      <c r="N287" s="17">
        <f>COUNTIFS(Sheet1!$C:$C,Feuil1!N$1,Sheet1!$D:$D,Feuil1!$C287)</f>
        <v>1</v>
      </c>
      <c r="O287" s="6">
        <f t="shared" si="53"/>
        <v>614</v>
      </c>
      <c r="P287" s="18" t="str">
        <f t="shared" si="48"/>
        <v>(285,614)</v>
      </c>
    </row>
    <row r="288" spans="1:16" hidden="1" x14ac:dyDescent="0.2">
      <c r="A288" s="4">
        <f t="shared" si="54"/>
        <v>286</v>
      </c>
      <c r="B288" s="4"/>
      <c r="C288" s="7">
        <f t="shared" si="55"/>
        <v>45516</v>
      </c>
      <c r="D288" s="11" t="str">
        <f t="shared" si="49"/>
        <v>{2024-08-12},</v>
      </c>
      <c r="E288" s="17">
        <f>COUNTIFS(Sheet1!$C:$C,Feuil1!E$1,Sheet1!$D:$D,Feuil1!$C288)</f>
        <v>0</v>
      </c>
      <c r="F288" s="6">
        <f t="shared" si="56"/>
        <v>13</v>
      </c>
      <c r="G288" s="18" t="str">
        <f t="shared" si="50"/>
        <v>(286,13)</v>
      </c>
      <c r="H288" s="17">
        <f>COUNTIFS(Sheet1!$C:$C,Feuil1!H$1,Sheet1!$D:$D,Feuil1!$C288)</f>
        <v>0</v>
      </c>
      <c r="I288" s="6">
        <f t="shared" si="51"/>
        <v>13</v>
      </c>
      <c r="J288" s="18" t="str">
        <f t="shared" si="46"/>
        <v>(286,13)</v>
      </c>
      <c r="K288" s="17">
        <f>COUNTIFS(Sheet1!$C:$C,Feuil1!K$1,Sheet1!$D:$D,Feuil1!$C288)</f>
        <v>0</v>
      </c>
      <c r="L288" s="6">
        <f t="shared" si="52"/>
        <v>7</v>
      </c>
      <c r="M288" s="18" t="str">
        <f t="shared" si="47"/>
        <v>(286,7)</v>
      </c>
      <c r="N288" s="17">
        <f>COUNTIFS(Sheet1!$C:$C,Feuil1!N$1,Sheet1!$D:$D,Feuil1!$C288)</f>
        <v>2</v>
      </c>
      <c r="O288" s="6">
        <f t="shared" si="53"/>
        <v>616</v>
      </c>
      <c r="P288" s="18" t="str">
        <f t="shared" si="48"/>
        <v>(286,616)</v>
      </c>
    </row>
    <row r="289" spans="1:16" hidden="1" x14ac:dyDescent="0.2">
      <c r="A289" s="4">
        <f t="shared" si="54"/>
        <v>287</v>
      </c>
      <c r="B289" s="4"/>
      <c r="C289" s="7">
        <f t="shared" si="55"/>
        <v>45517</v>
      </c>
      <c r="D289" s="11" t="str">
        <f t="shared" si="49"/>
        <v>{2024-08-13},</v>
      </c>
      <c r="E289" s="17">
        <f>COUNTIFS(Sheet1!$C:$C,Feuil1!E$1,Sheet1!$D:$D,Feuil1!$C289)</f>
        <v>0</v>
      </c>
      <c r="F289" s="6">
        <f t="shared" si="56"/>
        <v>13</v>
      </c>
      <c r="G289" s="18" t="str">
        <f t="shared" si="50"/>
        <v>(287,13)</v>
      </c>
      <c r="H289" s="17">
        <f>COUNTIFS(Sheet1!$C:$C,Feuil1!H$1,Sheet1!$D:$D,Feuil1!$C289)</f>
        <v>0</v>
      </c>
      <c r="I289" s="6">
        <f t="shared" si="51"/>
        <v>13</v>
      </c>
      <c r="J289" s="18" t="str">
        <f t="shared" si="46"/>
        <v>(287,13)</v>
      </c>
      <c r="K289" s="17">
        <f>COUNTIFS(Sheet1!$C:$C,Feuil1!K$1,Sheet1!$D:$D,Feuil1!$C289)</f>
        <v>0</v>
      </c>
      <c r="L289" s="6">
        <f t="shared" si="52"/>
        <v>7</v>
      </c>
      <c r="M289" s="18" t="str">
        <f t="shared" si="47"/>
        <v>(287,7)</v>
      </c>
      <c r="N289" s="17">
        <f>COUNTIFS(Sheet1!$C:$C,Feuil1!N$1,Sheet1!$D:$D,Feuil1!$C289)</f>
        <v>3</v>
      </c>
      <c r="O289" s="6">
        <f t="shared" si="53"/>
        <v>619</v>
      </c>
      <c r="P289" s="18" t="str">
        <f t="shared" si="48"/>
        <v>(287,619)</v>
      </c>
    </row>
    <row r="290" spans="1:16" hidden="1" x14ac:dyDescent="0.2">
      <c r="A290" s="4">
        <f t="shared" si="54"/>
        <v>288</v>
      </c>
      <c r="B290" s="4"/>
      <c r="C290" s="7">
        <f t="shared" si="55"/>
        <v>45518</v>
      </c>
      <c r="D290" s="11" t="str">
        <f t="shared" si="49"/>
        <v>{2024-08-14},</v>
      </c>
      <c r="E290" s="17">
        <f>COUNTIFS(Sheet1!$C:$C,Feuil1!E$1,Sheet1!$D:$D,Feuil1!$C290)</f>
        <v>0</v>
      </c>
      <c r="F290" s="6">
        <f t="shared" si="56"/>
        <v>13</v>
      </c>
      <c r="G290" s="18" t="str">
        <f t="shared" si="50"/>
        <v>(288,13)</v>
      </c>
      <c r="H290" s="17">
        <f>COUNTIFS(Sheet1!$C:$C,Feuil1!H$1,Sheet1!$D:$D,Feuil1!$C290)</f>
        <v>0</v>
      </c>
      <c r="I290" s="6">
        <f t="shared" si="51"/>
        <v>13</v>
      </c>
      <c r="J290" s="18" t="str">
        <f t="shared" si="46"/>
        <v>(288,13)</v>
      </c>
      <c r="K290" s="17">
        <f>COUNTIFS(Sheet1!$C:$C,Feuil1!K$1,Sheet1!$D:$D,Feuil1!$C290)</f>
        <v>0</v>
      </c>
      <c r="L290" s="6">
        <f t="shared" si="52"/>
        <v>7</v>
      </c>
      <c r="M290" s="18" t="str">
        <f t="shared" si="47"/>
        <v>(288,7)</v>
      </c>
      <c r="N290" s="17">
        <f>COUNTIFS(Sheet1!$C:$C,Feuil1!N$1,Sheet1!$D:$D,Feuil1!$C290)</f>
        <v>2</v>
      </c>
      <c r="O290" s="6">
        <f t="shared" si="53"/>
        <v>621</v>
      </c>
      <c r="P290" s="18" t="str">
        <f t="shared" si="48"/>
        <v>(288,621)</v>
      </c>
    </row>
    <row r="291" spans="1:16" hidden="1" x14ac:dyDescent="0.2">
      <c r="A291" s="4">
        <f t="shared" si="54"/>
        <v>289</v>
      </c>
      <c r="B291" s="4"/>
      <c r="C291" s="7">
        <f t="shared" si="55"/>
        <v>45519</v>
      </c>
      <c r="D291" s="11" t="str">
        <f t="shared" si="49"/>
        <v>{2024-08-15},</v>
      </c>
      <c r="E291" s="17">
        <f>COUNTIFS(Sheet1!$C:$C,Feuil1!E$1,Sheet1!$D:$D,Feuil1!$C291)</f>
        <v>0</v>
      </c>
      <c r="F291" s="6">
        <f t="shared" si="56"/>
        <v>13</v>
      </c>
      <c r="G291" s="18" t="str">
        <f t="shared" si="50"/>
        <v>(289,13)</v>
      </c>
      <c r="H291" s="17">
        <f>COUNTIFS(Sheet1!$C:$C,Feuil1!H$1,Sheet1!$D:$D,Feuil1!$C291)</f>
        <v>0</v>
      </c>
      <c r="I291" s="6">
        <f t="shared" si="51"/>
        <v>13</v>
      </c>
      <c r="J291" s="18" t="str">
        <f t="shared" si="46"/>
        <v>(289,13)</v>
      </c>
      <c r="K291" s="17">
        <f>COUNTIFS(Sheet1!$C:$C,Feuil1!K$1,Sheet1!$D:$D,Feuil1!$C291)</f>
        <v>0</v>
      </c>
      <c r="L291" s="6">
        <f t="shared" si="52"/>
        <v>7</v>
      </c>
      <c r="M291" s="18" t="str">
        <f t="shared" si="47"/>
        <v>(289,7)</v>
      </c>
      <c r="N291" s="17">
        <f>COUNTIFS(Sheet1!$C:$C,Feuil1!N$1,Sheet1!$D:$D,Feuil1!$C291)</f>
        <v>7</v>
      </c>
      <c r="O291" s="6">
        <f t="shared" si="53"/>
        <v>628</v>
      </c>
      <c r="P291" s="18" t="str">
        <f t="shared" si="48"/>
        <v>(289,628)</v>
      </c>
    </row>
    <row r="292" spans="1:16" hidden="1" x14ac:dyDescent="0.2">
      <c r="A292" s="4">
        <f t="shared" si="54"/>
        <v>290</v>
      </c>
      <c r="B292" s="4"/>
      <c r="C292" s="7">
        <f t="shared" si="55"/>
        <v>45520</v>
      </c>
      <c r="D292" s="11" t="str">
        <f t="shared" si="49"/>
        <v>{2024-08-16},</v>
      </c>
      <c r="E292" s="17">
        <f>COUNTIFS(Sheet1!$C:$C,Feuil1!E$1,Sheet1!$D:$D,Feuil1!$C292)</f>
        <v>0</v>
      </c>
      <c r="F292" s="6">
        <f t="shared" si="56"/>
        <v>13</v>
      </c>
      <c r="G292" s="18" t="str">
        <f t="shared" si="50"/>
        <v>(290,13)</v>
      </c>
      <c r="H292" s="17">
        <f>COUNTIFS(Sheet1!$C:$C,Feuil1!H$1,Sheet1!$D:$D,Feuil1!$C292)</f>
        <v>0</v>
      </c>
      <c r="I292" s="6">
        <f t="shared" si="51"/>
        <v>13</v>
      </c>
      <c r="J292" s="18" t="str">
        <f t="shared" si="46"/>
        <v>(290,13)</v>
      </c>
      <c r="K292" s="17">
        <f>COUNTIFS(Sheet1!$C:$C,Feuil1!K$1,Sheet1!$D:$D,Feuil1!$C292)</f>
        <v>0</v>
      </c>
      <c r="L292" s="6">
        <f t="shared" si="52"/>
        <v>7</v>
      </c>
      <c r="M292" s="18" t="str">
        <f t="shared" si="47"/>
        <v>(290,7)</v>
      </c>
      <c r="N292" s="17">
        <f>COUNTIFS(Sheet1!$C:$C,Feuil1!N$1,Sheet1!$D:$D,Feuil1!$C292)</f>
        <v>1</v>
      </c>
      <c r="O292" s="6">
        <f t="shared" si="53"/>
        <v>629</v>
      </c>
      <c r="P292" s="18" t="str">
        <f t="shared" si="48"/>
        <v>(290,629)</v>
      </c>
    </row>
    <row r="293" spans="1:16" hidden="1" x14ac:dyDescent="0.2">
      <c r="A293" s="4">
        <f t="shared" si="54"/>
        <v>291</v>
      </c>
      <c r="B293" s="4"/>
      <c r="C293" s="7">
        <f t="shared" si="55"/>
        <v>45521</v>
      </c>
      <c r="D293" s="11" t="str">
        <f t="shared" si="49"/>
        <v>{2024-08-17},</v>
      </c>
      <c r="E293" s="17">
        <f>COUNTIFS(Sheet1!$C:$C,Feuil1!E$1,Sheet1!$D:$D,Feuil1!$C293)</f>
        <v>0</v>
      </c>
      <c r="F293" s="6">
        <f t="shared" si="56"/>
        <v>13</v>
      </c>
      <c r="G293" s="18" t="str">
        <f t="shared" si="50"/>
        <v>(291,13)</v>
      </c>
      <c r="H293" s="17">
        <f>COUNTIFS(Sheet1!$C:$C,Feuil1!H$1,Sheet1!$D:$D,Feuil1!$C293)</f>
        <v>0</v>
      </c>
      <c r="I293" s="6">
        <f t="shared" si="51"/>
        <v>13</v>
      </c>
      <c r="J293" s="18" t="str">
        <f t="shared" si="46"/>
        <v>(291,13)</v>
      </c>
      <c r="K293" s="17">
        <f>COUNTIFS(Sheet1!$C:$C,Feuil1!K$1,Sheet1!$D:$D,Feuil1!$C293)</f>
        <v>0</v>
      </c>
      <c r="L293" s="6">
        <f t="shared" si="52"/>
        <v>7</v>
      </c>
      <c r="M293" s="18" t="str">
        <f t="shared" si="47"/>
        <v>(291,7)</v>
      </c>
      <c r="N293" s="17">
        <f>COUNTIFS(Sheet1!$C:$C,Feuil1!N$1,Sheet1!$D:$D,Feuil1!$C293)</f>
        <v>4</v>
      </c>
      <c r="O293" s="6">
        <f t="shared" si="53"/>
        <v>633</v>
      </c>
      <c r="P293" s="18" t="str">
        <f t="shared" si="48"/>
        <v>(291,633)</v>
      </c>
    </row>
    <row r="294" spans="1:16" hidden="1" x14ac:dyDescent="0.2">
      <c r="A294" s="4">
        <f t="shared" si="54"/>
        <v>292</v>
      </c>
      <c r="B294" s="4"/>
      <c r="C294" s="7">
        <f t="shared" si="55"/>
        <v>45522</v>
      </c>
      <c r="D294" s="11" t="str">
        <f t="shared" si="49"/>
        <v>{2024-08-18},</v>
      </c>
      <c r="E294" s="17">
        <f>COUNTIFS(Sheet1!$C:$C,Feuil1!E$1,Sheet1!$D:$D,Feuil1!$C294)</f>
        <v>0</v>
      </c>
      <c r="F294" s="6">
        <f t="shared" si="56"/>
        <v>13</v>
      </c>
      <c r="G294" s="18" t="str">
        <f t="shared" si="50"/>
        <v>(292,13)</v>
      </c>
      <c r="H294" s="17">
        <f>COUNTIFS(Sheet1!$C:$C,Feuil1!H$1,Sheet1!$D:$D,Feuil1!$C294)</f>
        <v>0</v>
      </c>
      <c r="I294" s="6">
        <f t="shared" si="51"/>
        <v>13</v>
      </c>
      <c r="J294" s="18" t="str">
        <f t="shared" si="46"/>
        <v>(292,13)</v>
      </c>
      <c r="K294" s="17">
        <f>COUNTIFS(Sheet1!$C:$C,Feuil1!K$1,Sheet1!$D:$D,Feuil1!$C294)</f>
        <v>0</v>
      </c>
      <c r="L294" s="6">
        <f t="shared" si="52"/>
        <v>7</v>
      </c>
      <c r="M294" s="18" t="str">
        <f t="shared" si="47"/>
        <v>(292,7)</v>
      </c>
      <c r="N294" s="17">
        <f>COUNTIFS(Sheet1!$C:$C,Feuil1!N$1,Sheet1!$D:$D,Feuil1!$C294)</f>
        <v>8</v>
      </c>
      <c r="O294" s="6">
        <f t="shared" si="53"/>
        <v>641</v>
      </c>
      <c r="P294" s="18" t="str">
        <f t="shared" si="48"/>
        <v>(292,641)</v>
      </c>
    </row>
    <row r="295" spans="1:16" hidden="1" x14ac:dyDescent="0.2">
      <c r="A295" s="4">
        <f t="shared" si="54"/>
        <v>293</v>
      </c>
      <c r="B295" s="4"/>
      <c r="C295" s="7">
        <f t="shared" si="55"/>
        <v>45523</v>
      </c>
      <c r="D295" s="11" t="str">
        <f t="shared" si="49"/>
        <v>{2024-08-19},</v>
      </c>
      <c r="E295" s="17">
        <f>COUNTIFS(Sheet1!$C:$C,Feuil1!E$1,Sheet1!$D:$D,Feuil1!$C295)</f>
        <v>0</v>
      </c>
      <c r="F295" s="6">
        <f t="shared" si="56"/>
        <v>13</v>
      </c>
      <c r="G295" s="18" t="str">
        <f t="shared" si="50"/>
        <v>(293,13)</v>
      </c>
      <c r="H295" s="17">
        <f>COUNTIFS(Sheet1!$C:$C,Feuil1!H$1,Sheet1!$D:$D,Feuil1!$C295)</f>
        <v>0</v>
      </c>
      <c r="I295" s="6">
        <f t="shared" si="51"/>
        <v>13</v>
      </c>
      <c r="J295" s="18" t="str">
        <f t="shared" si="46"/>
        <v>(293,13)</v>
      </c>
      <c r="K295" s="17">
        <f>COUNTIFS(Sheet1!$C:$C,Feuil1!K$1,Sheet1!$D:$D,Feuil1!$C295)</f>
        <v>0</v>
      </c>
      <c r="L295" s="6">
        <f t="shared" si="52"/>
        <v>7</v>
      </c>
      <c r="M295" s="18" t="str">
        <f t="shared" si="47"/>
        <v>(293,7)</v>
      </c>
      <c r="N295" s="17">
        <f>COUNTIFS(Sheet1!$C:$C,Feuil1!N$1,Sheet1!$D:$D,Feuil1!$C295)</f>
        <v>2</v>
      </c>
      <c r="O295" s="6">
        <f t="shared" si="53"/>
        <v>643</v>
      </c>
      <c r="P295" s="18" t="str">
        <f t="shared" si="48"/>
        <v>(293,643)</v>
      </c>
    </row>
    <row r="296" spans="1:16" hidden="1" x14ac:dyDescent="0.2">
      <c r="A296" s="4">
        <f t="shared" si="54"/>
        <v>294</v>
      </c>
      <c r="B296" s="4"/>
      <c r="C296" s="7">
        <f t="shared" si="55"/>
        <v>45524</v>
      </c>
      <c r="D296" s="11" t="str">
        <f t="shared" si="49"/>
        <v>{2024-08-20},</v>
      </c>
      <c r="E296" s="17">
        <f>COUNTIFS(Sheet1!$C:$C,Feuil1!E$1,Sheet1!$D:$D,Feuil1!$C296)</f>
        <v>0</v>
      </c>
      <c r="F296" s="6">
        <f t="shared" si="56"/>
        <v>13</v>
      </c>
      <c r="G296" s="18" t="str">
        <f t="shared" si="50"/>
        <v>(294,13)</v>
      </c>
      <c r="H296" s="17">
        <f>COUNTIFS(Sheet1!$C:$C,Feuil1!H$1,Sheet1!$D:$D,Feuil1!$C296)</f>
        <v>0</v>
      </c>
      <c r="I296" s="6">
        <f t="shared" si="51"/>
        <v>13</v>
      </c>
      <c r="J296" s="18" t="str">
        <f t="shared" si="46"/>
        <v>(294,13)</v>
      </c>
      <c r="K296" s="17">
        <f>COUNTIFS(Sheet1!$C:$C,Feuil1!K$1,Sheet1!$D:$D,Feuil1!$C296)</f>
        <v>0</v>
      </c>
      <c r="L296" s="6">
        <f t="shared" si="52"/>
        <v>7</v>
      </c>
      <c r="M296" s="18" t="str">
        <f t="shared" si="47"/>
        <v>(294,7)</v>
      </c>
      <c r="N296" s="17">
        <f>COUNTIFS(Sheet1!$C:$C,Feuil1!N$1,Sheet1!$D:$D,Feuil1!$C296)</f>
        <v>4</v>
      </c>
      <c r="O296" s="6">
        <f t="shared" si="53"/>
        <v>647</v>
      </c>
      <c r="P296" s="18" t="str">
        <f t="shared" si="48"/>
        <v>(294,647)</v>
      </c>
    </row>
    <row r="297" spans="1:16" hidden="1" x14ac:dyDescent="0.2">
      <c r="A297" s="4">
        <f t="shared" si="54"/>
        <v>295</v>
      </c>
      <c r="B297" s="4"/>
      <c r="C297" s="7">
        <f t="shared" si="55"/>
        <v>45525</v>
      </c>
      <c r="D297" s="11" t="str">
        <f t="shared" si="49"/>
        <v>{2024-08-21},</v>
      </c>
      <c r="E297" s="17">
        <f>COUNTIFS(Sheet1!$C:$C,Feuil1!E$1,Sheet1!$D:$D,Feuil1!$C297)</f>
        <v>0</v>
      </c>
      <c r="F297" s="6">
        <f t="shared" si="56"/>
        <v>13</v>
      </c>
      <c r="G297" s="18" t="str">
        <f t="shared" si="50"/>
        <v>(295,13)</v>
      </c>
      <c r="H297" s="17">
        <f>COUNTIFS(Sheet1!$C:$C,Feuil1!H$1,Sheet1!$D:$D,Feuil1!$C297)</f>
        <v>0</v>
      </c>
      <c r="I297" s="6">
        <f t="shared" si="51"/>
        <v>13</v>
      </c>
      <c r="J297" s="18" t="str">
        <f t="shared" si="46"/>
        <v>(295,13)</v>
      </c>
      <c r="K297" s="17">
        <f>COUNTIFS(Sheet1!$C:$C,Feuil1!K$1,Sheet1!$D:$D,Feuil1!$C297)</f>
        <v>0</v>
      </c>
      <c r="L297" s="6">
        <f t="shared" si="52"/>
        <v>7</v>
      </c>
      <c r="M297" s="18" t="str">
        <f t="shared" si="47"/>
        <v>(295,7)</v>
      </c>
      <c r="N297" s="17">
        <f>COUNTIFS(Sheet1!$C:$C,Feuil1!N$1,Sheet1!$D:$D,Feuil1!$C297)</f>
        <v>6</v>
      </c>
      <c r="O297" s="6">
        <f t="shared" si="53"/>
        <v>653</v>
      </c>
      <c r="P297" s="18" t="str">
        <f t="shared" si="48"/>
        <v>(295,653)</v>
      </c>
    </row>
    <row r="298" spans="1:16" hidden="1" x14ac:dyDescent="0.2">
      <c r="A298" s="4">
        <f t="shared" si="54"/>
        <v>296</v>
      </c>
      <c r="B298" s="4"/>
      <c r="C298" s="7">
        <f t="shared" si="55"/>
        <v>45526</v>
      </c>
      <c r="D298" s="11" t="str">
        <f t="shared" si="49"/>
        <v>{2024-08-22},</v>
      </c>
      <c r="E298" s="17">
        <f>COUNTIFS(Sheet1!$C:$C,Feuil1!E$1,Sheet1!$D:$D,Feuil1!$C298)</f>
        <v>0</v>
      </c>
      <c r="F298" s="6">
        <f t="shared" si="56"/>
        <v>13</v>
      </c>
      <c r="G298" s="18" t="str">
        <f t="shared" si="50"/>
        <v>(296,13)</v>
      </c>
      <c r="H298" s="17">
        <f>COUNTIFS(Sheet1!$C:$C,Feuil1!H$1,Sheet1!$D:$D,Feuil1!$C298)</f>
        <v>0</v>
      </c>
      <c r="I298" s="6">
        <f t="shared" si="51"/>
        <v>13</v>
      </c>
      <c r="J298" s="18" t="str">
        <f t="shared" si="46"/>
        <v>(296,13)</v>
      </c>
      <c r="K298" s="17">
        <f>COUNTIFS(Sheet1!$C:$C,Feuil1!K$1,Sheet1!$D:$D,Feuil1!$C298)</f>
        <v>0</v>
      </c>
      <c r="L298" s="6">
        <f t="shared" si="52"/>
        <v>7</v>
      </c>
      <c r="M298" s="18" t="str">
        <f t="shared" si="47"/>
        <v>(296,7)</v>
      </c>
      <c r="N298" s="17">
        <f>COUNTIFS(Sheet1!$C:$C,Feuil1!N$1,Sheet1!$D:$D,Feuil1!$C298)</f>
        <v>1</v>
      </c>
      <c r="O298" s="6">
        <f t="shared" si="53"/>
        <v>654</v>
      </c>
      <c r="P298" s="18" t="str">
        <f t="shared" si="48"/>
        <v>(296,654)</v>
      </c>
    </row>
    <row r="299" spans="1:16" hidden="1" x14ac:dyDescent="0.2">
      <c r="A299" s="4">
        <f t="shared" si="54"/>
        <v>297</v>
      </c>
      <c r="B299" s="4"/>
      <c r="C299" s="7">
        <f t="shared" si="55"/>
        <v>45527</v>
      </c>
      <c r="D299" s="11" t="str">
        <f t="shared" si="49"/>
        <v>{2024-08-23},</v>
      </c>
      <c r="E299" s="17">
        <f>COUNTIFS(Sheet1!$C:$C,Feuil1!E$1,Sheet1!$D:$D,Feuil1!$C299)</f>
        <v>0</v>
      </c>
      <c r="F299" s="6">
        <f t="shared" si="56"/>
        <v>13</v>
      </c>
      <c r="G299" s="18" t="str">
        <f t="shared" si="50"/>
        <v>(297,13)</v>
      </c>
      <c r="H299" s="17">
        <f>COUNTIFS(Sheet1!$C:$C,Feuil1!H$1,Sheet1!$D:$D,Feuil1!$C299)</f>
        <v>0</v>
      </c>
      <c r="I299" s="6">
        <f t="shared" si="51"/>
        <v>13</v>
      </c>
      <c r="J299" s="18" t="str">
        <f t="shared" si="46"/>
        <v>(297,13)</v>
      </c>
      <c r="K299" s="17">
        <f>COUNTIFS(Sheet1!$C:$C,Feuil1!K$1,Sheet1!$D:$D,Feuil1!$C299)</f>
        <v>0</v>
      </c>
      <c r="L299" s="6">
        <f t="shared" si="52"/>
        <v>7</v>
      </c>
      <c r="M299" s="18" t="str">
        <f t="shared" si="47"/>
        <v>(297,7)</v>
      </c>
      <c r="N299" s="17">
        <f>COUNTIFS(Sheet1!$C:$C,Feuil1!N$1,Sheet1!$D:$D,Feuil1!$C299)</f>
        <v>4</v>
      </c>
      <c r="O299" s="6">
        <f t="shared" si="53"/>
        <v>658</v>
      </c>
      <c r="P299" s="18" t="str">
        <f t="shared" si="48"/>
        <v>(297,658)</v>
      </c>
    </row>
    <row r="300" spans="1:16" hidden="1" x14ac:dyDescent="0.2">
      <c r="A300" s="4">
        <f t="shared" si="54"/>
        <v>298</v>
      </c>
      <c r="B300" s="4"/>
      <c r="C300" s="7">
        <f t="shared" si="55"/>
        <v>45528</v>
      </c>
      <c r="D300" s="11" t="str">
        <f t="shared" si="49"/>
        <v>{2024-08-24},</v>
      </c>
      <c r="E300" s="17">
        <f>COUNTIFS(Sheet1!$C:$C,Feuil1!E$1,Sheet1!$D:$D,Feuil1!$C300)</f>
        <v>0</v>
      </c>
      <c r="F300" s="6">
        <f t="shared" si="56"/>
        <v>13</v>
      </c>
      <c r="G300" s="18" t="str">
        <f t="shared" si="50"/>
        <v>(298,13)</v>
      </c>
      <c r="H300" s="17">
        <f>COUNTIFS(Sheet1!$C:$C,Feuil1!H$1,Sheet1!$D:$D,Feuil1!$C300)</f>
        <v>0</v>
      </c>
      <c r="I300" s="6">
        <f t="shared" si="51"/>
        <v>13</v>
      </c>
      <c r="J300" s="18" t="str">
        <f t="shared" si="46"/>
        <v>(298,13)</v>
      </c>
      <c r="K300" s="17">
        <f>COUNTIFS(Sheet1!$C:$C,Feuil1!K$1,Sheet1!$D:$D,Feuil1!$C300)</f>
        <v>0</v>
      </c>
      <c r="L300" s="6">
        <f t="shared" si="52"/>
        <v>7</v>
      </c>
      <c r="M300" s="18" t="str">
        <f t="shared" si="47"/>
        <v>(298,7)</v>
      </c>
      <c r="N300" s="17">
        <f>COUNTIFS(Sheet1!$C:$C,Feuil1!N$1,Sheet1!$D:$D,Feuil1!$C300)</f>
        <v>7</v>
      </c>
      <c r="O300" s="6">
        <f t="shared" si="53"/>
        <v>665</v>
      </c>
      <c r="P300" s="18" t="str">
        <f t="shared" si="48"/>
        <v>(298,665)</v>
      </c>
    </row>
    <row r="301" spans="1:16" hidden="1" x14ac:dyDescent="0.2">
      <c r="A301" s="4">
        <f t="shared" si="54"/>
        <v>299</v>
      </c>
      <c r="B301" s="4"/>
      <c r="C301" s="7">
        <f t="shared" si="55"/>
        <v>45529</v>
      </c>
      <c r="D301" s="11" t="str">
        <f t="shared" si="49"/>
        <v>{2024-08-25},</v>
      </c>
      <c r="E301" s="17">
        <f>COUNTIFS(Sheet1!$C:$C,Feuil1!E$1,Sheet1!$D:$D,Feuil1!$C301)</f>
        <v>0</v>
      </c>
      <c r="F301" s="6">
        <f t="shared" si="56"/>
        <v>13</v>
      </c>
      <c r="G301" s="18" t="str">
        <f t="shared" si="50"/>
        <v>(299,13)</v>
      </c>
      <c r="H301" s="17">
        <f>COUNTIFS(Sheet1!$C:$C,Feuil1!H$1,Sheet1!$D:$D,Feuil1!$C301)</f>
        <v>0</v>
      </c>
      <c r="I301" s="6">
        <f t="shared" si="51"/>
        <v>13</v>
      </c>
      <c r="J301" s="18" t="str">
        <f t="shared" si="46"/>
        <v>(299,13)</v>
      </c>
      <c r="K301" s="17">
        <f>COUNTIFS(Sheet1!$C:$C,Feuil1!K$1,Sheet1!$D:$D,Feuil1!$C301)</f>
        <v>0</v>
      </c>
      <c r="L301" s="6">
        <f t="shared" si="52"/>
        <v>7</v>
      </c>
      <c r="M301" s="18" t="str">
        <f t="shared" si="47"/>
        <v>(299,7)</v>
      </c>
      <c r="N301" s="17">
        <f>COUNTIFS(Sheet1!$C:$C,Feuil1!N$1,Sheet1!$D:$D,Feuil1!$C301)</f>
        <v>2</v>
      </c>
      <c r="O301" s="6">
        <f t="shared" si="53"/>
        <v>667</v>
      </c>
      <c r="P301" s="18" t="str">
        <f t="shared" si="48"/>
        <v>(299,667)</v>
      </c>
    </row>
    <row r="302" spans="1:16" hidden="1" x14ac:dyDescent="0.2">
      <c r="A302" s="4">
        <f t="shared" si="54"/>
        <v>300</v>
      </c>
      <c r="B302" s="4"/>
      <c r="C302" s="7">
        <f t="shared" si="55"/>
        <v>45530</v>
      </c>
      <c r="D302" s="11" t="str">
        <f t="shared" si="49"/>
        <v>{2024-08-26},</v>
      </c>
      <c r="E302" s="17">
        <f>COUNTIFS(Sheet1!$C:$C,Feuil1!E$1,Sheet1!$D:$D,Feuil1!$C302)</f>
        <v>0</v>
      </c>
      <c r="F302" s="6">
        <f t="shared" si="56"/>
        <v>13</v>
      </c>
      <c r="G302" s="18" t="str">
        <f t="shared" si="50"/>
        <v>(300,13)</v>
      </c>
      <c r="H302" s="17">
        <f>COUNTIFS(Sheet1!$C:$C,Feuil1!H$1,Sheet1!$D:$D,Feuil1!$C302)</f>
        <v>0</v>
      </c>
      <c r="I302" s="6">
        <f t="shared" si="51"/>
        <v>13</v>
      </c>
      <c r="J302" s="18" t="str">
        <f t="shared" si="46"/>
        <v>(300,13)</v>
      </c>
      <c r="K302" s="17">
        <f>COUNTIFS(Sheet1!$C:$C,Feuil1!K$1,Sheet1!$D:$D,Feuil1!$C302)</f>
        <v>0</v>
      </c>
      <c r="L302" s="6">
        <f t="shared" si="52"/>
        <v>7</v>
      </c>
      <c r="M302" s="18" t="str">
        <f t="shared" si="47"/>
        <v>(300,7)</v>
      </c>
      <c r="N302" s="17">
        <f>COUNTIFS(Sheet1!$C:$C,Feuil1!N$1,Sheet1!$D:$D,Feuil1!$C302)</f>
        <v>2</v>
      </c>
      <c r="O302" s="6">
        <f t="shared" si="53"/>
        <v>669</v>
      </c>
      <c r="P302" s="18" t="str">
        <f t="shared" si="48"/>
        <v>(300,669)</v>
      </c>
    </row>
    <row r="303" spans="1:16" hidden="1" x14ac:dyDescent="0.2">
      <c r="A303" s="4">
        <f t="shared" si="54"/>
        <v>301</v>
      </c>
      <c r="B303" s="4"/>
      <c r="C303" s="7">
        <f t="shared" si="55"/>
        <v>45531</v>
      </c>
      <c r="D303" s="11" t="str">
        <f t="shared" si="49"/>
        <v>{2024-08-27},</v>
      </c>
      <c r="E303" s="17">
        <f>COUNTIFS(Sheet1!$C:$C,Feuil1!E$1,Sheet1!$D:$D,Feuil1!$C303)</f>
        <v>0</v>
      </c>
      <c r="F303" s="6">
        <f t="shared" si="56"/>
        <v>13</v>
      </c>
      <c r="G303" s="18" t="str">
        <f t="shared" si="50"/>
        <v>(301,13)</v>
      </c>
      <c r="H303" s="17">
        <f>COUNTIFS(Sheet1!$C:$C,Feuil1!H$1,Sheet1!$D:$D,Feuil1!$C303)</f>
        <v>0</v>
      </c>
      <c r="I303" s="6">
        <f t="shared" si="51"/>
        <v>13</v>
      </c>
      <c r="J303" s="18" t="str">
        <f t="shared" si="46"/>
        <v>(301,13)</v>
      </c>
      <c r="K303" s="17">
        <f>COUNTIFS(Sheet1!$C:$C,Feuil1!K$1,Sheet1!$D:$D,Feuil1!$C303)</f>
        <v>0</v>
      </c>
      <c r="L303" s="6">
        <f t="shared" si="52"/>
        <v>7</v>
      </c>
      <c r="M303" s="18" t="str">
        <f t="shared" si="47"/>
        <v>(301,7)</v>
      </c>
      <c r="N303" s="17">
        <f>COUNTIFS(Sheet1!$C:$C,Feuil1!N$1,Sheet1!$D:$D,Feuil1!$C303)</f>
        <v>6</v>
      </c>
      <c r="O303" s="6">
        <f t="shared" si="53"/>
        <v>675</v>
      </c>
      <c r="P303" s="18" t="str">
        <f t="shared" si="48"/>
        <v>(301,675)</v>
      </c>
    </row>
    <row r="304" spans="1:16" hidden="1" x14ac:dyDescent="0.2">
      <c r="A304" s="4">
        <f t="shared" si="54"/>
        <v>302</v>
      </c>
      <c r="B304" s="4"/>
      <c r="C304" s="7">
        <f t="shared" si="55"/>
        <v>45532</v>
      </c>
      <c r="D304" s="11" t="str">
        <f t="shared" si="49"/>
        <v>{2024-08-28},</v>
      </c>
      <c r="E304" s="17">
        <f>COUNTIFS(Sheet1!$C:$C,Feuil1!E$1,Sheet1!$D:$D,Feuil1!$C304)</f>
        <v>0</v>
      </c>
      <c r="F304" s="6">
        <f t="shared" si="56"/>
        <v>13</v>
      </c>
      <c r="G304" s="18" t="str">
        <f t="shared" si="50"/>
        <v>(302,13)</v>
      </c>
      <c r="H304" s="17">
        <f>COUNTIFS(Sheet1!$C:$C,Feuil1!H$1,Sheet1!$D:$D,Feuil1!$C304)</f>
        <v>0</v>
      </c>
      <c r="I304" s="6">
        <f t="shared" si="51"/>
        <v>13</v>
      </c>
      <c r="J304" s="18" t="str">
        <f t="shared" si="46"/>
        <v>(302,13)</v>
      </c>
      <c r="K304" s="17">
        <f>COUNTIFS(Sheet1!$C:$C,Feuil1!K$1,Sheet1!$D:$D,Feuil1!$C304)</f>
        <v>0</v>
      </c>
      <c r="L304" s="6">
        <f t="shared" si="52"/>
        <v>7</v>
      </c>
      <c r="M304" s="18" t="str">
        <f t="shared" si="47"/>
        <v>(302,7)</v>
      </c>
      <c r="N304" s="17">
        <f>COUNTIFS(Sheet1!$C:$C,Feuil1!N$1,Sheet1!$D:$D,Feuil1!$C304)</f>
        <v>8</v>
      </c>
      <c r="O304" s="6">
        <f t="shared" si="53"/>
        <v>683</v>
      </c>
      <c r="P304" s="18" t="str">
        <f t="shared" si="48"/>
        <v>(302,683)</v>
      </c>
    </row>
    <row r="305" spans="1:16" hidden="1" x14ac:dyDescent="0.2">
      <c r="A305" s="4">
        <f t="shared" si="54"/>
        <v>303</v>
      </c>
      <c r="B305" s="4"/>
      <c r="C305" s="7">
        <f t="shared" si="55"/>
        <v>45533</v>
      </c>
      <c r="D305" s="11" t="str">
        <f t="shared" si="49"/>
        <v>{2024-08-29},</v>
      </c>
      <c r="E305" s="17">
        <f>COUNTIFS(Sheet1!$C:$C,Feuil1!E$1,Sheet1!$D:$D,Feuil1!$C305)</f>
        <v>0</v>
      </c>
      <c r="F305" s="6">
        <f t="shared" si="56"/>
        <v>13</v>
      </c>
      <c r="G305" s="18" t="str">
        <f t="shared" si="50"/>
        <v>(303,13)</v>
      </c>
      <c r="H305" s="17">
        <f>COUNTIFS(Sheet1!$C:$C,Feuil1!H$1,Sheet1!$D:$D,Feuil1!$C305)</f>
        <v>0</v>
      </c>
      <c r="I305" s="6">
        <f t="shared" si="51"/>
        <v>13</v>
      </c>
      <c r="J305" s="18" t="str">
        <f t="shared" si="46"/>
        <v>(303,13)</v>
      </c>
      <c r="K305" s="17">
        <f>COUNTIFS(Sheet1!$C:$C,Feuil1!K$1,Sheet1!$D:$D,Feuil1!$C305)</f>
        <v>0</v>
      </c>
      <c r="L305" s="6">
        <f t="shared" si="52"/>
        <v>7</v>
      </c>
      <c r="M305" s="18" t="str">
        <f t="shared" si="47"/>
        <v>(303,7)</v>
      </c>
      <c r="N305" s="17">
        <f>COUNTIFS(Sheet1!$C:$C,Feuil1!N$1,Sheet1!$D:$D,Feuil1!$C305)</f>
        <v>3</v>
      </c>
      <c r="O305" s="6">
        <f t="shared" si="53"/>
        <v>686</v>
      </c>
      <c r="P305" s="18" t="str">
        <f t="shared" si="48"/>
        <v>(303,686)</v>
      </c>
    </row>
    <row r="306" spans="1:16" hidden="1" x14ac:dyDescent="0.2">
      <c r="A306" s="4">
        <f t="shared" si="54"/>
        <v>304</v>
      </c>
      <c r="B306" s="4"/>
      <c r="C306" s="7">
        <f t="shared" si="55"/>
        <v>45534</v>
      </c>
      <c r="D306" s="11" t="str">
        <f t="shared" si="49"/>
        <v>{2024-08-30},</v>
      </c>
      <c r="E306" s="17">
        <f>COUNTIFS(Sheet1!$C:$C,Feuil1!E$1,Sheet1!$D:$D,Feuil1!$C306)</f>
        <v>0</v>
      </c>
      <c r="F306" s="6">
        <f t="shared" si="56"/>
        <v>13</v>
      </c>
      <c r="G306" s="18" t="str">
        <f t="shared" si="50"/>
        <v>(304,13)</v>
      </c>
      <c r="H306" s="17">
        <f>COUNTIFS(Sheet1!$C:$C,Feuil1!H$1,Sheet1!$D:$D,Feuil1!$C306)</f>
        <v>0</v>
      </c>
      <c r="I306" s="6">
        <f t="shared" si="51"/>
        <v>13</v>
      </c>
      <c r="J306" s="18" t="str">
        <f t="shared" si="46"/>
        <v>(304,13)</v>
      </c>
      <c r="K306" s="17">
        <f>COUNTIFS(Sheet1!$C:$C,Feuil1!K$1,Sheet1!$D:$D,Feuil1!$C306)</f>
        <v>0</v>
      </c>
      <c r="L306" s="6">
        <f t="shared" si="52"/>
        <v>7</v>
      </c>
      <c r="M306" s="18" t="str">
        <f t="shared" si="47"/>
        <v>(304,7)</v>
      </c>
      <c r="N306" s="17">
        <f>COUNTIFS(Sheet1!$C:$C,Feuil1!N$1,Sheet1!$D:$D,Feuil1!$C306)</f>
        <v>3</v>
      </c>
      <c r="O306" s="6">
        <f t="shared" si="53"/>
        <v>689</v>
      </c>
      <c r="P306" s="18" t="str">
        <f t="shared" si="48"/>
        <v>(304,689)</v>
      </c>
    </row>
    <row r="307" spans="1:16" hidden="1" x14ac:dyDescent="0.2">
      <c r="A307" s="4">
        <f t="shared" si="54"/>
        <v>305</v>
      </c>
      <c r="B307" s="4"/>
      <c r="C307" s="7">
        <f t="shared" si="55"/>
        <v>45535</v>
      </c>
      <c r="D307" s="11" t="str">
        <f t="shared" si="49"/>
        <v>{2024-08-31},</v>
      </c>
      <c r="E307" s="17">
        <f>COUNTIFS(Sheet1!$C:$C,Feuil1!E$1,Sheet1!$D:$D,Feuil1!$C307)</f>
        <v>0</v>
      </c>
      <c r="F307" s="6">
        <f t="shared" si="56"/>
        <v>13</v>
      </c>
      <c r="G307" s="18" t="str">
        <f t="shared" si="50"/>
        <v>(305,13)</v>
      </c>
      <c r="H307" s="17">
        <f>COUNTIFS(Sheet1!$C:$C,Feuil1!H$1,Sheet1!$D:$D,Feuil1!$C307)</f>
        <v>0</v>
      </c>
      <c r="I307" s="6">
        <f t="shared" si="51"/>
        <v>13</v>
      </c>
      <c r="J307" s="18" t="str">
        <f t="shared" si="46"/>
        <v>(305,13)</v>
      </c>
      <c r="K307" s="17">
        <f>COUNTIFS(Sheet1!$C:$C,Feuil1!K$1,Sheet1!$D:$D,Feuil1!$C307)</f>
        <v>0</v>
      </c>
      <c r="L307" s="6">
        <f t="shared" si="52"/>
        <v>7</v>
      </c>
      <c r="M307" s="18" t="str">
        <f t="shared" si="47"/>
        <v>(305,7)</v>
      </c>
      <c r="N307" s="17">
        <f>COUNTIFS(Sheet1!$C:$C,Feuil1!N$1,Sheet1!$D:$D,Feuil1!$C307)</f>
        <v>5</v>
      </c>
      <c r="O307" s="6">
        <f t="shared" si="53"/>
        <v>694</v>
      </c>
      <c r="P307" s="18" t="str">
        <f t="shared" si="48"/>
        <v>(305,694)</v>
      </c>
    </row>
    <row r="308" spans="1:16" hidden="1" x14ac:dyDescent="0.2">
      <c r="A308" s="4">
        <f t="shared" si="54"/>
        <v>306</v>
      </c>
      <c r="B308" s="4"/>
      <c r="C308" s="5">
        <f t="shared" si="55"/>
        <v>45536</v>
      </c>
      <c r="D308" s="11" t="str">
        <f t="shared" si="49"/>
        <v>{2024-09-01},</v>
      </c>
      <c r="E308" s="17">
        <f>COUNTIFS(Sheet1!$C:$C,Feuil1!E$1,Sheet1!$D:$D,Feuil1!$C308)</f>
        <v>0</v>
      </c>
      <c r="F308" s="6">
        <f t="shared" si="56"/>
        <v>13</v>
      </c>
      <c r="G308" s="18" t="str">
        <f t="shared" si="50"/>
        <v>(306,13)</v>
      </c>
      <c r="H308" s="17">
        <f>COUNTIFS(Sheet1!$C:$C,Feuil1!H$1,Sheet1!$D:$D,Feuil1!$C308)</f>
        <v>0</v>
      </c>
      <c r="I308" s="6">
        <f t="shared" si="51"/>
        <v>13</v>
      </c>
      <c r="J308" s="18" t="str">
        <f t="shared" si="46"/>
        <v>(306,13)</v>
      </c>
      <c r="K308" s="17">
        <f>COUNTIFS(Sheet1!$C:$C,Feuil1!K$1,Sheet1!$D:$D,Feuil1!$C308)</f>
        <v>0</v>
      </c>
      <c r="L308" s="6">
        <f t="shared" si="52"/>
        <v>7</v>
      </c>
      <c r="M308" s="18" t="str">
        <f t="shared" si="47"/>
        <v>(306,7)</v>
      </c>
      <c r="N308" s="17">
        <f>COUNTIFS(Sheet1!$C:$C,Feuil1!N$1,Sheet1!$D:$D,Feuil1!$C308)</f>
        <v>3</v>
      </c>
      <c r="O308" s="6">
        <f t="shared" si="53"/>
        <v>697</v>
      </c>
      <c r="P308" s="18" t="str">
        <f t="shared" si="48"/>
        <v>(306,697)</v>
      </c>
    </row>
    <row r="309" spans="1:16" hidden="1" x14ac:dyDescent="0.2">
      <c r="A309" s="4">
        <f t="shared" si="54"/>
        <v>307</v>
      </c>
      <c r="B309" s="4"/>
      <c r="C309" s="7">
        <f t="shared" si="55"/>
        <v>45537</v>
      </c>
      <c r="D309" s="11" t="str">
        <f t="shared" si="49"/>
        <v>{2024-09-02},</v>
      </c>
      <c r="E309" s="17">
        <f>COUNTIFS(Sheet1!$C:$C,Feuil1!E$1,Sheet1!$D:$D,Feuil1!$C309)</f>
        <v>0</v>
      </c>
      <c r="F309" s="6">
        <f t="shared" si="56"/>
        <v>13</v>
      </c>
      <c r="G309" s="18" t="str">
        <f t="shared" si="50"/>
        <v>(307,13)</v>
      </c>
      <c r="H309" s="17">
        <f>COUNTIFS(Sheet1!$C:$C,Feuil1!H$1,Sheet1!$D:$D,Feuil1!$C309)</f>
        <v>0</v>
      </c>
      <c r="I309" s="6">
        <f t="shared" si="51"/>
        <v>13</v>
      </c>
      <c r="J309" s="18" t="str">
        <f t="shared" si="46"/>
        <v>(307,13)</v>
      </c>
      <c r="K309" s="17">
        <f>COUNTIFS(Sheet1!$C:$C,Feuil1!K$1,Sheet1!$D:$D,Feuil1!$C309)</f>
        <v>0</v>
      </c>
      <c r="L309" s="6">
        <f t="shared" si="52"/>
        <v>7</v>
      </c>
      <c r="M309" s="18" t="str">
        <f t="shared" si="47"/>
        <v>(307,7)</v>
      </c>
      <c r="N309" s="17">
        <f>COUNTIFS(Sheet1!$C:$C,Feuil1!N$1,Sheet1!$D:$D,Feuil1!$C309)</f>
        <v>2</v>
      </c>
      <c r="O309" s="6">
        <f t="shared" si="53"/>
        <v>699</v>
      </c>
      <c r="P309" s="18" t="str">
        <f t="shared" si="48"/>
        <v>(307,699)</v>
      </c>
    </row>
    <row r="310" spans="1:16" hidden="1" x14ac:dyDescent="0.2">
      <c r="A310" s="4">
        <f t="shared" si="54"/>
        <v>308</v>
      </c>
      <c r="B310" s="4"/>
      <c r="C310" s="7">
        <f t="shared" si="55"/>
        <v>45538</v>
      </c>
      <c r="D310" s="11" t="str">
        <f t="shared" si="49"/>
        <v>{2024-09-03},</v>
      </c>
      <c r="E310" s="17">
        <f>COUNTIFS(Sheet1!$C:$C,Feuil1!E$1,Sheet1!$D:$D,Feuil1!$C310)</f>
        <v>0</v>
      </c>
      <c r="F310" s="6">
        <f t="shared" si="56"/>
        <v>13</v>
      </c>
      <c r="G310" s="18" t="str">
        <f t="shared" si="50"/>
        <v>(308,13)</v>
      </c>
      <c r="H310" s="17">
        <f>COUNTIFS(Sheet1!$C:$C,Feuil1!H$1,Sheet1!$D:$D,Feuil1!$C310)</f>
        <v>0</v>
      </c>
      <c r="I310" s="6">
        <f t="shared" si="51"/>
        <v>13</v>
      </c>
      <c r="J310" s="18" t="str">
        <f t="shared" si="46"/>
        <v>(308,13)</v>
      </c>
      <c r="K310" s="17">
        <f>COUNTIFS(Sheet1!$C:$C,Feuil1!K$1,Sheet1!$D:$D,Feuil1!$C310)</f>
        <v>0</v>
      </c>
      <c r="L310" s="6">
        <f t="shared" si="52"/>
        <v>7</v>
      </c>
      <c r="M310" s="18" t="str">
        <f t="shared" si="47"/>
        <v>(308,7)</v>
      </c>
      <c r="N310" s="17">
        <f>COUNTIFS(Sheet1!$C:$C,Feuil1!N$1,Sheet1!$D:$D,Feuil1!$C310)</f>
        <v>3</v>
      </c>
      <c r="O310" s="6">
        <f t="shared" si="53"/>
        <v>702</v>
      </c>
      <c r="P310" s="18" t="str">
        <f t="shared" si="48"/>
        <v>(308,702)</v>
      </c>
    </row>
    <row r="311" spans="1:16" hidden="1" x14ac:dyDescent="0.2">
      <c r="A311" s="4">
        <f t="shared" si="54"/>
        <v>309</v>
      </c>
      <c r="B311" s="4"/>
      <c r="C311" s="7">
        <f t="shared" si="55"/>
        <v>45539</v>
      </c>
      <c r="D311" s="11" t="str">
        <f t="shared" si="49"/>
        <v>{2024-09-04},</v>
      </c>
      <c r="E311" s="17">
        <f>COUNTIFS(Sheet1!$C:$C,Feuil1!E$1,Sheet1!$D:$D,Feuil1!$C311)</f>
        <v>0</v>
      </c>
      <c r="F311" s="6">
        <f t="shared" si="56"/>
        <v>13</v>
      </c>
      <c r="G311" s="18" t="str">
        <f t="shared" si="50"/>
        <v>(309,13)</v>
      </c>
      <c r="H311" s="17">
        <f>COUNTIFS(Sheet1!$C:$C,Feuil1!H$1,Sheet1!$D:$D,Feuil1!$C311)</f>
        <v>0</v>
      </c>
      <c r="I311" s="6">
        <f t="shared" si="51"/>
        <v>13</v>
      </c>
      <c r="J311" s="18" t="str">
        <f t="shared" si="46"/>
        <v>(309,13)</v>
      </c>
      <c r="K311" s="17">
        <f>COUNTIFS(Sheet1!$C:$C,Feuil1!K$1,Sheet1!$D:$D,Feuil1!$C311)</f>
        <v>0</v>
      </c>
      <c r="L311" s="6">
        <f t="shared" si="52"/>
        <v>7</v>
      </c>
      <c r="M311" s="18" t="str">
        <f t="shared" si="47"/>
        <v>(309,7)</v>
      </c>
      <c r="N311" s="17">
        <f>COUNTIFS(Sheet1!$C:$C,Feuil1!N$1,Sheet1!$D:$D,Feuil1!$C311)</f>
        <v>5</v>
      </c>
      <c r="O311" s="6">
        <f t="shared" si="53"/>
        <v>707</v>
      </c>
      <c r="P311" s="18" t="str">
        <f t="shared" si="48"/>
        <v>(309,707)</v>
      </c>
    </row>
    <row r="312" spans="1:16" hidden="1" x14ac:dyDescent="0.2">
      <c r="A312" s="4">
        <f t="shared" si="54"/>
        <v>310</v>
      </c>
      <c r="B312" s="4"/>
      <c r="C312" s="7">
        <f t="shared" si="55"/>
        <v>45540</v>
      </c>
      <c r="D312" s="11" t="str">
        <f t="shared" si="49"/>
        <v>{2024-09-05},</v>
      </c>
      <c r="E312" s="17">
        <f>COUNTIFS(Sheet1!$C:$C,Feuil1!E$1,Sheet1!$D:$D,Feuil1!$C312)</f>
        <v>0</v>
      </c>
      <c r="F312" s="6">
        <f t="shared" si="56"/>
        <v>13</v>
      </c>
      <c r="G312" s="18" t="str">
        <f t="shared" si="50"/>
        <v>(310,13)</v>
      </c>
      <c r="H312" s="17">
        <f>COUNTIFS(Sheet1!$C:$C,Feuil1!H$1,Sheet1!$D:$D,Feuil1!$C312)</f>
        <v>0</v>
      </c>
      <c r="I312" s="6">
        <f t="shared" si="51"/>
        <v>13</v>
      </c>
      <c r="J312" s="18" t="str">
        <f t="shared" si="46"/>
        <v>(310,13)</v>
      </c>
      <c r="K312" s="17">
        <f>COUNTIFS(Sheet1!$C:$C,Feuil1!K$1,Sheet1!$D:$D,Feuil1!$C312)</f>
        <v>0</v>
      </c>
      <c r="L312" s="6">
        <f t="shared" si="52"/>
        <v>7</v>
      </c>
      <c r="M312" s="18" t="str">
        <f t="shared" si="47"/>
        <v>(310,7)</v>
      </c>
      <c r="N312" s="17">
        <f>COUNTIFS(Sheet1!$C:$C,Feuil1!N$1,Sheet1!$D:$D,Feuil1!$C312)</f>
        <v>2</v>
      </c>
      <c r="O312" s="6">
        <f t="shared" si="53"/>
        <v>709</v>
      </c>
      <c r="P312" s="18" t="str">
        <f t="shared" si="48"/>
        <v>(310,709)</v>
      </c>
    </row>
    <row r="313" spans="1:16" hidden="1" x14ac:dyDescent="0.2">
      <c r="A313" s="4">
        <f t="shared" si="54"/>
        <v>311</v>
      </c>
      <c r="B313" s="4"/>
      <c r="C313" s="7">
        <f t="shared" si="55"/>
        <v>45541</v>
      </c>
      <c r="D313" s="11" t="str">
        <f t="shared" si="49"/>
        <v>{2024-09-06},</v>
      </c>
      <c r="E313" s="17">
        <f>COUNTIFS(Sheet1!$C:$C,Feuil1!E$1,Sheet1!$D:$D,Feuil1!$C313)</f>
        <v>0</v>
      </c>
      <c r="F313" s="6">
        <f t="shared" si="56"/>
        <v>13</v>
      </c>
      <c r="G313" s="18" t="str">
        <f t="shared" si="50"/>
        <v>(311,13)</v>
      </c>
      <c r="H313" s="17">
        <f>COUNTIFS(Sheet1!$C:$C,Feuil1!H$1,Sheet1!$D:$D,Feuil1!$C313)</f>
        <v>0</v>
      </c>
      <c r="I313" s="6">
        <f t="shared" si="51"/>
        <v>13</v>
      </c>
      <c r="J313" s="18" t="str">
        <f t="shared" si="46"/>
        <v>(311,13)</v>
      </c>
      <c r="K313" s="17">
        <f>COUNTIFS(Sheet1!$C:$C,Feuil1!K$1,Sheet1!$D:$D,Feuil1!$C313)</f>
        <v>0</v>
      </c>
      <c r="L313" s="6">
        <f t="shared" si="52"/>
        <v>7</v>
      </c>
      <c r="M313" s="18" t="str">
        <f t="shared" si="47"/>
        <v>(311,7)</v>
      </c>
      <c r="N313" s="17">
        <f>COUNTIFS(Sheet1!$C:$C,Feuil1!N$1,Sheet1!$D:$D,Feuil1!$C313)</f>
        <v>2</v>
      </c>
      <c r="O313" s="6">
        <f t="shared" si="53"/>
        <v>711</v>
      </c>
      <c r="P313" s="18" t="str">
        <f t="shared" si="48"/>
        <v>(311,711)</v>
      </c>
    </row>
    <row r="314" spans="1:16" hidden="1" x14ac:dyDescent="0.2">
      <c r="A314" s="4">
        <f t="shared" si="54"/>
        <v>312</v>
      </c>
      <c r="B314" s="4"/>
      <c r="C314" s="7">
        <f t="shared" si="55"/>
        <v>45542</v>
      </c>
      <c r="D314" s="11" t="str">
        <f t="shared" si="49"/>
        <v>{2024-09-07},</v>
      </c>
      <c r="E314" s="17">
        <f>COUNTIFS(Sheet1!$C:$C,Feuil1!E$1,Sheet1!$D:$D,Feuil1!$C314)</f>
        <v>0</v>
      </c>
      <c r="F314" s="6">
        <f t="shared" si="56"/>
        <v>13</v>
      </c>
      <c r="G314" s="18" t="str">
        <f t="shared" si="50"/>
        <v>(312,13)</v>
      </c>
      <c r="H314" s="17">
        <f>COUNTIFS(Sheet1!$C:$C,Feuil1!H$1,Sheet1!$D:$D,Feuil1!$C314)</f>
        <v>0</v>
      </c>
      <c r="I314" s="6">
        <f t="shared" si="51"/>
        <v>13</v>
      </c>
      <c r="J314" s="18" t="str">
        <f t="shared" si="46"/>
        <v>(312,13)</v>
      </c>
      <c r="K314" s="17">
        <f>COUNTIFS(Sheet1!$C:$C,Feuil1!K$1,Sheet1!$D:$D,Feuil1!$C314)</f>
        <v>0</v>
      </c>
      <c r="L314" s="6">
        <f t="shared" si="52"/>
        <v>7</v>
      </c>
      <c r="M314" s="18" t="str">
        <f t="shared" si="47"/>
        <v>(312,7)</v>
      </c>
      <c r="N314" s="17">
        <f>COUNTIFS(Sheet1!$C:$C,Feuil1!N$1,Sheet1!$D:$D,Feuil1!$C314)</f>
        <v>2</v>
      </c>
      <c r="O314" s="6">
        <f t="shared" si="53"/>
        <v>713</v>
      </c>
      <c r="P314" s="18" t="str">
        <f t="shared" si="48"/>
        <v>(312,713)</v>
      </c>
    </row>
    <row r="315" spans="1:16" hidden="1" x14ac:dyDescent="0.2">
      <c r="A315" s="4">
        <f t="shared" si="54"/>
        <v>313</v>
      </c>
      <c r="B315" s="4"/>
      <c r="C315" s="7">
        <f t="shared" si="55"/>
        <v>45543</v>
      </c>
      <c r="D315" s="11" t="str">
        <f t="shared" si="49"/>
        <v>{2024-09-08},</v>
      </c>
      <c r="E315" s="17">
        <f>COUNTIFS(Sheet1!$C:$C,Feuil1!E$1,Sheet1!$D:$D,Feuil1!$C315)</f>
        <v>0</v>
      </c>
      <c r="F315" s="6">
        <f t="shared" si="56"/>
        <v>13</v>
      </c>
      <c r="G315" s="18" t="str">
        <f t="shared" si="50"/>
        <v>(313,13)</v>
      </c>
      <c r="H315" s="17">
        <f>COUNTIFS(Sheet1!$C:$C,Feuil1!H$1,Sheet1!$D:$D,Feuil1!$C315)</f>
        <v>0</v>
      </c>
      <c r="I315" s="6">
        <f t="shared" si="51"/>
        <v>13</v>
      </c>
      <c r="J315" s="18" t="str">
        <f t="shared" si="46"/>
        <v>(313,13)</v>
      </c>
      <c r="K315" s="17">
        <f>COUNTIFS(Sheet1!$C:$C,Feuil1!K$1,Sheet1!$D:$D,Feuil1!$C315)</f>
        <v>0</v>
      </c>
      <c r="L315" s="6">
        <f t="shared" si="52"/>
        <v>7</v>
      </c>
      <c r="M315" s="18" t="str">
        <f t="shared" si="47"/>
        <v>(313,7)</v>
      </c>
      <c r="N315" s="17">
        <f>COUNTIFS(Sheet1!$C:$C,Feuil1!N$1,Sheet1!$D:$D,Feuil1!$C315)</f>
        <v>5</v>
      </c>
      <c r="O315" s="6">
        <f t="shared" si="53"/>
        <v>718</v>
      </c>
      <c r="P315" s="18" t="str">
        <f t="shared" si="48"/>
        <v>(313,718)</v>
      </c>
    </row>
    <row r="316" spans="1:16" hidden="1" x14ac:dyDescent="0.2">
      <c r="A316" s="4">
        <f t="shared" si="54"/>
        <v>314</v>
      </c>
      <c r="B316" s="4"/>
      <c r="C316" s="7">
        <f t="shared" si="55"/>
        <v>45544</v>
      </c>
      <c r="D316" s="11" t="str">
        <f t="shared" si="49"/>
        <v>{2024-09-09},</v>
      </c>
      <c r="E316" s="17">
        <f>COUNTIFS(Sheet1!$C:$C,Feuil1!E$1,Sheet1!$D:$D,Feuil1!$C316)</f>
        <v>0</v>
      </c>
      <c r="F316" s="6">
        <f t="shared" si="56"/>
        <v>13</v>
      </c>
      <c r="G316" s="18" t="str">
        <f t="shared" si="50"/>
        <v>(314,13)</v>
      </c>
      <c r="H316" s="17">
        <f>COUNTIFS(Sheet1!$C:$C,Feuil1!H$1,Sheet1!$D:$D,Feuil1!$C316)</f>
        <v>1</v>
      </c>
      <c r="I316" s="6">
        <f t="shared" si="51"/>
        <v>14</v>
      </c>
      <c r="J316" s="18" t="str">
        <f t="shared" si="46"/>
        <v>(314,14)</v>
      </c>
      <c r="K316" s="17">
        <f>COUNTIFS(Sheet1!$C:$C,Feuil1!K$1,Sheet1!$D:$D,Feuil1!$C316)</f>
        <v>0</v>
      </c>
      <c r="L316" s="6">
        <f t="shared" si="52"/>
        <v>7</v>
      </c>
      <c r="M316" s="18" t="str">
        <f t="shared" si="47"/>
        <v>(314,7)</v>
      </c>
      <c r="N316" s="17">
        <f>COUNTIFS(Sheet1!$C:$C,Feuil1!N$1,Sheet1!$D:$D,Feuil1!$C316)</f>
        <v>2</v>
      </c>
      <c r="O316" s="6">
        <f t="shared" si="53"/>
        <v>720</v>
      </c>
      <c r="P316" s="18" t="str">
        <f t="shared" si="48"/>
        <v>(314,720)</v>
      </c>
    </row>
    <row r="317" spans="1:16" hidden="1" x14ac:dyDescent="0.2">
      <c r="A317" s="4">
        <f t="shared" si="54"/>
        <v>315</v>
      </c>
      <c r="B317" s="4"/>
      <c r="C317" s="7">
        <f t="shared" si="55"/>
        <v>45545</v>
      </c>
      <c r="D317" s="11" t="str">
        <f t="shared" si="49"/>
        <v>{2024-09-10},</v>
      </c>
      <c r="E317" s="17">
        <f>COUNTIFS(Sheet1!$C:$C,Feuil1!E$1,Sheet1!$D:$D,Feuil1!$C317)</f>
        <v>0</v>
      </c>
      <c r="F317" s="6">
        <f t="shared" si="56"/>
        <v>13</v>
      </c>
      <c r="G317" s="18" t="str">
        <f t="shared" si="50"/>
        <v>(315,13)</v>
      </c>
      <c r="H317" s="17">
        <f>COUNTIFS(Sheet1!$C:$C,Feuil1!H$1,Sheet1!$D:$D,Feuil1!$C317)</f>
        <v>1</v>
      </c>
      <c r="I317" s="6">
        <f t="shared" si="51"/>
        <v>15</v>
      </c>
      <c r="J317" s="18" t="str">
        <f t="shared" si="46"/>
        <v>(315,15)</v>
      </c>
      <c r="K317" s="17">
        <f>COUNTIFS(Sheet1!$C:$C,Feuil1!K$1,Sheet1!$D:$D,Feuil1!$C317)</f>
        <v>0</v>
      </c>
      <c r="L317" s="6">
        <f t="shared" si="52"/>
        <v>7</v>
      </c>
      <c r="M317" s="18" t="str">
        <f t="shared" si="47"/>
        <v>(315,7)</v>
      </c>
      <c r="N317" s="17">
        <f>COUNTIFS(Sheet1!$C:$C,Feuil1!N$1,Sheet1!$D:$D,Feuil1!$C317)</f>
        <v>4</v>
      </c>
      <c r="O317" s="6">
        <f t="shared" si="53"/>
        <v>724</v>
      </c>
      <c r="P317" s="18" t="str">
        <f t="shared" si="48"/>
        <v>(315,724)</v>
      </c>
    </row>
    <row r="318" spans="1:16" hidden="1" x14ac:dyDescent="0.2">
      <c r="A318" s="4">
        <f t="shared" si="54"/>
        <v>316</v>
      </c>
      <c r="B318" s="4"/>
      <c r="C318" s="7">
        <f t="shared" si="55"/>
        <v>45546</v>
      </c>
      <c r="D318" s="11" t="str">
        <f t="shared" si="49"/>
        <v>{2024-09-11},</v>
      </c>
      <c r="E318" s="17">
        <f>COUNTIFS(Sheet1!$C:$C,Feuil1!E$1,Sheet1!$D:$D,Feuil1!$C318)</f>
        <v>0</v>
      </c>
      <c r="F318" s="6">
        <f t="shared" si="56"/>
        <v>13</v>
      </c>
      <c r="G318" s="18" t="str">
        <f t="shared" si="50"/>
        <v>(316,13)</v>
      </c>
      <c r="H318" s="17">
        <f>COUNTIFS(Sheet1!$C:$C,Feuil1!H$1,Sheet1!$D:$D,Feuil1!$C318)</f>
        <v>0</v>
      </c>
      <c r="I318" s="6">
        <f t="shared" si="51"/>
        <v>15</v>
      </c>
      <c r="J318" s="18" t="str">
        <f t="shared" si="46"/>
        <v>(316,15)</v>
      </c>
      <c r="K318" s="17">
        <f>COUNTIFS(Sheet1!$C:$C,Feuil1!K$1,Sheet1!$D:$D,Feuil1!$C318)</f>
        <v>0</v>
      </c>
      <c r="L318" s="6">
        <f t="shared" si="52"/>
        <v>7</v>
      </c>
      <c r="M318" s="18" t="str">
        <f t="shared" si="47"/>
        <v>(316,7)</v>
      </c>
      <c r="N318" s="17">
        <f>COUNTIFS(Sheet1!$C:$C,Feuil1!N$1,Sheet1!$D:$D,Feuil1!$C318)</f>
        <v>4</v>
      </c>
      <c r="O318" s="6">
        <f t="shared" si="53"/>
        <v>728</v>
      </c>
      <c r="P318" s="18" t="str">
        <f t="shared" si="48"/>
        <v>(316,728)</v>
      </c>
    </row>
    <row r="319" spans="1:16" hidden="1" x14ac:dyDescent="0.2">
      <c r="A319" s="4">
        <f t="shared" si="54"/>
        <v>317</v>
      </c>
      <c r="B319" s="4"/>
      <c r="C319" s="7">
        <f t="shared" si="55"/>
        <v>45547</v>
      </c>
      <c r="D319" s="11" t="str">
        <f t="shared" si="49"/>
        <v>{2024-09-12},</v>
      </c>
      <c r="E319" s="17">
        <f>COUNTIFS(Sheet1!$C:$C,Feuil1!E$1,Sheet1!$D:$D,Feuil1!$C319)</f>
        <v>0</v>
      </c>
      <c r="F319" s="6">
        <f t="shared" si="56"/>
        <v>13</v>
      </c>
      <c r="G319" s="18" t="str">
        <f t="shared" si="50"/>
        <v>(317,13)</v>
      </c>
      <c r="H319" s="17">
        <f>COUNTIFS(Sheet1!$C:$C,Feuil1!H$1,Sheet1!$D:$D,Feuil1!$C319)</f>
        <v>0</v>
      </c>
      <c r="I319" s="6">
        <f t="shared" si="51"/>
        <v>15</v>
      </c>
      <c r="J319" s="18" t="str">
        <f t="shared" si="46"/>
        <v>(317,15)</v>
      </c>
      <c r="K319" s="17">
        <f>COUNTIFS(Sheet1!$C:$C,Feuil1!K$1,Sheet1!$D:$D,Feuil1!$C319)</f>
        <v>0</v>
      </c>
      <c r="L319" s="6">
        <f t="shared" si="52"/>
        <v>7</v>
      </c>
      <c r="M319" s="18" t="str">
        <f t="shared" si="47"/>
        <v>(317,7)</v>
      </c>
      <c r="N319" s="17">
        <f>COUNTIFS(Sheet1!$C:$C,Feuil1!N$1,Sheet1!$D:$D,Feuil1!$C319)</f>
        <v>3</v>
      </c>
      <c r="O319" s="6">
        <f t="shared" si="53"/>
        <v>731</v>
      </c>
      <c r="P319" s="18" t="str">
        <f t="shared" si="48"/>
        <v>(317,731)</v>
      </c>
    </row>
    <row r="320" spans="1:16" hidden="1" x14ac:dyDescent="0.2">
      <c r="A320" s="4">
        <f t="shared" si="54"/>
        <v>318</v>
      </c>
      <c r="B320" s="4"/>
      <c r="C320" s="7">
        <f t="shared" si="55"/>
        <v>45548</v>
      </c>
      <c r="D320" s="11" t="str">
        <f t="shared" si="49"/>
        <v>{2024-09-13},</v>
      </c>
      <c r="E320" s="17">
        <f>COUNTIFS(Sheet1!$C:$C,Feuil1!E$1,Sheet1!$D:$D,Feuil1!$C320)</f>
        <v>0</v>
      </c>
      <c r="F320" s="6">
        <f t="shared" si="56"/>
        <v>13</v>
      </c>
      <c r="G320" s="18" t="str">
        <f t="shared" si="50"/>
        <v>(318,13)</v>
      </c>
      <c r="H320" s="17">
        <f>COUNTIFS(Sheet1!$C:$C,Feuil1!H$1,Sheet1!$D:$D,Feuil1!$C320)</f>
        <v>0</v>
      </c>
      <c r="I320" s="6">
        <f t="shared" si="51"/>
        <v>15</v>
      </c>
      <c r="J320" s="18" t="str">
        <f t="shared" si="46"/>
        <v>(318,15)</v>
      </c>
      <c r="K320" s="17">
        <f>COUNTIFS(Sheet1!$C:$C,Feuil1!K$1,Sheet1!$D:$D,Feuil1!$C320)</f>
        <v>0</v>
      </c>
      <c r="L320" s="6">
        <f t="shared" si="52"/>
        <v>7</v>
      </c>
      <c r="M320" s="18" t="str">
        <f t="shared" si="47"/>
        <v>(318,7)</v>
      </c>
      <c r="N320" s="17">
        <f>COUNTIFS(Sheet1!$C:$C,Feuil1!N$1,Sheet1!$D:$D,Feuil1!$C320)</f>
        <v>5</v>
      </c>
      <c r="O320" s="6">
        <f t="shared" si="53"/>
        <v>736</v>
      </c>
      <c r="P320" s="18" t="str">
        <f t="shared" si="48"/>
        <v>(318,736)</v>
      </c>
    </row>
    <row r="321" spans="1:16" hidden="1" x14ac:dyDescent="0.2">
      <c r="A321" s="4">
        <f t="shared" si="54"/>
        <v>319</v>
      </c>
      <c r="B321" s="4"/>
      <c r="C321" s="7">
        <f t="shared" si="55"/>
        <v>45549</v>
      </c>
      <c r="D321" s="11" t="str">
        <f t="shared" si="49"/>
        <v>{2024-09-14},</v>
      </c>
      <c r="E321" s="17">
        <f>COUNTIFS(Sheet1!$C:$C,Feuil1!E$1,Sheet1!$D:$D,Feuil1!$C321)</f>
        <v>0</v>
      </c>
      <c r="F321" s="6">
        <f t="shared" si="56"/>
        <v>13</v>
      </c>
      <c r="G321" s="18" t="str">
        <f t="shared" si="50"/>
        <v>(319,13)</v>
      </c>
      <c r="H321" s="17">
        <f>COUNTIFS(Sheet1!$C:$C,Feuil1!H$1,Sheet1!$D:$D,Feuil1!$C321)</f>
        <v>0</v>
      </c>
      <c r="I321" s="6">
        <f t="shared" si="51"/>
        <v>15</v>
      </c>
      <c r="J321" s="18" t="str">
        <f t="shared" si="46"/>
        <v>(319,15)</v>
      </c>
      <c r="K321" s="17">
        <f>COUNTIFS(Sheet1!$C:$C,Feuil1!K$1,Sheet1!$D:$D,Feuil1!$C321)</f>
        <v>0</v>
      </c>
      <c r="L321" s="6">
        <f t="shared" si="52"/>
        <v>7</v>
      </c>
      <c r="M321" s="18" t="str">
        <f t="shared" si="47"/>
        <v>(319,7)</v>
      </c>
      <c r="N321" s="17">
        <f>COUNTIFS(Sheet1!$C:$C,Feuil1!N$1,Sheet1!$D:$D,Feuil1!$C321)</f>
        <v>6</v>
      </c>
      <c r="O321" s="6">
        <f t="shared" si="53"/>
        <v>742</v>
      </c>
      <c r="P321" s="18" t="str">
        <f t="shared" si="48"/>
        <v>(319,742)</v>
      </c>
    </row>
    <row r="322" spans="1:16" hidden="1" x14ac:dyDescent="0.2">
      <c r="A322" s="4">
        <f t="shared" si="54"/>
        <v>320</v>
      </c>
      <c r="B322" s="4"/>
      <c r="C322" s="7">
        <f t="shared" si="55"/>
        <v>45550</v>
      </c>
      <c r="D322" s="11" t="str">
        <f t="shared" si="49"/>
        <v>{2024-09-15},</v>
      </c>
      <c r="E322" s="17">
        <f>COUNTIFS(Sheet1!$C:$C,Feuil1!E$1,Sheet1!$D:$D,Feuil1!$C322)</f>
        <v>0</v>
      </c>
      <c r="F322" s="6">
        <f t="shared" si="56"/>
        <v>13</v>
      </c>
      <c r="G322" s="18" t="str">
        <f t="shared" si="50"/>
        <v>(320,13)</v>
      </c>
      <c r="H322" s="17">
        <f>COUNTIFS(Sheet1!$C:$C,Feuil1!H$1,Sheet1!$D:$D,Feuil1!$C322)</f>
        <v>0</v>
      </c>
      <c r="I322" s="6">
        <f t="shared" si="51"/>
        <v>15</v>
      </c>
      <c r="J322" s="18" t="str">
        <f t="shared" si="46"/>
        <v>(320,15)</v>
      </c>
      <c r="K322" s="17">
        <f>COUNTIFS(Sheet1!$C:$C,Feuil1!K$1,Sheet1!$D:$D,Feuil1!$C322)</f>
        <v>0</v>
      </c>
      <c r="L322" s="6">
        <f t="shared" si="52"/>
        <v>7</v>
      </c>
      <c r="M322" s="18" t="str">
        <f t="shared" si="47"/>
        <v>(320,7)</v>
      </c>
      <c r="N322" s="17">
        <f>COUNTIFS(Sheet1!$C:$C,Feuil1!N$1,Sheet1!$D:$D,Feuil1!$C322)</f>
        <v>3</v>
      </c>
      <c r="O322" s="6">
        <f t="shared" si="53"/>
        <v>745</v>
      </c>
      <c r="P322" s="18" t="str">
        <f t="shared" si="48"/>
        <v>(320,745)</v>
      </c>
    </row>
    <row r="323" spans="1:16" hidden="1" x14ac:dyDescent="0.2">
      <c r="A323" s="4">
        <f t="shared" si="54"/>
        <v>321</v>
      </c>
      <c r="B323" s="4"/>
      <c r="C323" s="7">
        <f t="shared" si="55"/>
        <v>45551</v>
      </c>
      <c r="D323" s="11" t="str">
        <f t="shared" si="49"/>
        <v>{2024-09-16},</v>
      </c>
      <c r="E323" s="17">
        <f>COUNTIFS(Sheet1!$C:$C,Feuil1!E$1,Sheet1!$D:$D,Feuil1!$C323)</f>
        <v>0</v>
      </c>
      <c r="F323" s="6">
        <f t="shared" si="56"/>
        <v>13</v>
      </c>
      <c r="G323" s="18" t="str">
        <f t="shared" si="50"/>
        <v>(321,13)</v>
      </c>
      <c r="H323" s="17">
        <f>COUNTIFS(Sheet1!$C:$C,Feuil1!H$1,Sheet1!$D:$D,Feuil1!$C323)</f>
        <v>0</v>
      </c>
      <c r="I323" s="6">
        <f t="shared" si="51"/>
        <v>15</v>
      </c>
      <c r="J323" s="18" t="str">
        <f t="shared" ref="J323:J386" si="57">_xlfn.CONCAT("(",$A323,",",I323,")")</f>
        <v>(321,15)</v>
      </c>
      <c r="K323" s="17">
        <f>COUNTIFS(Sheet1!$C:$C,Feuil1!K$1,Sheet1!$D:$D,Feuil1!$C323)</f>
        <v>0</v>
      </c>
      <c r="L323" s="6">
        <f t="shared" si="52"/>
        <v>7</v>
      </c>
      <c r="M323" s="18" t="str">
        <f t="shared" ref="M323:M386" si="58">_xlfn.CONCAT("(",$A323,",",L323,")")</f>
        <v>(321,7)</v>
      </c>
      <c r="N323" s="17">
        <f>COUNTIFS(Sheet1!$C:$C,Feuil1!N$1,Sheet1!$D:$D,Feuil1!$C323)</f>
        <v>2</v>
      </c>
      <c r="O323" s="6">
        <f t="shared" si="53"/>
        <v>747</v>
      </c>
      <c r="P323" s="18" t="str">
        <f t="shared" ref="P323:P386" si="59">_xlfn.CONCAT("(",$A323,",",O323,")")</f>
        <v>(321,747)</v>
      </c>
    </row>
    <row r="324" spans="1:16" hidden="1" x14ac:dyDescent="0.2">
      <c r="A324" s="4">
        <f t="shared" si="54"/>
        <v>322</v>
      </c>
      <c r="B324" s="4"/>
      <c r="C324" s="7">
        <f t="shared" si="55"/>
        <v>45552</v>
      </c>
      <c r="D324" s="11" t="str">
        <f t="shared" ref="D324:D387" si="60">_xlfn.CONCAT("{",TEXT(C324,"aaaa-mm-dd"),"},")</f>
        <v>{2024-09-17},</v>
      </c>
      <c r="E324" s="17">
        <f>COUNTIFS(Sheet1!$C:$C,Feuil1!E$1,Sheet1!$D:$D,Feuil1!$C324)</f>
        <v>0</v>
      </c>
      <c r="F324" s="6">
        <f t="shared" si="56"/>
        <v>13</v>
      </c>
      <c r="G324" s="18" t="str">
        <f t="shared" ref="G324:G387" si="61">_xlfn.CONCAT("(",$A324,",",F324,")")</f>
        <v>(322,13)</v>
      </c>
      <c r="H324" s="17">
        <f>COUNTIFS(Sheet1!$C:$C,Feuil1!H$1,Sheet1!$D:$D,Feuil1!$C324)</f>
        <v>0</v>
      </c>
      <c r="I324" s="6">
        <f t="shared" ref="I324:I387" si="62">I323+H324</f>
        <v>15</v>
      </c>
      <c r="J324" s="18" t="str">
        <f t="shared" si="57"/>
        <v>(322,15)</v>
      </c>
      <c r="K324" s="17">
        <f>COUNTIFS(Sheet1!$C:$C,Feuil1!K$1,Sheet1!$D:$D,Feuil1!$C324)</f>
        <v>0</v>
      </c>
      <c r="L324" s="6">
        <f t="shared" ref="L324:L387" si="63">L323+K324</f>
        <v>7</v>
      </c>
      <c r="M324" s="18" t="str">
        <f t="shared" si="58"/>
        <v>(322,7)</v>
      </c>
      <c r="N324" s="17">
        <f>COUNTIFS(Sheet1!$C:$C,Feuil1!N$1,Sheet1!$D:$D,Feuil1!$C324)</f>
        <v>2</v>
      </c>
      <c r="O324" s="6">
        <f t="shared" ref="O324:O387" si="64">O323+N324</f>
        <v>749</v>
      </c>
      <c r="P324" s="18" t="str">
        <f t="shared" si="59"/>
        <v>(322,749)</v>
      </c>
    </row>
    <row r="325" spans="1:16" hidden="1" x14ac:dyDescent="0.2">
      <c r="A325" s="4">
        <f t="shared" ref="A325:A388" si="65">A324+1</f>
        <v>323</v>
      </c>
      <c r="B325" s="4"/>
      <c r="C325" s="7">
        <f t="shared" ref="C325:C388" si="66">C324+1</f>
        <v>45553</v>
      </c>
      <c r="D325" s="11" t="str">
        <f t="shared" si="60"/>
        <v>{2024-09-18},</v>
      </c>
      <c r="E325" s="17">
        <f>COUNTIFS(Sheet1!$C:$C,Feuil1!E$1,Sheet1!$D:$D,Feuil1!$C325)</f>
        <v>0</v>
      </c>
      <c r="F325" s="6">
        <f t="shared" ref="F325:F388" si="67">F324+E325</f>
        <v>13</v>
      </c>
      <c r="G325" s="18" t="str">
        <f t="shared" si="61"/>
        <v>(323,13)</v>
      </c>
      <c r="H325" s="17">
        <f>COUNTIFS(Sheet1!$C:$C,Feuil1!H$1,Sheet1!$D:$D,Feuil1!$C325)</f>
        <v>0</v>
      </c>
      <c r="I325" s="6">
        <f t="shared" si="62"/>
        <v>15</v>
      </c>
      <c r="J325" s="18" t="str">
        <f t="shared" si="57"/>
        <v>(323,15)</v>
      </c>
      <c r="K325" s="17">
        <f>COUNTIFS(Sheet1!$C:$C,Feuil1!K$1,Sheet1!$D:$D,Feuil1!$C325)</f>
        <v>0</v>
      </c>
      <c r="L325" s="6">
        <f t="shared" si="63"/>
        <v>7</v>
      </c>
      <c r="M325" s="18" t="str">
        <f t="shared" si="58"/>
        <v>(323,7)</v>
      </c>
      <c r="N325" s="17">
        <f>COUNTIFS(Sheet1!$C:$C,Feuil1!N$1,Sheet1!$D:$D,Feuil1!$C325)</f>
        <v>2</v>
      </c>
      <c r="O325" s="6">
        <f t="shared" si="64"/>
        <v>751</v>
      </c>
      <c r="P325" s="18" t="str">
        <f t="shared" si="59"/>
        <v>(323,751)</v>
      </c>
    </row>
    <row r="326" spans="1:16" hidden="1" x14ac:dyDescent="0.2">
      <c r="A326" s="4">
        <f t="shared" si="65"/>
        <v>324</v>
      </c>
      <c r="B326" s="4"/>
      <c r="C326" s="7">
        <f t="shared" si="66"/>
        <v>45554</v>
      </c>
      <c r="D326" s="11" t="str">
        <f t="shared" si="60"/>
        <v>{2024-09-19},</v>
      </c>
      <c r="E326" s="17">
        <f>COUNTIFS(Sheet1!$C:$C,Feuil1!E$1,Sheet1!$D:$D,Feuil1!$C326)</f>
        <v>0</v>
      </c>
      <c r="F326" s="6">
        <f t="shared" si="67"/>
        <v>13</v>
      </c>
      <c r="G326" s="18" t="str">
        <f t="shared" si="61"/>
        <v>(324,13)</v>
      </c>
      <c r="H326" s="17">
        <f>COUNTIFS(Sheet1!$C:$C,Feuil1!H$1,Sheet1!$D:$D,Feuil1!$C326)</f>
        <v>0</v>
      </c>
      <c r="I326" s="6">
        <f t="shared" si="62"/>
        <v>15</v>
      </c>
      <c r="J326" s="18" t="str">
        <f t="shared" si="57"/>
        <v>(324,15)</v>
      </c>
      <c r="K326" s="17">
        <f>COUNTIFS(Sheet1!$C:$C,Feuil1!K$1,Sheet1!$D:$D,Feuil1!$C326)</f>
        <v>0</v>
      </c>
      <c r="L326" s="6">
        <f t="shared" si="63"/>
        <v>7</v>
      </c>
      <c r="M326" s="18" t="str">
        <f t="shared" si="58"/>
        <v>(324,7)</v>
      </c>
      <c r="N326" s="17">
        <f>COUNTIFS(Sheet1!$C:$C,Feuil1!N$1,Sheet1!$D:$D,Feuil1!$C326)</f>
        <v>4</v>
      </c>
      <c r="O326" s="6">
        <f t="shared" si="64"/>
        <v>755</v>
      </c>
      <c r="P326" s="18" t="str">
        <f t="shared" si="59"/>
        <v>(324,755)</v>
      </c>
    </row>
    <row r="327" spans="1:16" hidden="1" x14ac:dyDescent="0.2">
      <c r="A327" s="4">
        <f t="shared" si="65"/>
        <v>325</v>
      </c>
      <c r="B327" s="4"/>
      <c r="C327" s="7">
        <f t="shared" si="66"/>
        <v>45555</v>
      </c>
      <c r="D327" s="11" t="str">
        <f t="shared" si="60"/>
        <v>{2024-09-20},</v>
      </c>
      <c r="E327" s="17">
        <f>COUNTIFS(Sheet1!$C:$C,Feuil1!E$1,Sheet1!$D:$D,Feuil1!$C327)</f>
        <v>0</v>
      </c>
      <c r="F327" s="6">
        <f t="shared" si="67"/>
        <v>13</v>
      </c>
      <c r="G327" s="18" t="str">
        <f t="shared" si="61"/>
        <v>(325,13)</v>
      </c>
      <c r="H327" s="17">
        <f>COUNTIFS(Sheet1!$C:$C,Feuil1!H$1,Sheet1!$D:$D,Feuil1!$C327)</f>
        <v>0</v>
      </c>
      <c r="I327" s="6">
        <f t="shared" si="62"/>
        <v>15</v>
      </c>
      <c r="J327" s="18" t="str">
        <f t="shared" si="57"/>
        <v>(325,15)</v>
      </c>
      <c r="K327" s="17">
        <f>COUNTIFS(Sheet1!$C:$C,Feuil1!K$1,Sheet1!$D:$D,Feuil1!$C327)</f>
        <v>0</v>
      </c>
      <c r="L327" s="6">
        <f t="shared" si="63"/>
        <v>7</v>
      </c>
      <c r="M327" s="18" t="str">
        <f t="shared" si="58"/>
        <v>(325,7)</v>
      </c>
      <c r="N327" s="17">
        <f>COUNTIFS(Sheet1!$C:$C,Feuil1!N$1,Sheet1!$D:$D,Feuil1!$C327)</f>
        <v>3</v>
      </c>
      <c r="O327" s="6">
        <f t="shared" si="64"/>
        <v>758</v>
      </c>
      <c r="P327" s="18" t="str">
        <f t="shared" si="59"/>
        <v>(325,758)</v>
      </c>
    </row>
    <row r="328" spans="1:16" hidden="1" x14ac:dyDescent="0.2">
      <c r="A328" s="4">
        <f t="shared" si="65"/>
        <v>326</v>
      </c>
      <c r="B328" s="4"/>
      <c r="C328" s="7">
        <f t="shared" si="66"/>
        <v>45556</v>
      </c>
      <c r="D328" s="11" t="str">
        <f t="shared" si="60"/>
        <v>{2024-09-21},</v>
      </c>
      <c r="E328" s="17">
        <f>COUNTIFS(Sheet1!$C:$C,Feuil1!E$1,Sheet1!$D:$D,Feuil1!$C328)</f>
        <v>0</v>
      </c>
      <c r="F328" s="6">
        <f t="shared" si="67"/>
        <v>13</v>
      </c>
      <c r="G328" s="18" t="str">
        <f t="shared" si="61"/>
        <v>(326,13)</v>
      </c>
      <c r="H328" s="17">
        <f>COUNTIFS(Sheet1!$C:$C,Feuil1!H$1,Sheet1!$D:$D,Feuil1!$C328)</f>
        <v>1</v>
      </c>
      <c r="I328" s="6">
        <f t="shared" si="62"/>
        <v>16</v>
      </c>
      <c r="J328" s="18" t="str">
        <f t="shared" si="57"/>
        <v>(326,16)</v>
      </c>
      <c r="K328" s="17">
        <f>COUNTIFS(Sheet1!$C:$C,Feuil1!K$1,Sheet1!$D:$D,Feuil1!$C328)</f>
        <v>0</v>
      </c>
      <c r="L328" s="6">
        <f t="shared" si="63"/>
        <v>7</v>
      </c>
      <c r="M328" s="18" t="str">
        <f t="shared" si="58"/>
        <v>(326,7)</v>
      </c>
      <c r="N328" s="17">
        <f>COUNTIFS(Sheet1!$C:$C,Feuil1!N$1,Sheet1!$D:$D,Feuil1!$C328)</f>
        <v>3</v>
      </c>
      <c r="O328" s="6">
        <f t="shared" si="64"/>
        <v>761</v>
      </c>
      <c r="P328" s="18" t="str">
        <f t="shared" si="59"/>
        <v>(326,761)</v>
      </c>
    </row>
    <row r="329" spans="1:16" hidden="1" x14ac:dyDescent="0.2">
      <c r="A329" s="4">
        <f t="shared" si="65"/>
        <v>327</v>
      </c>
      <c r="B329" s="4"/>
      <c r="C329" s="7">
        <f t="shared" si="66"/>
        <v>45557</v>
      </c>
      <c r="D329" s="11" t="str">
        <f t="shared" si="60"/>
        <v>{2024-09-22},</v>
      </c>
      <c r="E329" s="17">
        <f>COUNTIFS(Sheet1!$C:$C,Feuil1!E$1,Sheet1!$D:$D,Feuil1!$C329)</f>
        <v>0</v>
      </c>
      <c r="F329" s="6">
        <f t="shared" si="67"/>
        <v>13</v>
      </c>
      <c r="G329" s="18" t="str">
        <f t="shared" si="61"/>
        <v>(327,13)</v>
      </c>
      <c r="H329" s="17">
        <f>COUNTIFS(Sheet1!$C:$C,Feuil1!H$1,Sheet1!$D:$D,Feuil1!$C329)</f>
        <v>0</v>
      </c>
      <c r="I329" s="6">
        <f t="shared" si="62"/>
        <v>16</v>
      </c>
      <c r="J329" s="18" t="str">
        <f t="shared" si="57"/>
        <v>(327,16)</v>
      </c>
      <c r="K329" s="17">
        <f>COUNTIFS(Sheet1!$C:$C,Feuil1!K$1,Sheet1!$D:$D,Feuil1!$C329)</f>
        <v>0</v>
      </c>
      <c r="L329" s="6">
        <f t="shared" si="63"/>
        <v>7</v>
      </c>
      <c r="M329" s="18" t="str">
        <f t="shared" si="58"/>
        <v>(327,7)</v>
      </c>
      <c r="N329" s="17">
        <f>COUNTIFS(Sheet1!$C:$C,Feuil1!N$1,Sheet1!$D:$D,Feuil1!$C329)</f>
        <v>1</v>
      </c>
      <c r="O329" s="6">
        <f t="shared" si="64"/>
        <v>762</v>
      </c>
      <c r="P329" s="18" t="str">
        <f t="shared" si="59"/>
        <v>(327,762)</v>
      </c>
    </row>
    <row r="330" spans="1:16" hidden="1" x14ac:dyDescent="0.2">
      <c r="A330" s="4">
        <f t="shared" si="65"/>
        <v>328</v>
      </c>
      <c r="B330" s="4"/>
      <c r="C330" s="7">
        <f t="shared" si="66"/>
        <v>45558</v>
      </c>
      <c r="D330" s="11" t="str">
        <f t="shared" si="60"/>
        <v>{2024-09-23},</v>
      </c>
      <c r="E330" s="17">
        <f>COUNTIFS(Sheet1!$C:$C,Feuil1!E$1,Sheet1!$D:$D,Feuil1!$C330)</f>
        <v>0</v>
      </c>
      <c r="F330" s="6">
        <f t="shared" si="67"/>
        <v>13</v>
      </c>
      <c r="G330" s="18" t="str">
        <f t="shared" si="61"/>
        <v>(328,13)</v>
      </c>
      <c r="H330" s="17">
        <f>COUNTIFS(Sheet1!$C:$C,Feuil1!H$1,Sheet1!$D:$D,Feuil1!$C330)</f>
        <v>0</v>
      </c>
      <c r="I330" s="6">
        <f t="shared" si="62"/>
        <v>16</v>
      </c>
      <c r="J330" s="18" t="str">
        <f t="shared" si="57"/>
        <v>(328,16)</v>
      </c>
      <c r="K330" s="17">
        <f>COUNTIFS(Sheet1!$C:$C,Feuil1!K$1,Sheet1!$D:$D,Feuil1!$C330)</f>
        <v>0</v>
      </c>
      <c r="L330" s="6">
        <f t="shared" si="63"/>
        <v>7</v>
      </c>
      <c r="M330" s="18" t="str">
        <f t="shared" si="58"/>
        <v>(328,7)</v>
      </c>
      <c r="N330" s="17">
        <f>COUNTIFS(Sheet1!$C:$C,Feuil1!N$1,Sheet1!$D:$D,Feuil1!$C330)</f>
        <v>2</v>
      </c>
      <c r="O330" s="6">
        <f t="shared" si="64"/>
        <v>764</v>
      </c>
      <c r="P330" s="18" t="str">
        <f t="shared" si="59"/>
        <v>(328,764)</v>
      </c>
    </row>
    <row r="331" spans="1:16" hidden="1" x14ac:dyDescent="0.2">
      <c r="A331" s="4">
        <f t="shared" si="65"/>
        <v>329</v>
      </c>
      <c r="B331" s="4"/>
      <c r="C331" s="7">
        <f t="shared" si="66"/>
        <v>45559</v>
      </c>
      <c r="D331" s="11" t="str">
        <f t="shared" si="60"/>
        <v>{2024-09-24},</v>
      </c>
      <c r="E331" s="17">
        <f>COUNTIFS(Sheet1!$C:$C,Feuil1!E$1,Sheet1!$D:$D,Feuil1!$C331)</f>
        <v>0</v>
      </c>
      <c r="F331" s="6">
        <f t="shared" si="67"/>
        <v>13</v>
      </c>
      <c r="G331" s="18" t="str">
        <f t="shared" si="61"/>
        <v>(329,13)</v>
      </c>
      <c r="H331" s="17">
        <f>COUNTIFS(Sheet1!$C:$C,Feuil1!H$1,Sheet1!$D:$D,Feuil1!$C331)</f>
        <v>0</v>
      </c>
      <c r="I331" s="6">
        <f t="shared" si="62"/>
        <v>16</v>
      </c>
      <c r="J331" s="18" t="str">
        <f t="shared" si="57"/>
        <v>(329,16)</v>
      </c>
      <c r="K331" s="17">
        <f>COUNTIFS(Sheet1!$C:$C,Feuil1!K$1,Sheet1!$D:$D,Feuil1!$C331)</f>
        <v>0</v>
      </c>
      <c r="L331" s="6">
        <f t="shared" si="63"/>
        <v>7</v>
      </c>
      <c r="M331" s="18" t="str">
        <f t="shared" si="58"/>
        <v>(329,7)</v>
      </c>
      <c r="N331" s="17">
        <f>COUNTIFS(Sheet1!$C:$C,Feuil1!N$1,Sheet1!$D:$D,Feuil1!$C331)</f>
        <v>2</v>
      </c>
      <c r="O331" s="6">
        <f t="shared" si="64"/>
        <v>766</v>
      </c>
      <c r="P331" s="18" t="str">
        <f t="shared" si="59"/>
        <v>(329,766)</v>
      </c>
    </row>
    <row r="332" spans="1:16" hidden="1" x14ac:dyDescent="0.2">
      <c r="A332" s="4">
        <f t="shared" si="65"/>
        <v>330</v>
      </c>
      <c r="B332" s="4"/>
      <c r="C332" s="7">
        <f t="shared" si="66"/>
        <v>45560</v>
      </c>
      <c r="D332" s="11" t="str">
        <f t="shared" si="60"/>
        <v>{2024-09-25},</v>
      </c>
      <c r="E332" s="17">
        <f>COUNTIFS(Sheet1!$C:$C,Feuil1!E$1,Sheet1!$D:$D,Feuil1!$C332)</f>
        <v>0</v>
      </c>
      <c r="F332" s="6">
        <f t="shared" si="67"/>
        <v>13</v>
      </c>
      <c r="G332" s="18" t="str">
        <f t="shared" si="61"/>
        <v>(330,13)</v>
      </c>
      <c r="H332" s="17">
        <f>COUNTIFS(Sheet1!$C:$C,Feuil1!H$1,Sheet1!$D:$D,Feuil1!$C332)</f>
        <v>0</v>
      </c>
      <c r="I332" s="6">
        <f t="shared" si="62"/>
        <v>16</v>
      </c>
      <c r="J332" s="18" t="str">
        <f t="shared" si="57"/>
        <v>(330,16)</v>
      </c>
      <c r="K332" s="17">
        <f>COUNTIFS(Sheet1!$C:$C,Feuil1!K$1,Sheet1!$D:$D,Feuil1!$C332)</f>
        <v>0</v>
      </c>
      <c r="L332" s="6">
        <f t="shared" si="63"/>
        <v>7</v>
      </c>
      <c r="M332" s="18" t="str">
        <f t="shared" si="58"/>
        <v>(330,7)</v>
      </c>
      <c r="N332" s="17">
        <f>COUNTIFS(Sheet1!$C:$C,Feuil1!N$1,Sheet1!$D:$D,Feuil1!$C332)</f>
        <v>0</v>
      </c>
      <c r="O332" s="6">
        <f t="shared" si="64"/>
        <v>766</v>
      </c>
      <c r="P332" s="18" t="str">
        <f t="shared" si="59"/>
        <v>(330,766)</v>
      </c>
    </row>
    <row r="333" spans="1:16" hidden="1" x14ac:dyDescent="0.2">
      <c r="A333" s="4">
        <f t="shared" si="65"/>
        <v>331</v>
      </c>
      <c r="B333" s="4"/>
      <c r="C333" s="7">
        <f t="shared" si="66"/>
        <v>45561</v>
      </c>
      <c r="D333" s="11" t="str">
        <f t="shared" si="60"/>
        <v>{2024-09-26},</v>
      </c>
      <c r="E333" s="17">
        <f>COUNTIFS(Sheet1!$C:$C,Feuil1!E$1,Sheet1!$D:$D,Feuil1!$C333)</f>
        <v>0</v>
      </c>
      <c r="F333" s="6">
        <f t="shared" si="67"/>
        <v>13</v>
      </c>
      <c r="G333" s="18" t="str">
        <f t="shared" si="61"/>
        <v>(331,13)</v>
      </c>
      <c r="H333" s="17">
        <f>COUNTIFS(Sheet1!$C:$C,Feuil1!H$1,Sheet1!$D:$D,Feuil1!$C333)</f>
        <v>0</v>
      </c>
      <c r="I333" s="6">
        <f t="shared" si="62"/>
        <v>16</v>
      </c>
      <c r="J333" s="18" t="str">
        <f t="shared" si="57"/>
        <v>(331,16)</v>
      </c>
      <c r="K333" s="17">
        <f>COUNTIFS(Sheet1!$C:$C,Feuil1!K$1,Sheet1!$D:$D,Feuil1!$C333)</f>
        <v>0</v>
      </c>
      <c r="L333" s="6">
        <f t="shared" si="63"/>
        <v>7</v>
      </c>
      <c r="M333" s="18" t="str">
        <f t="shared" si="58"/>
        <v>(331,7)</v>
      </c>
      <c r="N333" s="17">
        <f>COUNTIFS(Sheet1!$C:$C,Feuil1!N$1,Sheet1!$D:$D,Feuil1!$C333)</f>
        <v>1</v>
      </c>
      <c r="O333" s="6">
        <f t="shared" si="64"/>
        <v>767</v>
      </c>
      <c r="P333" s="18" t="str">
        <f t="shared" si="59"/>
        <v>(331,767)</v>
      </c>
    </row>
    <row r="334" spans="1:16" hidden="1" x14ac:dyDescent="0.2">
      <c r="A334" s="4">
        <f t="shared" si="65"/>
        <v>332</v>
      </c>
      <c r="B334" s="4"/>
      <c r="C334" s="7">
        <f t="shared" si="66"/>
        <v>45562</v>
      </c>
      <c r="D334" s="11" t="str">
        <f t="shared" si="60"/>
        <v>{2024-09-27},</v>
      </c>
      <c r="E334" s="17">
        <f>COUNTIFS(Sheet1!$C:$C,Feuil1!E$1,Sheet1!$D:$D,Feuil1!$C334)</f>
        <v>0</v>
      </c>
      <c r="F334" s="6">
        <f t="shared" si="67"/>
        <v>13</v>
      </c>
      <c r="G334" s="18" t="str">
        <f t="shared" si="61"/>
        <v>(332,13)</v>
      </c>
      <c r="H334" s="17">
        <f>COUNTIFS(Sheet1!$C:$C,Feuil1!H$1,Sheet1!$D:$D,Feuil1!$C334)</f>
        <v>0</v>
      </c>
      <c r="I334" s="6">
        <f t="shared" si="62"/>
        <v>16</v>
      </c>
      <c r="J334" s="18" t="str">
        <f t="shared" si="57"/>
        <v>(332,16)</v>
      </c>
      <c r="K334" s="17">
        <f>COUNTIFS(Sheet1!$C:$C,Feuil1!K$1,Sheet1!$D:$D,Feuil1!$C334)</f>
        <v>0</v>
      </c>
      <c r="L334" s="6">
        <f t="shared" si="63"/>
        <v>7</v>
      </c>
      <c r="M334" s="18" t="str">
        <f t="shared" si="58"/>
        <v>(332,7)</v>
      </c>
      <c r="N334" s="17">
        <f>COUNTIFS(Sheet1!$C:$C,Feuil1!N$1,Sheet1!$D:$D,Feuil1!$C334)</f>
        <v>0</v>
      </c>
      <c r="O334" s="6">
        <f t="shared" si="64"/>
        <v>767</v>
      </c>
      <c r="P334" s="18" t="str">
        <f t="shared" si="59"/>
        <v>(332,767)</v>
      </c>
    </row>
    <row r="335" spans="1:16" hidden="1" x14ac:dyDescent="0.2">
      <c r="A335" s="4">
        <f t="shared" si="65"/>
        <v>333</v>
      </c>
      <c r="B335" s="4"/>
      <c r="C335" s="7">
        <f t="shared" si="66"/>
        <v>45563</v>
      </c>
      <c r="D335" s="11" t="str">
        <f t="shared" si="60"/>
        <v>{2024-09-28},</v>
      </c>
      <c r="E335" s="17">
        <f>COUNTIFS(Sheet1!$C:$C,Feuil1!E$1,Sheet1!$D:$D,Feuil1!$C335)</f>
        <v>0</v>
      </c>
      <c r="F335" s="6">
        <f t="shared" si="67"/>
        <v>13</v>
      </c>
      <c r="G335" s="18" t="str">
        <f t="shared" si="61"/>
        <v>(333,13)</v>
      </c>
      <c r="H335" s="17">
        <f>COUNTIFS(Sheet1!$C:$C,Feuil1!H$1,Sheet1!$D:$D,Feuil1!$C335)</f>
        <v>0</v>
      </c>
      <c r="I335" s="6">
        <f t="shared" si="62"/>
        <v>16</v>
      </c>
      <c r="J335" s="18" t="str">
        <f t="shared" si="57"/>
        <v>(333,16)</v>
      </c>
      <c r="K335" s="17">
        <f>COUNTIFS(Sheet1!$C:$C,Feuil1!K$1,Sheet1!$D:$D,Feuil1!$C335)</f>
        <v>0</v>
      </c>
      <c r="L335" s="6">
        <f t="shared" si="63"/>
        <v>7</v>
      </c>
      <c r="M335" s="18" t="str">
        <f t="shared" si="58"/>
        <v>(333,7)</v>
      </c>
      <c r="N335" s="17">
        <f>COUNTIFS(Sheet1!$C:$C,Feuil1!N$1,Sheet1!$D:$D,Feuil1!$C335)</f>
        <v>0</v>
      </c>
      <c r="O335" s="6">
        <f t="shared" si="64"/>
        <v>767</v>
      </c>
      <c r="P335" s="18" t="str">
        <f t="shared" si="59"/>
        <v>(333,767)</v>
      </c>
    </row>
    <row r="336" spans="1:16" hidden="1" x14ac:dyDescent="0.2">
      <c r="A336" s="4">
        <f t="shared" si="65"/>
        <v>334</v>
      </c>
      <c r="B336" s="4"/>
      <c r="C336" s="7">
        <f t="shared" si="66"/>
        <v>45564</v>
      </c>
      <c r="D336" s="11" t="str">
        <f t="shared" si="60"/>
        <v>{2024-09-29},</v>
      </c>
      <c r="E336" s="17">
        <f>COUNTIFS(Sheet1!$C:$C,Feuil1!E$1,Sheet1!$D:$D,Feuil1!$C336)</f>
        <v>0</v>
      </c>
      <c r="F336" s="6">
        <f t="shared" si="67"/>
        <v>13</v>
      </c>
      <c r="G336" s="18" t="str">
        <f t="shared" si="61"/>
        <v>(334,13)</v>
      </c>
      <c r="H336" s="17">
        <f>COUNTIFS(Sheet1!$C:$C,Feuil1!H$1,Sheet1!$D:$D,Feuil1!$C336)</f>
        <v>1</v>
      </c>
      <c r="I336" s="6">
        <f t="shared" si="62"/>
        <v>17</v>
      </c>
      <c r="J336" s="18" t="str">
        <f t="shared" si="57"/>
        <v>(334,17)</v>
      </c>
      <c r="K336" s="17">
        <f>COUNTIFS(Sheet1!$C:$C,Feuil1!K$1,Sheet1!$D:$D,Feuil1!$C336)</f>
        <v>0</v>
      </c>
      <c r="L336" s="6">
        <f t="shared" si="63"/>
        <v>7</v>
      </c>
      <c r="M336" s="18" t="str">
        <f t="shared" si="58"/>
        <v>(334,7)</v>
      </c>
      <c r="N336" s="17">
        <f>COUNTIFS(Sheet1!$C:$C,Feuil1!N$1,Sheet1!$D:$D,Feuil1!$C336)</f>
        <v>2</v>
      </c>
      <c r="O336" s="6">
        <f t="shared" si="64"/>
        <v>769</v>
      </c>
      <c r="P336" s="18" t="str">
        <f t="shared" si="59"/>
        <v>(334,769)</v>
      </c>
    </row>
    <row r="337" spans="1:16" hidden="1" x14ac:dyDescent="0.2">
      <c r="A337" s="4">
        <f t="shared" si="65"/>
        <v>335</v>
      </c>
      <c r="B337" s="4"/>
      <c r="C337" s="7">
        <f t="shared" si="66"/>
        <v>45565</v>
      </c>
      <c r="D337" s="11" t="str">
        <f t="shared" si="60"/>
        <v>{2024-09-30},</v>
      </c>
      <c r="E337" s="17">
        <f>COUNTIFS(Sheet1!$C:$C,Feuil1!E$1,Sheet1!$D:$D,Feuil1!$C337)</f>
        <v>0</v>
      </c>
      <c r="F337" s="6">
        <f t="shared" si="67"/>
        <v>13</v>
      </c>
      <c r="G337" s="18" t="str">
        <f t="shared" si="61"/>
        <v>(335,13)</v>
      </c>
      <c r="H337" s="17">
        <f>COUNTIFS(Sheet1!$C:$C,Feuil1!H$1,Sheet1!$D:$D,Feuil1!$C337)</f>
        <v>0</v>
      </c>
      <c r="I337" s="6">
        <f t="shared" si="62"/>
        <v>17</v>
      </c>
      <c r="J337" s="18" t="str">
        <f t="shared" si="57"/>
        <v>(335,17)</v>
      </c>
      <c r="K337" s="17">
        <f>COUNTIFS(Sheet1!$C:$C,Feuil1!K$1,Sheet1!$D:$D,Feuil1!$C337)</f>
        <v>0</v>
      </c>
      <c r="L337" s="6">
        <f t="shared" si="63"/>
        <v>7</v>
      </c>
      <c r="M337" s="18" t="str">
        <f t="shared" si="58"/>
        <v>(335,7)</v>
      </c>
      <c r="N337" s="17">
        <f>COUNTIFS(Sheet1!$C:$C,Feuil1!N$1,Sheet1!$D:$D,Feuil1!$C337)</f>
        <v>1</v>
      </c>
      <c r="O337" s="6">
        <f t="shared" si="64"/>
        <v>770</v>
      </c>
      <c r="P337" s="18" t="str">
        <f t="shared" si="59"/>
        <v>(335,770)</v>
      </c>
    </row>
    <row r="338" spans="1:16" hidden="1" x14ac:dyDescent="0.2">
      <c r="A338" s="4">
        <f t="shared" si="65"/>
        <v>336</v>
      </c>
      <c r="B338" s="4"/>
      <c r="C338" s="5">
        <f t="shared" si="66"/>
        <v>45566</v>
      </c>
      <c r="D338" s="11" t="str">
        <f t="shared" si="60"/>
        <v>{2024-10-01},</v>
      </c>
      <c r="E338" s="17">
        <f>COUNTIFS(Sheet1!$C:$C,Feuil1!E$1,Sheet1!$D:$D,Feuil1!$C338)</f>
        <v>0</v>
      </c>
      <c r="F338" s="6">
        <f t="shared" si="67"/>
        <v>13</v>
      </c>
      <c r="G338" s="18" t="str">
        <f t="shared" si="61"/>
        <v>(336,13)</v>
      </c>
      <c r="H338" s="17">
        <f>COUNTIFS(Sheet1!$C:$C,Feuil1!H$1,Sheet1!$D:$D,Feuil1!$C338)</f>
        <v>0</v>
      </c>
      <c r="I338" s="6">
        <f t="shared" si="62"/>
        <v>17</v>
      </c>
      <c r="J338" s="18" t="str">
        <f t="shared" si="57"/>
        <v>(336,17)</v>
      </c>
      <c r="K338" s="17">
        <f>COUNTIFS(Sheet1!$C:$C,Feuil1!K$1,Sheet1!$D:$D,Feuil1!$C338)</f>
        <v>0</v>
      </c>
      <c r="L338" s="6">
        <f t="shared" si="63"/>
        <v>7</v>
      </c>
      <c r="M338" s="18" t="str">
        <f t="shared" si="58"/>
        <v>(336,7)</v>
      </c>
      <c r="N338" s="17">
        <f>COUNTIFS(Sheet1!$C:$C,Feuil1!N$1,Sheet1!$D:$D,Feuil1!$C338)</f>
        <v>2</v>
      </c>
      <c r="O338" s="6">
        <f t="shared" si="64"/>
        <v>772</v>
      </c>
      <c r="P338" s="18" t="str">
        <f t="shared" si="59"/>
        <v>(336,772)</v>
      </c>
    </row>
    <row r="339" spans="1:16" hidden="1" x14ac:dyDescent="0.2">
      <c r="A339" s="4">
        <f t="shared" si="65"/>
        <v>337</v>
      </c>
      <c r="B339" s="4"/>
      <c r="C339" s="7">
        <f t="shared" si="66"/>
        <v>45567</v>
      </c>
      <c r="D339" s="11" t="str">
        <f t="shared" si="60"/>
        <v>{2024-10-02},</v>
      </c>
      <c r="E339" s="17">
        <f>COUNTIFS(Sheet1!$C:$C,Feuil1!E$1,Sheet1!$D:$D,Feuil1!$C339)</f>
        <v>0</v>
      </c>
      <c r="F339" s="6">
        <f t="shared" si="67"/>
        <v>13</v>
      </c>
      <c r="G339" s="18" t="str">
        <f t="shared" si="61"/>
        <v>(337,13)</v>
      </c>
      <c r="H339" s="17">
        <f>COUNTIFS(Sheet1!$C:$C,Feuil1!H$1,Sheet1!$D:$D,Feuil1!$C339)</f>
        <v>0</v>
      </c>
      <c r="I339" s="6">
        <f t="shared" si="62"/>
        <v>17</v>
      </c>
      <c r="J339" s="18" t="str">
        <f t="shared" si="57"/>
        <v>(337,17)</v>
      </c>
      <c r="K339" s="17">
        <f>COUNTIFS(Sheet1!$C:$C,Feuil1!K$1,Sheet1!$D:$D,Feuil1!$C339)</f>
        <v>0</v>
      </c>
      <c r="L339" s="6">
        <f t="shared" si="63"/>
        <v>7</v>
      </c>
      <c r="M339" s="18" t="str">
        <f t="shared" si="58"/>
        <v>(337,7)</v>
      </c>
      <c r="N339" s="17">
        <f>COUNTIFS(Sheet1!$C:$C,Feuil1!N$1,Sheet1!$D:$D,Feuil1!$C339)</f>
        <v>0</v>
      </c>
      <c r="O339" s="6">
        <f t="shared" si="64"/>
        <v>772</v>
      </c>
      <c r="P339" s="18" t="str">
        <f t="shared" si="59"/>
        <v>(337,772)</v>
      </c>
    </row>
    <row r="340" spans="1:16" hidden="1" x14ac:dyDescent="0.2">
      <c r="A340" s="4">
        <f t="shared" si="65"/>
        <v>338</v>
      </c>
      <c r="B340" s="4"/>
      <c r="C340" s="7">
        <f t="shared" si="66"/>
        <v>45568</v>
      </c>
      <c r="D340" s="11" t="str">
        <f t="shared" si="60"/>
        <v>{2024-10-03},</v>
      </c>
      <c r="E340" s="17">
        <f>COUNTIFS(Sheet1!$C:$C,Feuil1!E$1,Sheet1!$D:$D,Feuil1!$C340)</f>
        <v>0</v>
      </c>
      <c r="F340" s="6">
        <f t="shared" si="67"/>
        <v>13</v>
      </c>
      <c r="G340" s="18" t="str">
        <f t="shared" si="61"/>
        <v>(338,13)</v>
      </c>
      <c r="H340" s="17">
        <f>COUNTIFS(Sheet1!$C:$C,Feuil1!H$1,Sheet1!$D:$D,Feuil1!$C340)</f>
        <v>0</v>
      </c>
      <c r="I340" s="6">
        <f t="shared" si="62"/>
        <v>17</v>
      </c>
      <c r="J340" s="18" t="str">
        <f t="shared" si="57"/>
        <v>(338,17)</v>
      </c>
      <c r="K340" s="17">
        <f>COUNTIFS(Sheet1!$C:$C,Feuil1!K$1,Sheet1!$D:$D,Feuil1!$C340)</f>
        <v>0</v>
      </c>
      <c r="L340" s="6">
        <f t="shared" si="63"/>
        <v>7</v>
      </c>
      <c r="M340" s="18" t="str">
        <f t="shared" si="58"/>
        <v>(338,7)</v>
      </c>
      <c r="N340" s="17">
        <f>COUNTIFS(Sheet1!$C:$C,Feuil1!N$1,Sheet1!$D:$D,Feuil1!$C340)</f>
        <v>4</v>
      </c>
      <c r="O340" s="6">
        <f t="shared" si="64"/>
        <v>776</v>
      </c>
      <c r="P340" s="18" t="str">
        <f t="shared" si="59"/>
        <v>(338,776)</v>
      </c>
    </row>
    <row r="341" spans="1:16" hidden="1" x14ac:dyDescent="0.2">
      <c r="A341" s="4">
        <f t="shared" si="65"/>
        <v>339</v>
      </c>
      <c r="B341" s="4"/>
      <c r="C341" s="7">
        <f t="shared" si="66"/>
        <v>45569</v>
      </c>
      <c r="D341" s="11" t="str">
        <f t="shared" si="60"/>
        <v>{2024-10-04},</v>
      </c>
      <c r="E341" s="17">
        <f>COUNTIFS(Sheet1!$C:$C,Feuil1!E$1,Sheet1!$D:$D,Feuil1!$C341)</f>
        <v>0</v>
      </c>
      <c r="F341" s="6">
        <f t="shared" si="67"/>
        <v>13</v>
      </c>
      <c r="G341" s="18" t="str">
        <f t="shared" si="61"/>
        <v>(339,13)</v>
      </c>
      <c r="H341" s="17">
        <f>COUNTIFS(Sheet1!$C:$C,Feuil1!H$1,Sheet1!$D:$D,Feuil1!$C341)</f>
        <v>0</v>
      </c>
      <c r="I341" s="6">
        <f t="shared" si="62"/>
        <v>17</v>
      </c>
      <c r="J341" s="18" t="str">
        <f t="shared" si="57"/>
        <v>(339,17)</v>
      </c>
      <c r="K341" s="17">
        <f>COUNTIFS(Sheet1!$C:$C,Feuil1!K$1,Sheet1!$D:$D,Feuil1!$C341)</f>
        <v>0</v>
      </c>
      <c r="L341" s="6">
        <f t="shared" si="63"/>
        <v>7</v>
      </c>
      <c r="M341" s="18" t="str">
        <f t="shared" si="58"/>
        <v>(339,7)</v>
      </c>
      <c r="N341" s="17">
        <f>COUNTIFS(Sheet1!$C:$C,Feuil1!N$1,Sheet1!$D:$D,Feuil1!$C341)</f>
        <v>1</v>
      </c>
      <c r="O341" s="6">
        <f t="shared" si="64"/>
        <v>777</v>
      </c>
      <c r="P341" s="18" t="str">
        <f t="shared" si="59"/>
        <v>(339,777)</v>
      </c>
    </row>
    <row r="342" spans="1:16" hidden="1" x14ac:dyDescent="0.2">
      <c r="A342" s="4">
        <f t="shared" si="65"/>
        <v>340</v>
      </c>
      <c r="B342" s="4"/>
      <c r="C342" s="7">
        <f t="shared" si="66"/>
        <v>45570</v>
      </c>
      <c r="D342" s="11" t="str">
        <f t="shared" si="60"/>
        <v>{2024-10-05},</v>
      </c>
      <c r="E342" s="17">
        <f>COUNTIFS(Sheet1!$C:$C,Feuil1!E$1,Sheet1!$D:$D,Feuil1!$C342)</f>
        <v>0</v>
      </c>
      <c r="F342" s="6">
        <f t="shared" si="67"/>
        <v>13</v>
      </c>
      <c r="G342" s="18" t="str">
        <f t="shared" si="61"/>
        <v>(340,13)</v>
      </c>
      <c r="H342" s="17">
        <f>COUNTIFS(Sheet1!$C:$C,Feuil1!H$1,Sheet1!$D:$D,Feuil1!$C342)</f>
        <v>1</v>
      </c>
      <c r="I342" s="6">
        <f t="shared" si="62"/>
        <v>18</v>
      </c>
      <c r="J342" s="18" t="str">
        <f t="shared" si="57"/>
        <v>(340,18)</v>
      </c>
      <c r="K342" s="17">
        <f>COUNTIFS(Sheet1!$C:$C,Feuil1!K$1,Sheet1!$D:$D,Feuil1!$C342)</f>
        <v>0</v>
      </c>
      <c r="L342" s="6">
        <f t="shared" si="63"/>
        <v>7</v>
      </c>
      <c r="M342" s="18" t="str">
        <f t="shared" si="58"/>
        <v>(340,7)</v>
      </c>
      <c r="N342" s="17">
        <f>COUNTIFS(Sheet1!$C:$C,Feuil1!N$1,Sheet1!$D:$D,Feuil1!$C342)</f>
        <v>2</v>
      </c>
      <c r="O342" s="6">
        <f t="shared" si="64"/>
        <v>779</v>
      </c>
      <c r="P342" s="18" t="str">
        <f t="shared" si="59"/>
        <v>(340,779)</v>
      </c>
    </row>
    <row r="343" spans="1:16" hidden="1" x14ac:dyDescent="0.2">
      <c r="A343" s="4">
        <f t="shared" si="65"/>
        <v>341</v>
      </c>
      <c r="B343" s="4"/>
      <c r="C343" s="7">
        <f t="shared" si="66"/>
        <v>45571</v>
      </c>
      <c r="D343" s="11" t="str">
        <f t="shared" si="60"/>
        <v>{2024-10-06},</v>
      </c>
      <c r="E343" s="17">
        <f>COUNTIFS(Sheet1!$C:$C,Feuil1!E$1,Sheet1!$D:$D,Feuil1!$C343)</f>
        <v>0</v>
      </c>
      <c r="F343" s="6">
        <f t="shared" si="67"/>
        <v>13</v>
      </c>
      <c r="G343" s="18" t="str">
        <f t="shared" si="61"/>
        <v>(341,13)</v>
      </c>
      <c r="H343" s="17">
        <f>COUNTIFS(Sheet1!$C:$C,Feuil1!H$1,Sheet1!$D:$D,Feuil1!$C343)</f>
        <v>1</v>
      </c>
      <c r="I343" s="6">
        <f t="shared" si="62"/>
        <v>19</v>
      </c>
      <c r="J343" s="18" t="str">
        <f t="shared" si="57"/>
        <v>(341,19)</v>
      </c>
      <c r="K343" s="17">
        <f>COUNTIFS(Sheet1!$C:$C,Feuil1!K$1,Sheet1!$D:$D,Feuil1!$C343)</f>
        <v>0</v>
      </c>
      <c r="L343" s="6">
        <f t="shared" si="63"/>
        <v>7</v>
      </c>
      <c r="M343" s="18" t="str">
        <f t="shared" si="58"/>
        <v>(341,7)</v>
      </c>
      <c r="N343" s="17">
        <f>COUNTIFS(Sheet1!$C:$C,Feuil1!N$1,Sheet1!$D:$D,Feuil1!$C343)</f>
        <v>0</v>
      </c>
      <c r="O343" s="6">
        <f t="shared" si="64"/>
        <v>779</v>
      </c>
      <c r="P343" s="18" t="str">
        <f t="shared" si="59"/>
        <v>(341,779)</v>
      </c>
    </row>
    <row r="344" spans="1:16" hidden="1" x14ac:dyDescent="0.2">
      <c r="A344" s="4">
        <f t="shared" si="65"/>
        <v>342</v>
      </c>
      <c r="B344" s="4"/>
      <c r="C344" s="7">
        <f t="shared" si="66"/>
        <v>45572</v>
      </c>
      <c r="D344" s="11" t="str">
        <f t="shared" si="60"/>
        <v>{2024-10-07},</v>
      </c>
      <c r="E344" s="17">
        <f>COUNTIFS(Sheet1!$C:$C,Feuil1!E$1,Sheet1!$D:$D,Feuil1!$C344)</f>
        <v>0</v>
      </c>
      <c r="F344" s="6">
        <f t="shared" si="67"/>
        <v>13</v>
      </c>
      <c r="G344" s="18" t="str">
        <f t="shared" si="61"/>
        <v>(342,13)</v>
      </c>
      <c r="H344" s="17">
        <f>COUNTIFS(Sheet1!$C:$C,Feuil1!H$1,Sheet1!$D:$D,Feuil1!$C344)</f>
        <v>0</v>
      </c>
      <c r="I344" s="6">
        <f t="shared" si="62"/>
        <v>19</v>
      </c>
      <c r="J344" s="18" t="str">
        <f t="shared" si="57"/>
        <v>(342,19)</v>
      </c>
      <c r="K344" s="17">
        <f>COUNTIFS(Sheet1!$C:$C,Feuil1!K$1,Sheet1!$D:$D,Feuil1!$C344)</f>
        <v>0</v>
      </c>
      <c r="L344" s="6">
        <f t="shared" si="63"/>
        <v>7</v>
      </c>
      <c r="M344" s="18" t="str">
        <f t="shared" si="58"/>
        <v>(342,7)</v>
      </c>
      <c r="N344" s="17">
        <f>COUNTIFS(Sheet1!$C:$C,Feuil1!N$1,Sheet1!$D:$D,Feuil1!$C344)</f>
        <v>1</v>
      </c>
      <c r="O344" s="6">
        <f t="shared" si="64"/>
        <v>780</v>
      </c>
      <c r="P344" s="18" t="str">
        <f t="shared" si="59"/>
        <v>(342,780)</v>
      </c>
    </row>
    <row r="345" spans="1:16" hidden="1" x14ac:dyDescent="0.2">
      <c r="A345" s="4">
        <f t="shared" si="65"/>
        <v>343</v>
      </c>
      <c r="B345" s="4"/>
      <c r="C345" s="7">
        <f t="shared" si="66"/>
        <v>45573</v>
      </c>
      <c r="D345" s="11" t="str">
        <f t="shared" si="60"/>
        <v>{2024-10-08},</v>
      </c>
      <c r="E345" s="17">
        <f>COUNTIFS(Sheet1!$C:$C,Feuil1!E$1,Sheet1!$D:$D,Feuil1!$C345)</f>
        <v>1</v>
      </c>
      <c r="F345" s="6">
        <f t="shared" si="67"/>
        <v>14</v>
      </c>
      <c r="G345" s="18" t="str">
        <f t="shared" si="61"/>
        <v>(343,14)</v>
      </c>
      <c r="H345" s="17">
        <f>COUNTIFS(Sheet1!$C:$C,Feuil1!H$1,Sheet1!$D:$D,Feuil1!$C345)</f>
        <v>0</v>
      </c>
      <c r="I345" s="6">
        <f t="shared" si="62"/>
        <v>19</v>
      </c>
      <c r="J345" s="18" t="str">
        <f t="shared" si="57"/>
        <v>(343,19)</v>
      </c>
      <c r="K345" s="17">
        <f>COUNTIFS(Sheet1!$C:$C,Feuil1!K$1,Sheet1!$D:$D,Feuil1!$C345)</f>
        <v>0</v>
      </c>
      <c r="L345" s="6">
        <f t="shared" si="63"/>
        <v>7</v>
      </c>
      <c r="M345" s="18" t="str">
        <f t="shared" si="58"/>
        <v>(343,7)</v>
      </c>
      <c r="N345" s="17">
        <f>COUNTIFS(Sheet1!$C:$C,Feuil1!N$1,Sheet1!$D:$D,Feuil1!$C345)</f>
        <v>0</v>
      </c>
      <c r="O345" s="6">
        <f t="shared" si="64"/>
        <v>780</v>
      </c>
      <c r="P345" s="18" t="str">
        <f t="shared" si="59"/>
        <v>(343,780)</v>
      </c>
    </row>
    <row r="346" spans="1:16" hidden="1" x14ac:dyDescent="0.2">
      <c r="A346" s="4">
        <f t="shared" si="65"/>
        <v>344</v>
      </c>
      <c r="B346" s="4"/>
      <c r="C346" s="7">
        <f t="shared" si="66"/>
        <v>45574</v>
      </c>
      <c r="D346" s="11" t="str">
        <f t="shared" si="60"/>
        <v>{2024-10-09},</v>
      </c>
      <c r="E346" s="17">
        <f>COUNTIFS(Sheet1!$C:$C,Feuil1!E$1,Sheet1!$D:$D,Feuil1!$C346)</f>
        <v>0</v>
      </c>
      <c r="F346" s="6">
        <f t="shared" si="67"/>
        <v>14</v>
      </c>
      <c r="G346" s="18" t="str">
        <f t="shared" si="61"/>
        <v>(344,14)</v>
      </c>
      <c r="H346" s="17">
        <f>COUNTIFS(Sheet1!$C:$C,Feuil1!H$1,Sheet1!$D:$D,Feuil1!$C346)</f>
        <v>1</v>
      </c>
      <c r="I346" s="6">
        <f t="shared" si="62"/>
        <v>20</v>
      </c>
      <c r="J346" s="18" t="str">
        <f t="shared" si="57"/>
        <v>(344,20)</v>
      </c>
      <c r="K346" s="17">
        <f>COUNTIFS(Sheet1!$C:$C,Feuil1!K$1,Sheet1!$D:$D,Feuil1!$C346)</f>
        <v>0</v>
      </c>
      <c r="L346" s="6">
        <f t="shared" si="63"/>
        <v>7</v>
      </c>
      <c r="M346" s="18" t="str">
        <f t="shared" si="58"/>
        <v>(344,7)</v>
      </c>
      <c r="N346" s="17">
        <f>COUNTIFS(Sheet1!$C:$C,Feuil1!N$1,Sheet1!$D:$D,Feuil1!$C346)</f>
        <v>1</v>
      </c>
      <c r="O346" s="6">
        <f t="shared" si="64"/>
        <v>781</v>
      </c>
      <c r="P346" s="18" t="str">
        <f t="shared" si="59"/>
        <v>(344,781)</v>
      </c>
    </row>
    <row r="347" spans="1:16" hidden="1" x14ac:dyDescent="0.2">
      <c r="A347" s="4">
        <f t="shared" si="65"/>
        <v>345</v>
      </c>
      <c r="B347" s="4"/>
      <c r="C347" s="7">
        <f t="shared" si="66"/>
        <v>45575</v>
      </c>
      <c r="D347" s="11" t="str">
        <f t="shared" si="60"/>
        <v>{2024-10-10},</v>
      </c>
      <c r="E347" s="17">
        <f>COUNTIFS(Sheet1!$C:$C,Feuil1!E$1,Sheet1!$D:$D,Feuil1!$C347)</f>
        <v>0</v>
      </c>
      <c r="F347" s="6">
        <f t="shared" si="67"/>
        <v>14</v>
      </c>
      <c r="G347" s="18" t="str">
        <f t="shared" si="61"/>
        <v>(345,14)</v>
      </c>
      <c r="H347" s="17">
        <f>COUNTIFS(Sheet1!$C:$C,Feuil1!H$1,Sheet1!$D:$D,Feuil1!$C347)</f>
        <v>0</v>
      </c>
      <c r="I347" s="6">
        <f t="shared" si="62"/>
        <v>20</v>
      </c>
      <c r="J347" s="18" t="str">
        <f t="shared" si="57"/>
        <v>(345,20)</v>
      </c>
      <c r="K347" s="17">
        <f>COUNTIFS(Sheet1!$C:$C,Feuil1!K$1,Sheet1!$D:$D,Feuil1!$C347)</f>
        <v>0</v>
      </c>
      <c r="L347" s="6">
        <f t="shared" si="63"/>
        <v>7</v>
      </c>
      <c r="M347" s="18" t="str">
        <f t="shared" si="58"/>
        <v>(345,7)</v>
      </c>
      <c r="N347" s="17">
        <f>COUNTIFS(Sheet1!$C:$C,Feuil1!N$1,Sheet1!$D:$D,Feuil1!$C347)</f>
        <v>1</v>
      </c>
      <c r="O347" s="6">
        <f t="shared" si="64"/>
        <v>782</v>
      </c>
      <c r="P347" s="18" t="str">
        <f t="shared" si="59"/>
        <v>(345,782)</v>
      </c>
    </row>
    <row r="348" spans="1:16" hidden="1" x14ac:dyDescent="0.2">
      <c r="A348" s="4">
        <f t="shared" si="65"/>
        <v>346</v>
      </c>
      <c r="B348" s="4"/>
      <c r="C348" s="7">
        <f t="shared" si="66"/>
        <v>45576</v>
      </c>
      <c r="D348" s="11" t="str">
        <f t="shared" si="60"/>
        <v>{2024-10-11},</v>
      </c>
      <c r="E348" s="17">
        <f>COUNTIFS(Sheet1!$C:$C,Feuil1!E$1,Sheet1!$D:$D,Feuil1!$C348)</f>
        <v>2</v>
      </c>
      <c r="F348" s="6">
        <f t="shared" si="67"/>
        <v>16</v>
      </c>
      <c r="G348" s="18" t="str">
        <f t="shared" si="61"/>
        <v>(346,16)</v>
      </c>
      <c r="H348" s="17">
        <f>COUNTIFS(Sheet1!$C:$C,Feuil1!H$1,Sheet1!$D:$D,Feuil1!$C348)</f>
        <v>0</v>
      </c>
      <c r="I348" s="6">
        <f t="shared" si="62"/>
        <v>20</v>
      </c>
      <c r="J348" s="18" t="str">
        <f t="shared" si="57"/>
        <v>(346,20)</v>
      </c>
      <c r="K348" s="17">
        <f>COUNTIFS(Sheet1!$C:$C,Feuil1!K$1,Sheet1!$D:$D,Feuil1!$C348)</f>
        <v>0</v>
      </c>
      <c r="L348" s="6">
        <f t="shared" si="63"/>
        <v>7</v>
      </c>
      <c r="M348" s="18" t="str">
        <f t="shared" si="58"/>
        <v>(346,7)</v>
      </c>
      <c r="N348" s="17">
        <f>COUNTIFS(Sheet1!$C:$C,Feuil1!N$1,Sheet1!$D:$D,Feuil1!$C348)</f>
        <v>1</v>
      </c>
      <c r="O348" s="6">
        <f t="shared" si="64"/>
        <v>783</v>
      </c>
      <c r="P348" s="18" t="str">
        <f t="shared" si="59"/>
        <v>(346,783)</v>
      </c>
    </row>
    <row r="349" spans="1:16" hidden="1" x14ac:dyDescent="0.2">
      <c r="A349" s="4">
        <f t="shared" si="65"/>
        <v>347</v>
      </c>
      <c r="B349" s="4"/>
      <c r="C349" s="7">
        <f t="shared" si="66"/>
        <v>45577</v>
      </c>
      <c r="D349" s="11" t="str">
        <f t="shared" si="60"/>
        <v>{2024-10-12},</v>
      </c>
      <c r="E349" s="17">
        <f>COUNTIFS(Sheet1!$C:$C,Feuil1!E$1,Sheet1!$D:$D,Feuil1!$C349)</f>
        <v>2</v>
      </c>
      <c r="F349" s="6">
        <f t="shared" si="67"/>
        <v>18</v>
      </c>
      <c r="G349" s="18" t="str">
        <f t="shared" si="61"/>
        <v>(347,18)</v>
      </c>
      <c r="H349" s="17">
        <f>COUNTIFS(Sheet1!$C:$C,Feuil1!H$1,Sheet1!$D:$D,Feuil1!$C349)</f>
        <v>1</v>
      </c>
      <c r="I349" s="6">
        <f t="shared" si="62"/>
        <v>21</v>
      </c>
      <c r="J349" s="18" t="str">
        <f t="shared" si="57"/>
        <v>(347,21)</v>
      </c>
      <c r="K349" s="17">
        <f>COUNTIFS(Sheet1!$C:$C,Feuil1!K$1,Sheet1!$D:$D,Feuil1!$C349)</f>
        <v>0</v>
      </c>
      <c r="L349" s="6">
        <f t="shared" si="63"/>
        <v>7</v>
      </c>
      <c r="M349" s="18" t="str">
        <f t="shared" si="58"/>
        <v>(347,7)</v>
      </c>
      <c r="N349" s="17">
        <f>COUNTIFS(Sheet1!$C:$C,Feuil1!N$1,Sheet1!$D:$D,Feuil1!$C349)</f>
        <v>0</v>
      </c>
      <c r="O349" s="6">
        <f t="shared" si="64"/>
        <v>783</v>
      </c>
      <c r="P349" s="18" t="str">
        <f t="shared" si="59"/>
        <v>(347,783)</v>
      </c>
    </row>
    <row r="350" spans="1:16" hidden="1" x14ac:dyDescent="0.2">
      <c r="A350" s="4">
        <f t="shared" si="65"/>
        <v>348</v>
      </c>
      <c r="B350" s="4"/>
      <c r="C350" s="7">
        <f t="shared" si="66"/>
        <v>45578</v>
      </c>
      <c r="D350" s="11" t="str">
        <f t="shared" si="60"/>
        <v>{2024-10-13},</v>
      </c>
      <c r="E350" s="17">
        <f>COUNTIFS(Sheet1!$C:$C,Feuil1!E$1,Sheet1!$D:$D,Feuil1!$C350)</f>
        <v>1</v>
      </c>
      <c r="F350" s="6">
        <f t="shared" si="67"/>
        <v>19</v>
      </c>
      <c r="G350" s="18" t="str">
        <f t="shared" si="61"/>
        <v>(348,19)</v>
      </c>
      <c r="H350" s="17">
        <f>COUNTIFS(Sheet1!$C:$C,Feuil1!H$1,Sheet1!$D:$D,Feuil1!$C350)</f>
        <v>1</v>
      </c>
      <c r="I350" s="6">
        <f t="shared" si="62"/>
        <v>22</v>
      </c>
      <c r="J350" s="18" t="str">
        <f t="shared" si="57"/>
        <v>(348,22)</v>
      </c>
      <c r="K350" s="17">
        <f>COUNTIFS(Sheet1!$C:$C,Feuil1!K$1,Sheet1!$D:$D,Feuil1!$C350)</f>
        <v>0</v>
      </c>
      <c r="L350" s="6">
        <f t="shared" si="63"/>
        <v>7</v>
      </c>
      <c r="M350" s="18" t="str">
        <f t="shared" si="58"/>
        <v>(348,7)</v>
      </c>
      <c r="N350" s="17">
        <f>COUNTIFS(Sheet1!$C:$C,Feuil1!N$1,Sheet1!$D:$D,Feuil1!$C350)</f>
        <v>0</v>
      </c>
      <c r="O350" s="6">
        <f t="shared" si="64"/>
        <v>783</v>
      </c>
      <c r="P350" s="18" t="str">
        <f t="shared" si="59"/>
        <v>(348,783)</v>
      </c>
    </row>
    <row r="351" spans="1:16" hidden="1" x14ac:dyDescent="0.2">
      <c r="A351" s="4">
        <f t="shared" si="65"/>
        <v>349</v>
      </c>
      <c r="B351" s="4"/>
      <c r="C351" s="7">
        <f t="shared" si="66"/>
        <v>45579</v>
      </c>
      <c r="D351" s="11" t="str">
        <f t="shared" si="60"/>
        <v>{2024-10-14},</v>
      </c>
      <c r="E351" s="17">
        <f>COUNTIFS(Sheet1!$C:$C,Feuil1!E$1,Sheet1!$D:$D,Feuil1!$C351)</f>
        <v>1</v>
      </c>
      <c r="F351" s="6">
        <f t="shared" si="67"/>
        <v>20</v>
      </c>
      <c r="G351" s="18" t="str">
        <f t="shared" si="61"/>
        <v>(349,20)</v>
      </c>
      <c r="H351" s="17">
        <f>COUNTIFS(Sheet1!$C:$C,Feuil1!H$1,Sheet1!$D:$D,Feuil1!$C351)</f>
        <v>0</v>
      </c>
      <c r="I351" s="6">
        <f t="shared" si="62"/>
        <v>22</v>
      </c>
      <c r="J351" s="18" t="str">
        <f t="shared" si="57"/>
        <v>(349,22)</v>
      </c>
      <c r="K351" s="17">
        <f>COUNTIFS(Sheet1!$C:$C,Feuil1!K$1,Sheet1!$D:$D,Feuil1!$C351)</f>
        <v>0</v>
      </c>
      <c r="L351" s="6">
        <f t="shared" si="63"/>
        <v>7</v>
      </c>
      <c r="M351" s="18" t="str">
        <f t="shared" si="58"/>
        <v>(349,7)</v>
      </c>
      <c r="N351" s="17">
        <f>COUNTIFS(Sheet1!$C:$C,Feuil1!N$1,Sheet1!$D:$D,Feuil1!$C351)</f>
        <v>0</v>
      </c>
      <c r="O351" s="6">
        <f t="shared" si="64"/>
        <v>783</v>
      </c>
      <c r="P351" s="18" t="str">
        <f t="shared" si="59"/>
        <v>(349,783)</v>
      </c>
    </row>
    <row r="352" spans="1:16" hidden="1" x14ac:dyDescent="0.2">
      <c r="A352" s="4">
        <f t="shared" si="65"/>
        <v>350</v>
      </c>
      <c r="B352" s="4"/>
      <c r="C352" s="7">
        <f t="shared" si="66"/>
        <v>45580</v>
      </c>
      <c r="D352" s="11" t="str">
        <f t="shared" si="60"/>
        <v>{2024-10-15},</v>
      </c>
      <c r="E352" s="17">
        <f>COUNTIFS(Sheet1!$C:$C,Feuil1!E$1,Sheet1!$D:$D,Feuil1!$C352)</f>
        <v>2</v>
      </c>
      <c r="F352" s="6">
        <f t="shared" si="67"/>
        <v>22</v>
      </c>
      <c r="G352" s="18" t="str">
        <f t="shared" si="61"/>
        <v>(350,22)</v>
      </c>
      <c r="H352" s="17">
        <f>COUNTIFS(Sheet1!$C:$C,Feuil1!H$1,Sheet1!$D:$D,Feuil1!$C352)</f>
        <v>0</v>
      </c>
      <c r="I352" s="6">
        <f t="shared" si="62"/>
        <v>22</v>
      </c>
      <c r="J352" s="18" t="str">
        <f t="shared" si="57"/>
        <v>(350,22)</v>
      </c>
      <c r="K352" s="17">
        <f>COUNTIFS(Sheet1!$C:$C,Feuil1!K$1,Sheet1!$D:$D,Feuil1!$C352)</f>
        <v>0</v>
      </c>
      <c r="L352" s="6">
        <f t="shared" si="63"/>
        <v>7</v>
      </c>
      <c r="M352" s="18" t="str">
        <f t="shared" si="58"/>
        <v>(350,7)</v>
      </c>
      <c r="N352" s="17">
        <f>COUNTIFS(Sheet1!$C:$C,Feuil1!N$1,Sheet1!$D:$D,Feuil1!$C352)</f>
        <v>1</v>
      </c>
      <c r="O352" s="6">
        <f t="shared" si="64"/>
        <v>784</v>
      </c>
      <c r="P352" s="18" t="str">
        <f t="shared" si="59"/>
        <v>(350,784)</v>
      </c>
    </row>
    <row r="353" spans="1:16" hidden="1" x14ac:dyDescent="0.2">
      <c r="A353" s="4">
        <f t="shared" si="65"/>
        <v>351</v>
      </c>
      <c r="B353" s="4"/>
      <c r="C353" s="7">
        <f t="shared" si="66"/>
        <v>45581</v>
      </c>
      <c r="D353" s="11" t="str">
        <f t="shared" si="60"/>
        <v>{2024-10-16},</v>
      </c>
      <c r="E353" s="17">
        <f>COUNTIFS(Sheet1!$C:$C,Feuil1!E$1,Sheet1!$D:$D,Feuil1!$C353)</f>
        <v>0</v>
      </c>
      <c r="F353" s="6">
        <f t="shared" si="67"/>
        <v>22</v>
      </c>
      <c r="G353" s="18" t="str">
        <f t="shared" si="61"/>
        <v>(351,22)</v>
      </c>
      <c r="H353" s="17">
        <f>COUNTIFS(Sheet1!$C:$C,Feuil1!H$1,Sheet1!$D:$D,Feuil1!$C353)</f>
        <v>0</v>
      </c>
      <c r="I353" s="6">
        <f t="shared" si="62"/>
        <v>22</v>
      </c>
      <c r="J353" s="18" t="str">
        <f t="shared" si="57"/>
        <v>(351,22)</v>
      </c>
      <c r="K353" s="17">
        <f>COUNTIFS(Sheet1!$C:$C,Feuil1!K$1,Sheet1!$D:$D,Feuil1!$C353)</f>
        <v>0</v>
      </c>
      <c r="L353" s="6">
        <f t="shared" si="63"/>
        <v>7</v>
      </c>
      <c r="M353" s="18" t="str">
        <f t="shared" si="58"/>
        <v>(351,7)</v>
      </c>
      <c r="N353" s="17">
        <f>COUNTIFS(Sheet1!$C:$C,Feuil1!N$1,Sheet1!$D:$D,Feuil1!$C353)</f>
        <v>1</v>
      </c>
      <c r="O353" s="6">
        <f t="shared" si="64"/>
        <v>785</v>
      </c>
      <c r="P353" s="18" t="str">
        <f t="shared" si="59"/>
        <v>(351,785)</v>
      </c>
    </row>
    <row r="354" spans="1:16" hidden="1" x14ac:dyDescent="0.2">
      <c r="A354" s="4">
        <f t="shared" si="65"/>
        <v>352</v>
      </c>
      <c r="B354" s="4"/>
      <c r="C354" s="7">
        <f t="shared" si="66"/>
        <v>45582</v>
      </c>
      <c r="D354" s="11" t="str">
        <f t="shared" si="60"/>
        <v>{2024-10-17},</v>
      </c>
      <c r="E354" s="17">
        <f>COUNTIFS(Sheet1!$C:$C,Feuil1!E$1,Sheet1!$D:$D,Feuil1!$C354)</f>
        <v>2</v>
      </c>
      <c r="F354" s="6">
        <f t="shared" si="67"/>
        <v>24</v>
      </c>
      <c r="G354" s="18" t="str">
        <f t="shared" si="61"/>
        <v>(352,24)</v>
      </c>
      <c r="H354" s="17">
        <f>COUNTIFS(Sheet1!$C:$C,Feuil1!H$1,Sheet1!$D:$D,Feuil1!$C354)</f>
        <v>0</v>
      </c>
      <c r="I354" s="6">
        <f t="shared" si="62"/>
        <v>22</v>
      </c>
      <c r="J354" s="18" t="str">
        <f t="shared" si="57"/>
        <v>(352,22)</v>
      </c>
      <c r="K354" s="17">
        <f>COUNTIFS(Sheet1!$C:$C,Feuil1!K$1,Sheet1!$D:$D,Feuil1!$C354)</f>
        <v>0</v>
      </c>
      <c r="L354" s="6">
        <f t="shared" si="63"/>
        <v>7</v>
      </c>
      <c r="M354" s="18" t="str">
        <f t="shared" si="58"/>
        <v>(352,7)</v>
      </c>
      <c r="N354" s="17">
        <f>COUNTIFS(Sheet1!$C:$C,Feuil1!N$1,Sheet1!$D:$D,Feuil1!$C354)</f>
        <v>0</v>
      </c>
      <c r="O354" s="6">
        <f t="shared" si="64"/>
        <v>785</v>
      </c>
      <c r="P354" s="18" t="str">
        <f t="shared" si="59"/>
        <v>(352,785)</v>
      </c>
    </row>
    <row r="355" spans="1:16" hidden="1" x14ac:dyDescent="0.2">
      <c r="A355" s="4">
        <f t="shared" si="65"/>
        <v>353</v>
      </c>
      <c r="B355" s="4"/>
      <c r="C355" s="7">
        <f t="shared" si="66"/>
        <v>45583</v>
      </c>
      <c r="D355" s="11" t="str">
        <f t="shared" si="60"/>
        <v>{2024-10-18},</v>
      </c>
      <c r="E355" s="17">
        <f>COUNTIFS(Sheet1!$C:$C,Feuil1!E$1,Sheet1!$D:$D,Feuil1!$C355)</f>
        <v>4</v>
      </c>
      <c r="F355" s="6">
        <f t="shared" si="67"/>
        <v>28</v>
      </c>
      <c r="G355" s="18" t="str">
        <f t="shared" si="61"/>
        <v>(353,28)</v>
      </c>
      <c r="H355" s="17">
        <f>COUNTIFS(Sheet1!$C:$C,Feuil1!H$1,Sheet1!$D:$D,Feuil1!$C355)</f>
        <v>0</v>
      </c>
      <c r="I355" s="6">
        <f t="shared" si="62"/>
        <v>22</v>
      </c>
      <c r="J355" s="18" t="str">
        <f t="shared" si="57"/>
        <v>(353,22)</v>
      </c>
      <c r="K355" s="17">
        <f>COUNTIFS(Sheet1!$C:$C,Feuil1!K$1,Sheet1!$D:$D,Feuil1!$C355)</f>
        <v>0</v>
      </c>
      <c r="L355" s="6">
        <f t="shared" si="63"/>
        <v>7</v>
      </c>
      <c r="M355" s="18" t="str">
        <f t="shared" si="58"/>
        <v>(353,7)</v>
      </c>
      <c r="N355" s="17">
        <f>COUNTIFS(Sheet1!$C:$C,Feuil1!N$1,Sheet1!$D:$D,Feuil1!$C355)</f>
        <v>0</v>
      </c>
      <c r="O355" s="6">
        <f t="shared" si="64"/>
        <v>785</v>
      </c>
      <c r="P355" s="18" t="str">
        <f t="shared" si="59"/>
        <v>(353,785)</v>
      </c>
    </row>
    <row r="356" spans="1:16" hidden="1" x14ac:dyDescent="0.2">
      <c r="A356" s="4">
        <f t="shared" si="65"/>
        <v>354</v>
      </c>
      <c r="B356" s="4"/>
      <c r="C356" s="7">
        <f t="shared" si="66"/>
        <v>45584</v>
      </c>
      <c r="D356" s="11" t="str">
        <f t="shared" si="60"/>
        <v>{2024-10-19},</v>
      </c>
      <c r="E356" s="17">
        <f>COUNTIFS(Sheet1!$C:$C,Feuil1!E$1,Sheet1!$D:$D,Feuil1!$C356)</f>
        <v>3</v>
      </c>
      <c r="F356" s="6">
        <f t="shared" si="67"/>
        <v>31</v>
      </c>
      <c r="G356" s="18" t="str">
        <f t="shared" si="61"/>
        <v>(354,31)</v>
      </c>
      <c r="H356" s="17">
        <f>COUNTIFS(Sheet1!$C:$C,Feuil1!H$1,Sheet1!$D:$D,Feuil1!$C356)</f>
        <v>0</v>
      </c>
      <c r="I356" s="6">
        <f t="shared" si="62"/>
        <v>22</v>
      </c>
      <c r="J356" s="18" t="str">
        <f t="shared" si="57"/>
        <v>(354,22)</v>
      </c>
      <c r="K356" s="17">
        <f>COUNTIFS(Sheet1!$C:$C,Feuil1!K$1,Sheet1!$D:$D,Feuil1!$C356)</f>
        <v>0</v>
      </c>
      <c r="L356" s="6">
        <f t="shared" si="63"/>
        <v>7</v>
      </c>
      <c r="M356" s="18" t="str">
        <f t="shared" si="58"/>
        <v>(354,7)</v>
      </c>
      <c r="N356" s="17">
        <f>COUNTIFS(Sheet1!$C:$C,Feuil1!N$1,Sheet1!$D:$D,Feuil1!$C356)</f>
        <v>0</v>
      </c>
      <c r="O356" s="6">
        <f t="shared" si="64"/>
        <v>785</v>
      </c>
      <c r="P356" s="18" t="str">
        <f t="shared" si="59"/>
        <v>(354,785)</v>
      </c>
    </row>
    <row r="357" spans="1:16" hidden="1" x14ac:dyDescent="0.2">
      <c r="A357" s="4">
        <f t="shared" si="65"/>
        <v>355</v>
      </c>
      <c r="B357" s="4"/>
      <c r="C357" s="7">
        <f t="shared" si="66"/>
        <v>45585</v>
      </c>
      <c r="D357" s="11" t="str">
        <f t="shared" si="60"/>
        <v>{2024-10-20},</v>
      </c>
      <c r="E357" s="17">
        <f>COUNTIFS(Sheet1!$C:$C,Feuil1!E$1,Sheet1!$D:$D,Feuil1!$C357)</f>
        <v>3</v>
      </c>
      <c r="F357" s="6">
        <f t="shared" si="67"/>
        <v>34</v>
      </c>
      <c r="G357" s="18" t="str">
        <f t="shared" si="61"/>
        <v>(355,34)</v>
      </c>
      <c r="H357" s="17">
        <f>COUNTIFS(Sheet1!$C:$C,Feuil1!H$1,Sheet1!$D:$D,Feuil1!$C357)</f>
        <v>1</v>
      </c>
      <c r="I357" s="6">
        <f t="shared" si="62"/>
        <v>23</v>
      </c>
      <c r="J357" s="18" t="str">
        <f t="shared" si="57"/>
        <v>(355,23)</v>
      </c>
      <c r="K357" s="17">
        <f>COUNTIFS(Sheet1!$C:$C,Feuil1!K$1,Sheet1!$D:$D,Feuil1!$C357)</f>
        <v>0</v>
      </c>
      <c r="L357" s="6">
        <f t="shared" si="63"/>
        <v>7</v>
      </c>
      <c r="M357" s="18" t="str">
        <f t="shared" si="58"/>
        <v>(355,7)</v>
      </c>
      <c r="N357" s="17">
        <f>COUNTIFS(Sheet1!$C:$C,Feuil1!N$1,Sheet1!$D:$D,Feuil1!$C357)</f>
        <v>1</v>
      </c>
      <c r="O357" s="6">
        <f t="shared" si="64"/>
        <v>786</v>
      </c>
      <c r="P357" s="18" t="str">
        <f t="shared" si="59"/>
        <v>(355,786)</v>
      </c>
    </row>
    <row r="358" spans="1:16" hidden="1" x14ac:dyDescent="0.2">
      <c r="A358" s="4">
        <f t="shared" si="65"/>
        <v>356</v>
      </c>
      <c r="B358" s="4"/>
      <c r="C358" s="7">
        <f t="shared" si="66"/>
        <v>45586</v>
      </c>
      <c r="D358" s="11" t="str">
        <f t="shared" si="60"/>
        <v>{2024-10-21},</v>
      </c>
      <c r="E358" s="17">
        <f>COUNTIFS(Sheet1!$C:$C,Feuil1!E$1,Sheet1!$D:$D,Feuil1!$C358)</f>
        <v>2</v>
      </c>
      <c r="F358" s="6">
        <f t="shared" si="67"/>
        <v>36</v>
      </c>
      <c r="G358" s="18" t="str">
        <f t="shared" si="61"/>
        <v>(356,36)</v>
      </c>
      <c r="H358" s="17">
        <f>COUNTIFS(Sheet1!$C:$C,Feuil1!H$1,Sheet1!$D:$D,Feuil1!$C358)</f>
        <v>0</v>
      </c>
      <c r="I358" s="6">
        <f t="shared" si="62"/>
        <v>23</v>
      </c>
      <c r="J358" s="18" t="str">
        <f t="shared" si="57"/>
        <v>(356,23)</v>
      </c>
      <c r="K358" s="17">
        <f>COUNTIFS(Sheet1!$C:$C,Feuil1!K$1,Sheet1!$D:$D,Feuil1!$C358)</f>
        <v>0</v>
      </c>
      <c r="L358" s="6">
        <f t="shared" si="63"/>
        <v>7</v>
      </c>
      <c r="M358" s="18" t="str">
        <f t="shared" si="58"/>
        <v>(356,7)</v>
      </c>
      <c r="N358" s="17">
        <f>COUNTIFS(Sheet1!$C:$C,Feuil1!N$1,Sheet1!$D:$D,Feuil1!$C358)</f>
        <v>0</v>
      </c>
      <c r="O358" s="6">
        <f t="shared" si="64"/>
        <v>786</v>
      </c>
      <c r="P358" s="18" t="str">
        <f t="shared" si="59"/>
        <v>(356,786)</v>
      </c>
    </row>
    <row r="359" spans="1:16" hidden="1" x14ac:dyDescent="0.2">
      <c r="A359" s="4">
        <f t="shared" si="65"/>
        <v>357</v>
      </c>
      <c r="B359" s="4"/>
      <c r="C359" s="7">
        <f t="shared" si="66"/>
        <v>45587</v>
      </c>
      <c r="D359" s="11" t="str">
        <f t="shared" si="60"/>
        <v>{2024-10-22},</v>
      </c>
      <c r="E359" s="17">
        <f>COUNTIFS(Sheet1!$C:$C,Feuil1!E$1,Sheet1!$D:$D,Feuil1!$C359)</f>
        <v>2</v>
      </c>
      <c r="F359" s="6">
        <f t="shared" si="67"/>
        <v>38</v>
      </c>
      <c r="G359" s="18" t="str">
        <f t="shared" si="61"/>
        <v>(357,38)</v>
      </c>
      <c r="H359" s="17">
        <f>COUNTIFS(Sheet1!$C:$C,Feuil1!H$1,Sheet1!$D:$D,Feuil1!$C359)</f>
        <v>0</v>
      </c>
      <c r="I359" s="6">
        <f t="shared" si="62"/>
        <v>23</v>
      </c>
      <c r="J359" s="18" t="str">
        <f t="shared" si="57"/>
        <v>(357,23)</v>
      </c>
      <c r="K359" s="17">
        <f>COUNTIFS(Sheet1!$C:$C,Feuil1!K$1,Sheet1!$D:$D,Feuil1!$C359)</f>
        <v>0</v>
      </c>
      <c r="L359" s="6">
        <f t="shared" si="63"/>
        <v>7</v>
      </c>
      <c r="M359" s="18" t="str">
        <f t="shared" si="58"/>
        <v>(357,7)</v>
      </c>
      <c r="N359" s="17">
        <f>COUNTIFS(Sheet1!$C:$C,Feuil1!N$1,Sheet1!$D:$D,Feuil1!$C359)</f>
        <v>1</v>
      </c>
      <c r="O359" s="6">
        <f t="shared" si="64"/>
        <v>787</v>
      </c>
      <c r="P359" s="18" t="str">
        <f t="shared" si="59"/>
        <v>(357,787)</v>
      </c>
    </row>
    <row r="360" spans="1:16" hidden="1" x14ac:dyDescent="0.2">
      <c r="A360" s="4">
        <f t="shared" si="65"/>
        <v>358</v>
      </c>
      <c r="B360" s="4"/>
      <c r="C360" s="7">
        <f t="shared" si="66"/>
        <v>45588</v>
      </c>
      <c r="D360" s="11" t="str">
        <f t="shared" si="60"/>
        <v>{2024-10-23},</v>
      </c>
      <c r="E360" s="17">
        <f>COUNTIFS(Sheet1!$C:$C,Feuil1!E$1,Sheet1!$D:$D,Feuil1!$C360)</f>
        <v>3</v>
      </c>
      <c r="F360" s="6">
        <f t="shared" si="67"/>
        <v>41</v>
      </c>
      <c r="G360" s="18" t="str">
        <f t="shared" si="61"/>
        <v>(358,41)</v>
      </c>
      <c r="H360" s="17">
        <f>COUNTIFS(Sheet1!$C:$C,Feuil1!H$1,Sheet1!$D:$D,Feuil1!$C360)</f>
        <v>1</v>
      </c>
      <c r="I360" s="6">
        <f t="shared" si="62"/>
        <v>24</v>
      </c>
      <c r="J360" s="18" t="str">
        <f t="shared" si="57"/>
        <v>(358,24)</v>
      </c>
      <c r="K360" s="17">
        <f>COUNTIFS(Sheet1!$C:$C,Feuil1!K$1,Sheet1!$D:$D,Feuil1!$C360)</f>
        <v>0</v>
      </c>
      <c r="L360" s="6">
        <f t="shared" si="63"/>
        <v>7</v>
      </c>
      <c r="M360" s="18" t="str">
        <f t="shared" si="58"/>
        <v>(358,7)</v>
      </c>
      <c r="N360" s="17">
        <f>COUNTIFS(Sheet1!$C:$C,Feuil1!N$1,Sheet1!$D:$D,Feuil1!$C360)</f>
        <v>1</v>
      </c>
      <c r="O360" s="6">
        <f t="shared" si="64"/>
        <v>788</v>
      </c>
      <c r="P360" s="18" t="str">
        <f t="shared" si="59"/>
        <v>(358,788)</v>
      </c>
    </row>
    <row r="361" spans="1:16" hidden="1" x14ac:dyDescent="0.2">
      <c r="A361" s="4">
        <f t="shared" si="65"/>
        <v>359</v>
      </c>
      <c r="B361" s="4"/>
      <c r="C361" s="7">
        <f t="shared" si="66"/>
        <v>45589</v>
      </c>
      <c r="D361" s="11" t="str">
        <f t="shared" si="60"/>
        <v>{2024-10-24},</v>
      </c>
      <c r="E361" s="17">
        <f>COUNTIFS(Sheet1!$C:$C,Feuil1!E$1,Sheet1!$D:$D,Feuil1!$C361)</f>
        <v>0</v>
      </c>
      <c r="F361" s="6">
        <f t="shared" si="67"/>
        <v>41</v>
      </c>
      <c r="G361" s="18" t="str">
        <f t="shared" si="61"/>
        <v>(359,41)</v>
      </c>
      <c r="H361" s="17">
        <f>COUNTIFS(Sheet1!$C:$C,Feuil1!H$1,Sheet1!$D:$D,Feuil1!$C361)</f>
        <v>0</v>
      </c>
      <c r="I361" s="6">
        <f t="shared" si="62"/>
        <v>24</v>
      </c>
      <c r="J361" s="18" t="str">
        <f t="shared" si="57"/>
        <v>(359,24)</v>
      </c>
      <c r="K361" s="17">
        <f>COUNTIFS(Sheet1!$C:$C,Feuil1!K$1,Sheet1!$D:$D,Feuil1!$C361)</f>
        <v>0</v>
      </c>
      <c r="L361" s="6">
        <f t="shared" si="63"/>
        <v>7</v>
      </c>
      <c r="M361" s="18" t="str">
        <f t="shared" si="58"/>
        <v>(359,7)</v>
      </c>
      <c r="N361" s="17">
        <f>COUNTIFS(Sheet1!$C:$C,Feuil1!N$1,Sheet1!$D:$D,Feuil1!$C361)</f>
        <v>1</v>
      </c>
      <c r="O361" s="6">
        <f t="shared" si="64"/>
        <v>789</v>
      </c>
      <c r="P361" s="18" t="str">
        <f t="shared" si="59"/>
        <v>(359,789)</v>
      </c>
    </row>
    <row r="362" spans="1:16" hidden="1" x14ac:dyDescent="0.2">
      <c r="A362" s="4">
        <f t="shared" si="65"/>
        <v>360</v>
      </c>
      <c r="B362" s="4"/>
      <c r="C362" s="7">
        <f t="shared" si="66"/>
        <v>45590</v>
      </c>
      <c r="D362" s="11" t="str">
        <f t="shared" si="60"/>
        <v>{2024-10-25},</v>
      </c>
      <c r="E362" s="17">
        <f>COUNTIFS(Sheet1!$C:$C,Feuil1!E$1,Sheet1!$D:$D,Feuil1!$C362)</f>
        <v>2</v>
      </c>
      <c r="F362" s="6">
        <f t="shared" si="67"/>
        <v>43</v>
      </c>
      <c r="G362" s="18" t="str">
        <f t="shared" si="61"/>
        <v>(360,43)</v>
      </c>
      <c r="H362" s="17">
        <f>COUNTIFS(Sheet1!$C:$C,Feuil1!H$1,Sheet1!$D:$D,Feuil1!$C362)</f>
        <v>1</v>
      </c>
      <c r="I362" s="6">
        <f t="shared" si="62"/>
        <v>25</v>
      </c>
      <c r="J362" s="18" t="str">
        <f t="shared" si="57"/>
        <v>(360,25)</v>
      </c>
      <c r="K362" s="17">
        <f>COUNTIFS(Sheet1!$C:$C,Feuil1!K$1,Sheet1!$D:$D,Feuil1!$C362)</f>
        <v>0</v>
      </c>
      <c r="L362" s="6">
        <f t="shared" si="63"/>
        <v>7</v>
      </c>
      <c r="M362" s="18" t="str">
        <f t="shared" si="58"/>
        <v>(360,7)</v>
      </c>
      <c r="N362" s="17">
        <f>COUNTIFS(Sheet1!$C:$C,Feuil1!N$1,Sheet1!$D:$D,Feuil1!$C362)</f>
        <v>1</v>
      </c>
      <c r="O362" s="6">
        <f t="shared" si="64"/>
        <v>790</v>
      </c>
      <c r="P362" s="18" t="str">
        <f t="shared" si="59"/>
        <v>(360,790)</v>
      </c>
    </row>
    <row r="363" spans="1:16" hidden="1" x14ac:dyDescent="0.2">
      <c r="A363" s="4">
        <f t="shared" si="65"/>
        <v>361</v>
      </c>
      <c r="B363" s="4"/>
      <c r="C363" s="7">
        <f t="shared" si="66"/>
        <v>45591</v>
      </c>
      <c r="D363" s="11" t="str">
        <f t="shared" si="60"/>
        <v>{2024-10-26},</v>
      </c>
      <c r="E363" s="17">
        <f>COUNTIFS(Sheet1!$C:$C,Feuil1!E$1,Sheet1!$D:$D,Feuil1!$C363)</f>
        <v>1</v>
      </c>
      <c r="F363" s="6">
        <f t="shared" si="67"/>
        <v>44</v>
      </c>
      <c r="G363" s="18" t="str">
        <f t="shared" si="61"/>
        <v>(361,44)</v>
      </c>
      <c r="H363" s="17">
        <f>COUNTIFS(Sheet1!$C:$C,Feuil1!H$1,Sheet1!$D:$D,Feuil1!$C363)</f>
        <v>1</v>
      </c>
      <c r="I363" s="6">
        <f t="shared" si="62"/>
        <v>26</v>
      </c>
      <c r="J363" s="18" t="str">
        <f t="shared" si="57"/>
        <v>(361,26)</v>
      </c>
      <c r="K363" s="17">
        <f>COUNTIFS(Sheet1!$C:$C,Feuil1!K$1,Sheet1!$D:$D,Feuil1!$C363)</f>
        <v>0</v>
      </c>
      <c r="L363" s="6">
        <f t="shared" si="63"/>
        <v>7</v>
      </c>
      <c r="M363" s="18" t="str">
        <f t="shared" si="58"/>
        <v>(361,7)</v>
      </c>
      <c r="N363" s="17">
        <f>COUNTIFS(Sheet1!$C:$C,Feuil1!N$1,Sheet1!$D:$D,Feuil1!$C363)</f>
        <v>1</v>
      </c>
      <c r="O363" s="6">
        <f t="shared" si="64"/>
        <v>791</v>
      </c>
      <c r="P363" s="18" t="str">
        <f t="shared" si="59"/>
        <v>(361,791)</v>
      </c>
    </row>
    <row r="364" spans="1:16" hidden="1" x14ac:dyDescent="0.2">
      <c r="A364" s="4">
        <f t="shared" si="65"/>
        <v>362</v>
      </c>
      <c r="B364" s="4"/>
      <c r="C364" s="7">
        <f t="shared" si="66"/>
        <v>45592</v>
      </c>
      <c r="D364" s="11" t="str">
        <f t="shared" si="60"/>
        <v>{2024-10-27},</v>
      </c>
      <c r="E364" s="17">
        <f>COUNTIFS(Sheet1!$C:$C,Feuil1!E$1,Sheet1!$D:$D,Feuil1!$C364)</f>
        <v>1</v>
      </c>
      <c r="F364" s="6">
        <f t="shared" si="67"/>
        <v>45</v>
      </c>
      <c r="G364" s="18" t="str">
        <f t="shared" si="61"/>
        <v>(362,45)</v>
      </c>
      <c r="H364" s="17">
        <f>COUNTIFS(Sheet1!$C:$C,Feuil1!H$1,Sheet1!$D:$D,Feuil1!$C364)</f>
        <v>1</v>
      </c>
      <c r="I364" s="6">
        <f t="shared" si="62"/>
        <v>27</v>
      </c>
      <c r="J364" s="18" t="str">
        <f t="shared" si="57"/>
        <v>(362,27)</v>
      </c>
      <c r="K364" s="17">
        <f>COUNTIFS(Sheet1!$C:$C,Feuil1!K$1,Sheet1!$D:$D,Feuil1!$C364)</f>
        <v>0</v>
      </c>
      <c r="L364" s="6">
        <f t="shared" si="63"/>
        <v>7</v>
      </c>
      <c r="M364" s="18" t="str">
        <f t="shared" si="58"/>
        <v>(362,7)</v>
      </c>
      <c r="N364" s="17">
        <f>COUNTIFS(Sheet1!$C:$C,Feuil1!N$1,Sheet1!$D:$D,Feuil1!$C364)</f>
        <v>1</v>
      </c>
      <c r="O364" s="6">
        <f t="shared" si="64"/>
        <v>792</v>
      </c>
      <c r="P364" s="18" t="str">
        <f t="shared" si="59"/>
        <v>(362,792)</v>
      </c>
    </row>
    <row r="365" spans="1:16" hidden="1" x14ac:dyDescent="0.2">
      <c r="A365" s="4">
        <f t="shared" si="65"/>
        <v>363</v>
      </c>
      <c r="B365" s="4"/>
      <c r="C365" s="7">
        <f t="shared" si="66"/>
        <v>45593</v>
      </c>
      <c r="D365" s="11" t="str">
        <f t="shared" si="60"/>
        <v>{2024-10-28},</v>
      </c>
      <c r="E365" s="17">
        <f>COUNTIFS(Sheet1!$C:$C,Feuil1!E$1,Sheet1!$D:$D,Feuil1!$C365)</f>
        <v>3</v>
      </c>
      <c r="F365" s="6">
        <f t="shared" si="67"/>
        <v>48</v>
      </c>
      <c r="G365" s="18" t="str">
        <f t="shared" si="61"/>
        <v>(363,48)</v>
      </c>
      <c r="H365" s="17">
        <f>COUNTIFS(Sheet1!$C:$C,Feuil1!H$1,Sheet1!$D:$D,Feuil1!$C365)</f>
        <v>1</v>
      </c>
      <c r="I365" s="6">
        <f t="shared" si="62"/>
        <v>28</v>
      </c>
      <c r="J365" s="18" t="str">
        <f t="shared" si="57"/>
        <v>(363,28)</v>
      </c>
      <c r="K365" s="17">
        <f>COUNTIFS(Sheet1!$C:$C,Feuil1!K$1,Sheet1!$D:$D,Feuil1!$C365)</f>
        <v>0</v>
      </c>
      <c r="L365" s="6">
        <f t="shared" si="63"/>
        <v>7</v>
      </c>
      <c r="M365" s="18" t="str">
        <f t="shared" si="58"/>
        <v>(363,7)</v>
      </c>
      <c r="N365" s="17">
        <f>COUNTIFS(Sheet1!$C:$C,Feuil1!N$1,Sheet1!$D:$D,Feuil1!$C365)</f>
        <v>0</v>
      </c>
      <c r="O365" s="6">
        <f t="shared" si="64"/>
        <v>792</v>
      </c>
      <c r="P365" s="18" t="str">
        <f t="shared" si="59"/>
        <v>(363,792)</v>
      </c>
    </row>
    <row r="366" spans="1:16" hidden="1" x14ac:dyDescent="0.2">
      <c r="A366" s="4">
        <f t="shared" si="65"/>
        <v>364</v>
      </c>
      <c r="B366" s="4"/>
      <c r="C366" s="7">
        <f t="shared" si="66"/>
        <v>45594</v>
      </c>
      <c r="D366" s="11" t="str">
        <f t="shared" si="60"/>
        <v>{2024-10-29},</v>
      </c>
      <c r="E366" s="17">
        <f>COUNTIFS(Sheet1!$C:$C,Feuil1!E$1,Sheet1!$D:$D,Feuil1!$C366)</f>
        <v>1</v>
      </c>
      <c r="F366" s="6">
        <f t="shared" si="67"/>
        <v>49</v>
      </c>
      <c r="G366" s="18" t="str">
        <f t="shared" si="61"/>
        <v>(364,49)</v>
      </c>
      <c r="H366" s="17">
        <f>COUNTIFS(Sheet1!$C:$C,Feuil1!H$1,Sheet1!$D:$D,Feuil1!$C366)</f>
        <v>0</v>
      </c>
      <c r="I366" s="6">
        <f t="shared" si="62"/>
        <v>28</v>
      </c>
      <c r="J366" s="18" t="str">
        <f t="shared" si="57"/>
        <v>(364,28)</v>
      </c>
      <c r="K366" s="17">
        <f>COUNTIFS(Sheet1!$C:$C,Feuil1!K$1,Sheet1!$D:$D,Feuil1!$C366)</f>
        <v>0</v>
      </c>
      <c r="L366" s="6">
        <f t="shared" si="63"/>
        <v>7</v>
      </c>
      <c r="M366" s="18" t="str">
        <f t="shared" si="58"/>
        <v>(364,7)</v>
      </c>
      <c r="N366" s="17">
        <f>COUNTIFS(Sheet1!$C:$C,Feuil1!N$1,Sheet1!$D:$D,Feuil1!$C366)</f>
        <v>1</v>
      </c>
      <c r="O366" s="6">
        <f t="shared" si="64"/>
        <v>793</v>
      </c>
      <c r="P366" s="18" t="str">
        <f t="shared" si="59"/>
        <v>(364,793)</v>
      </c>
    </row>
    <row r="367" spans="1:16" hidden="1" x14ac:dyDescent="0.2">
      <c r="A367" s="4">
        <f t="shared" si="65"/>
        <v>365</v>
      </c>
      <c r="B367" s="4"/>
      <c r="C367" s="7">
        <f t="shared" si="66"/>
        <v>45595</v>
      </c>
      <c r="D367" s="11" t="str">
        <f t="shared" si="60"/>
        <v>{2024-10-30},</v>
      </c>
      <c r="E367" s="17">
        <f>COUNTIFS(Sheet1!$C:$C,Feuil1!E$1,Sheet1!$D:$D,Feuil1!$C367)</f>
        <v>2</v>
      </c>
      <c r="F367" s="6">
        <f t="shared" si="67"/>
        <v>51</v>
      </c>
      <c r="G367" s="18" t="str">
        <f t="shared" si="61"/>
        <v>(365,51)</v>
      </c>
      <c r="H367" s="17">
        <f>COUNTIFS(Sheet1!$C:$C,Feuil1!H$1,Sheet1!$D:$D,Feuil1!$C367)</f>
        <v>1</v>
      </c>
      <c r="I367" s="6">
        <f t="shared" si="62"/>
        <v>29</v>
      </c>
      <c r="J367" s="18" t="str">
        <f t="shared" si="57"/>
        <v>(365,29)</v>
      </c>
      <c r="K367" s="17">
        <f>COUNTIFS(Sheet1!$C:$C,Feuil1!K$1,Sheet1!$D:$D,Feuil1!$C367)</f>
        <v>0</v>
      </c>
      <c r="L367" s="6">
        <f t="shared" si="63"/>
        <v>7</v>
      </c>
      <c r="M367" s="18" t="str">
        <f t="shared" si="58"/>
        <v>(365,7)</v>
      </c>
      <c r="N367" s="17">
        <f>COUNTIFS(Sheet1!$C:$C,Feuil1!N$1,Sheet1!$D:$D,Feuil1!$C367)</f>
        <v>1</v>
      </c>
      <c r="O367" s="6">
        <f t="shared" si="64"/>
        <v>794</v>
      </c>
      <c r="P367" s="18" t="str">
        <f t="shared" si="59"/>
        <v>(365,794)</v>
      </c>
    </row>
    <row r="368" spans="1:16" hidden="1" x14ac:dyDescent="0.2">
      <c r="A368" s="4">
        <f t="shared" si="65"/>
        <v>366</v>
      </c>
      <c r="B368" s="4"/>
      <c r="C368" s="7">
        <f t="shared" si="66"/>
        <v>45596</v>
      </c>
      <c r="D368" s="11" t="str">
        <f t="shared" si="60"/>
        <v>{2024-10-31},</v>
      </c>
      <c r="E368" s="17">
        <f>COUNTIFS(Sheet1!$C:$C,Feuil1!E$1,Sheet1!$D:$D,Feuil1!$C368)</f>
        <v>2</v>
      </c>
      <c r="F368" s="6">
        <f t="shared" si="67"/>
        <v>53</v>
      </c>
      <c r="G368" s="18" t="str">
        <f t="shared" si="61"/>
        <v>(366,53)</v>
      </c>
      <c r="H368" s="17">
        <f>COUNTIFS(Sheet1!$C:$C,Feuil1!H$1,Sheet1!$D:$D,Feuil1!$C368)</f>
        <v>0</v>
      </c>
      <c r="I368" s="6">
        <f t="shared" si="62"/>
        <v>29</v>
      </c>
      <c r="J368" s="18" t="str">
        <f t="shared" si="57"/>
        <v>(366,29)</v>
      </c>
      <c r="K368" s="17">
        <f>COUNTIFS(Sheet1!$C:$C,Feuil1!K$1,Sheet1!$D:$D,Feuil1!$C368)</f>
        <v>0</v>
      </c>
      <c r="L368" s="6">
        <f t="shared" si="63"/>
        <v>7</v>
      </c>
      <c r="M368" s="18" t="str">
        <f t="shared" si="58"/>
        <v>(366,7)</v>
      </c>
      <c r="N368" s="17">
        <f>COUNTIFS(Sheet1!$C:$C,Feuil1!N$1,Sheet1!$D:$D,Feuil1!$C368)</f>
        <v>0</v>
      </c>
      <c r="O368" s="6">
        <f t="shared" si="64"/>
        <v>794</v>
      </c>
      <c r="P368" s="18" t="str">
        <f t="shared" si="59"/>
        <v>(366,794)</v>
      </c>
    </row>
    <row r="369" spans="1:16" hidden="1" x14ac:dyDescent="0.2">
      <c r="A369" s="4">
        <f t="shared" si="65"/>
        <v>367</v>
      </c>
      <c r="B369" s="4"/>
      <c r="C369" s="5">
        <f t="shared" si="66"/>
        <v>45597</v>
      </c>
      <c r="D369" s="11" t="str">
        <f t="shared" si="60"/>
        <v>{2024-11-01},</v>
      </c>
      <c r="E369" s="17">
        <f>COUNTIFS(Sheet1!$C:$C,Feuil1!E$1,Sheet1!$D:$D,Feuil1!$C369)</f>
        <v>2</v>
      </c>
      <c r="F369" s="6">
        <f t="shared" si="67"/>
        <v>55</v>
      </c>
      <c r="G369" s="18" t="str">
        <f t="shared" si="61"/>
        <v>(367,55)</v>
      </c>
      <c r="H369" s="17">
        <f>COUNTIFS(Sheet1!$C:$C,Feuil1!H$1,Sheet1!$D:$D,Feuil1!$C369)</f>
        <v>0</v>
      </c>
      <c r="I369" s="6">
        <f t="shared" si="62"/>
        <v>29</v>
      </c>
      <c r="J369" s="18" t="str">
        <f t="shared" si="57"/>
        <v>(367,29)</v>
      </c>
      <c r="K369" s="17">
        <f>COUNTIFS(Sheet1!$C:$C,Feuil1!K$1,Sheet1!$D:$D,Feuil1!$C369)</f>
        <v>0</v>
      </c>
      <c r="L369" s="6">
        <f t="shared" si="63"/>
        <v>7</v>
      </c>
      <c r="M369" s="18" t="str">
        <f t="shared" si="58"/>
        <v>(367,7)</v>
      </c>
      <c r="N369" s="17">
        <f>COUNTIFS(Sheet1!$C:$C,Feuil1!N$1,Sheet1!$D:$D,Feuil1!$C369)</f>
        <v>0</v>
      </c>
      <c r="O369" s="6">
        <f t="shared" si="64"/>
        <v>794</v>
      </c>
      <c r="P369" s="18" t="str">
        <f t="shared" si="59"/>
        <v>(367,794)</v>
      </c>
    </row>
    <row r="370" spans="1:16" hidden="1" x14ac:dyDescent="0.2">
      <c r="A370" s="4">
        <f t="shared" si="65"/>
        <v>368</v>
      </c>
      <c r="B370" s="4"/>
      <c r="C370" s="7">
        <f t="shared" si="66"/>
        <v>45598</v>
      </c>
      <c r="D370" s="11" t="str">
        <f t="shared" si="60"/>
        <v>{2024-11-02},</v>
      </c>
      <c r="E370" s="17">
        <f>COUNTIFS(Sheet1!$C:$C,Feuil1!E$1,Sheet1!$D:$D,Feuil1!$C370)</f>
        <v>1</v>
      </c>
      <c r="F370" s="6">
        <f t="shared" si="67"/>
        <v>56</v>
      </c>
      <c r="G370" s="18" t="str">
        <f t="shared" si="61"/>
        <v>(368,56)</v>
      </c>
      <c r="H370" s="17">
        <f>COUNTIFS(Sheet1!$C:$C,Feuil1!H$1,Sheet1!$D:$D,Feuil1!$C370)</f>
        <v>0</v>
      </c>
      <c r="I370" s="6">
        <f t="shared" si="62"/>
        <v>29</v>
      </c>
      <c r="J370" s="18" t="str">
        <f t="shared" si="57"/>
        <v>(368,29)</v>
      </c>
      <c r="K370" s="17">
        <f>COUNTIFS(Sheet1!$C:$C,Feuil1!K$1,Sheet1!$D:$D,Feuil1!$C370)</f>
        <v>0</v>
      </c>
      <c r="L370" s="6">
        <f t="shared" si="63"/>
        <v>7</v>
      </c>
      <c r="M370" s="18" t="str">
        <f t="shared" si="58"/>
        <v>(368,7)</v>
      </c>
      <c r="N370" s="17">
        <f>COUNTIFS(Sheet1!$C:$C,Feuil1!N$1,Sheet1!$D:$D,Feuil1!$C370)</f>
        <v>0</v>
      </c>
      <c r="O370" s="6">
        <f t="shared" si="64"/>
        <v>794</v>
      </c>
      <c r="P370" s="18" t="str">
        <f t="shared" si="59"/>
        <v>(368,794)</v>
      </c>
    </row>
    <row r="371" spans="1:16" hidden="1" x14ac:dyDescent="0.2">
      <c r="A371" s="4">
        <f t="shared" si="65"/>
        <v>369</v>
      </c>
      <c r="B371" s="4"/>
      <c r="C371" s="7">
        <f t="shared" si="66"/>
        <v>45599</v>
      </c>
      <c r="D371" s="11" t="str">
        <f t="shared" si="60"/>
        <v>{2024-11-03},</v>
      </c>
      <c r="E371" s="17">
        <f>COUNTIFS(Sheet1!$C:$C,Feuil1!E$1,Sheet1!$D:$D,Feuil1!$C371)</f>
        <v>3</v>
      </c>
      <c r="F371" s="6">
        <f t="shared" si="67"/>
        <v>59</v>
      </c>
      <c r="G371" s="18" t="str">
        <f t="shared" si="61"/>
        <v>(369,59)</v>
      </c>
      <c r="H371" s="17">
        <f>COUNTIFS(Sheet1!$C:$C,Feuil1!H$1,Sheet1!$D:$D,Feuil1!$C371)</f>
        <v>0</v>
      </c>
      <c r="I371" s="6">
        <f t="shared" si="62"/>
        <v>29</v>
      </c>
      <c r="J371" s="18" t="str">
        <f t="shared" si="57"/>
        <v>(369,29)</v>
      </c>
      <c r="K371" s="17">
        <f>COUNTIFS(Sheet1!$C:$C,Feuil1!K$1,Sheet1!$D:$D,Feuil1!$C371)</f>
        <v>0</v>
      </c>
      <c r="L371" s="6">
        <f t="shared" si="63"/>
        <v>7</v>
      </c>
      <c r="M371" s="18" t="str">
        <f t="shared" si="58"/>
        <v>(369,7)</v>
      </c>
      <c r="N371" s="17">
        <f>COUNTIFS(Sheet1!$C:$C,Feuil1!N$1,Sheet1!$D:$D,Feuil1!$C371)</f>
        <v>0</v>
      </c>
      <c r="O371" s="6">
        <f t="shared" si="64"/>
        <v>794</v>
      </c>
      <c r="P371" s="18" t="str">
        <f t="shared" si="59"/>
        <v>(369,794)</v>
      </c>
    </row>
    <row r="372" spans="1:16" hidden="1" x14ac:dyDescent="0.2">
      <c r="A372" s="4">
        <f t="shared" si="65"/>
        <v>370</v>
      </c>
      <c r="B372" s="4"/>
      <c r="C372" s="7">
        <f t="shared" si="66"/>
        <v>45600</v>
      </c>
      <c r="D372" s="11" t="str">
        <f t="shared" si="60"/>
        <v>{2024-11-04},</v>
      </c>
      <c r="E372" s="17">
        <f>COUNTIFS(Sheet1!$C:$C,Feuil1!E$1,Sheet1!$D:$D,Feuil1!$C372)</f>
        <v>0</v>
      </c>
      <c r="F372" s="6">
        <f t="shared" si="67"/>
        <v>59</v>
      </c>
      <c r="G372" s="18" t="str">
        <f t="shared" si="61"/>
        <v>(370,59)</v>
      </c>
      <c r="H372" s="17">
        <f>COUNTIFS(Sheet1!$C:$C,Feuil1!H$1,Sheet1!$D:$D,Feuil1!$C372)</f>
        <v>0</v>
      </c>
      <c r="I372" s="6">
        <f t="shared" si="62"/>
        <v>29</v>
      </c>
      <c r="J372" s="18" t="str">
        <f t="shared" si="57"/>
        <v>(370,29)</v>
      </c>
      <c r="K372" s="17">
        <f>COUNTIFS(Sheet1!$C:$C,Feuil1!K$1,Sheet1!$D:$D,Feuil1!$C372)</f>
        <v>0</v>
      </c>
      <c r="L372" s="6">
        <f t="shared" si="63"/>
        <v>7</v>
      </c>
      <c r="M372" s="18" t="str">
        <f t="shared" si="58"/>
        <v>(370,7)</v>
      </c>
      <c r="N372" s="17">
        <f>COUNTIFS(Sheet1!$C:$C,Feuil1!N$1,Sheet1!$D:$D,Feuil1!$C372)</f>
        <v>0</v>
      </c>
      <c r="O372" s="6">
        <f t="shared" si="64"/>
        <v>794</v>
      </c>
      <c r="P372" s="18" t="str">
        <f t="shared" si="59"/>
        <v>(370,794)</v>
      </c>
    </row>
    <row r="373" spans="1:16" hidden="1" x14ac:dyDescent="0.2">
      <c r="A373" s="4">
        <f t="shared" si="65"/>
        <v>371</v>
      </c>
      <c r="B373" s="4"/>
      <c r="C373" s="7">
        <f t="shared" si="66"/>
        <v>45601</v>
      </c>
      <c r="D373" s="11" t="str">
        <f t="shared" si="60"/>
        <v>{2024-11-05},</v>
      </c>
      <c r="E373" s="17">
        <f>COUNTIFS(Sheet1!$C:$C,Feuil1!E$1,Sheet1!$D:$D,Feuil1!$C373)</f>
        <v>1</v>
      </c>
      <c r="F373" s="6">
        <f t="shared" si="67"/>
        <v>60</v>
      </c>
      <c r="G373" s="18" t="str">
        <f t="shared" si="61"/>
        <v>(371,60)</v>
      </c>
      <c r="H373" s="17">
        <f>COUNTIFS(Sheet1!$C:$C,Feuil1!H$1,Sheet1!$D:$D,Feuil1!$C373)</f>
        <v>1</v>
      </c>
      <c r="I373" s="6">
        <f t="shared" si="62"/>
        <v>30</v>
      </c>
      <c r="J373" s="18" t="str">
        <f t="shared" si="57"/>
        <v>(371,30)</v>
      </c>
      <c r="K373" s="17">
        <f>COUNTIFS(Sheet1!$C:$C,Feuil1!K$1,Sheet1!$D:$D,Feuil1!$C373)</f>
        <v>0</v>
      </c>
      <c r="L373" s="6">
        <f t="shared" si="63"/>
        <v>7</v>
      </c>
      <c r="M373" s="18" t="str">
        <f t="shared" si="58"/>
        <v>(371,7)</v>
      </c>
      <c r="N373" s="17">
        <f>COUNTIFS(Sheet1!$C:$C,Feuil1!N$1,Sheet1!$D:$D,Feuil1!$C373)</f>
        <v>0</v>
      </c>
      <c r="O373" s="6">
        <f t="shared" si="64"/>
        <v>794</v>
      </c>
      <c r="P373" s="18" t="str">
        <f t="shared" si="59"/>
        <v>(371,794)</v>
      </c>
    </row>
    <row r="374" spans="1:16" hidden="1" x14ac:dyDescent="0.2">
      <c r="A374" s="4">
        <f t="shared" si="65"/>
        <v>372</v>
      </c>
      <c r="B374" s="4"/>
      <c r="C374" s="7">
        <f t="shared" si="66"/>
        <v>45602</v>
      </c>
      <c r="D374" s="11" t="str">
        <f t="shared" si="60"/>
        <v>{2024-11-06},</v>
      </c>
      <c r="E374" s="17">
        <f>COUNTIFS(Sheet1!$C:$C,Feuil1!E$1,Sheet1!$D:$D,Feuil1!$C374)</f>
        <v>4</v>
      </c>
      <c r="F374" s="6">
        <f t="shared" si="67"/>
        <v>64</v>
      </c>
      <c r="G374" s="18" t="str">
        <f t="shared" si="61"/>
        <v>(372,64)</v>
      </c>
      <c r="H374" s="17">
        <f>COUNTIFS(Sheet1!$C:$C,Feuil1!H$1,Sheet1!$D:$D,Feuil1!$C374)</f>
        <v>0</v>
      </c>
      <c r="I374" s="6">
        <f t="shared" si="62"/>
        <v>30</v>
      </c>
      <c r="J374" s="18" t="str">
        <f t="shared" si="57"/>
        <v>(372,30)</v>
      </c>
      <c r="K374" s="17">
        <f>COUNTIFS(Sheet1!$C:$C,Feuil1!K$1,Sheet1!$D:$D,Feuil1!$C374)</f>
        <v>0</v>
      </c>
      <c r="L374" s="6">
        <f t="shared" si="63"/>
        <v>7</v>
      </c>
      <c r="M374" s="18" t="str">
        <f t="shared" si="58"/>
        <v>(372,7)</v>
      </c>
      <c r="N374" s="17">
        <f>COUNTIFS(Sheet1!$C:$C,Feuil1!N$1,Sheet1!$D:$D,Feuil1!$C374)</f>
        <v>0</v>
      </c>
      <c r="O374" s="6">
        <f t="shared" si="64"/>
        <v>794</v>
      </c>
      <c r="P374" s="18" t="str">
        <f t="shared" si="59"/>
        <v>(372,794)</v>
      </c>
    </row>
    <row r="375" spans="1:16" hidden="1" x14ac:dyDescent="0.2">
      <c r="A375" s="4">
        <f t="shared" si="65"/>
        <v>373</v>
      </c>
      <c r="B375" s="4"/>
      <c r="C375" s="7">
        <f t="shared" si="66"/>
        <v>45603</v>
      </c>
      <c r="D375" s="11" t="str">
        <f t="shared" si="60"/>
        <v>{2024-11-07},</v>
      </c>
      <c r="E375" s="17">
        <f>COUNTIFS(Sheet1!$C:$C,Feuil1!E$1,Sheet1!$D:$D,Feuil1!$C375)</f>
        <v>1</v>
      </c>
      <c r="F375" s="6">
        <f t="shared" si="67"/>
        <v>65</v>
      </c>
      <c r="G375" s="18" t="str">
        <f t="shared" si="61"/>
        <v>(373,65)</v>
      </c>
      <c r="H375" s="17">
        <f>COUNTIFS(Sheet1!$C:$C,Feuil1!H$1,Sheet1!$D:$D,Feuil1!$C375)</f>
        <v>0</v>
      </c>
      <c r="I375" s="6">
        <f t="shared" si="62"/>
        <v>30</v>
      </c>
      <c r="J375" s="18" t="str">
        <f t="shared" si="57"/>
        <v>(373,30)</v>
      </c>
      <c r="K375" s="17">
        <f>COUNTIFS(Sheet1!$C:$C,Feuil1!K$1,Sheet1!$D:$D,Feuil1!$C375)</f>
        <v>0</v>
      </c>
      <c r="L375" s="6">
        <f t="shared" si="63"/>
        <v>7</v>
      </c>
      <c r="M375" s="18" t="str">
        <f t="shared" si="58"/>
        <v>(373,7)</v>
      </c>
      <c r="N375" s="17">
        <f>COUNTIFS(Sheet1!$C:$C,Feuil1!N$1,Sheet1!$D:$D,Feuil1!$C375)</f>
        <v>0</v>
      </c>
      <c r="O375" s="6">
        <f t="shared" si="64"/>
        <v>794</v>
      </c>
      <c r="P375" s="18" t="str">
        <f t="shared" si="59"/>
        <v>(373,794)</v>
      </c>
    </row>
    <row r="376" spans="1:16" hidden="1" x14ac:dyDescent="0.2">
      <c r="A376" s="4">
        <f t="shared" si="65"/>
        <v>374</v>
      </c>
      <c r="B376" s="4"/>
      <c r="C376" s="7">
        <f t="shared" si="66"/>
        <v>45604</v>
      </c>
      <c r="D376" s="11" t="str">
        <f t="shared" si="60"/>
        <v>{2024-11-08},</v>
      </c>
      <c r="E376" s="17">
        <f>COUNTIFS(Sheet1!$C:$C,Feuil1!E$1,Sheet1!$D:$D,Feuil1!$C376)</f>
        <v>3</v>
      </c>
      <c r="F376" s="6">
        <f t="shared" si="67"/>
        <v>68</v>
      </c>
      <c r="G376" s="18" t="str">
        <f t="shared" si="61"/>
        <v>(374,68)</v>
      </c>
      <c r="H376" s="17">
        <f>COUNTIFS(Sheet1!$C:$C,Feuil1!H$1,Sheet1!$D:$D,Feuil1!$C376)</f>
        <v>0</v>
      </c>
      <c r="I376" s="6">
        <f t="shared" si="62"/>
        <v>30</v>
      </c>
      <c r="J376" s="18" t="str">
        <f t="shared" si="57"/>
        <v>(374,30)</v>
      </c>
      <c r="K376" s="17">
        <f>COUNTIFS(Sheet1!$C:$C,Feuil1!K$1,Sheet1!$D:$D,Feuil1!$C376)</f>
        <v>0</v>
      </c>
      <c r="L376" s="6">
        <f t="shared" si="63"/>
        <v>7</v>
      </c>
      <c r="M376" s="18" t="str">
        <f t="shared" si="58"/>
        <v>(374,7)</v>
      </c>
      <c r="N376" s="17">
        <f>COUNTIFS(Sheet1!$C:$C,Feuil1!N$1,Sheet1!$D:$D,Feuil1!$C376)</f>
        <v>0</v>
      </c>
      <c r="O376" s="6">
        <f t="shared" si="64"/>
        <v>794</v>
      </c>
      <c r="P376" s="18" t="str">
        <f t="shared" si="59"/>
        <v>(374,794)</v>
      </c>
    </row>
    <row r="377" spans="1:16" hidden="1" x14ac:dyDescent="0.2">
      <c r="A377" s="4">
        <f t="shared" si="65"/>
        <v>375</v>
      </c>
      <c r="B377" s="4"/>
      <c r="C377" s="7">
        <f t="shared" si="66"/>
        <v>45605</v>
      </c>
      <c r="D377" s="11" t="str">
        <f t="shared" si="60"/>
        <v>{2024-11-09},</v>
      </c>
      <c r="E377" s="17">
        <f>COUNTIFS(Sheet1!$C:$C,Feuil1!E$1,Sheet1!$D:$D,Feuil1!$C377)</f>
        <v>5</v>
      </c>
      <c r="F377" s="6">
        <f t="shared" si="67"/>
        <v>73</v>
      </c>
      <c r="G377" s="18" t="str">
        <f t="shared" si="61"/>
        <v>(375,73)</v>
      </c>
      <c r="H377" s="17">
        <f>COUNTIFS(Sheet1!$C:$C,Feuil1!H$1,Sheet1!$D:$D,Feuil1!$C377)</f>
        <v>0</v>
      </c>
      <c r="I377" s="6">
        <f t="shared" si="62"/>
        <v>30</v>
      </c>
      <c r="J377" s="18" t="str">
        <f t="shared" si="57"/>
        <v>(375,30)</v>
      </c>
      <c r="K377" s="17">
        <f>COUNTIFS(Sheet1!$C:$C,Feuil1!K$1,Sheet1!$D:$D,Feuil1!$C377)</f>
        <v>0</v>
      </c>
      <c r="L377" s="6">
        <f t="shared" si="63"/>
        <v>7</v>
      </c>
      <c r="M377" s="18" t="str">
        <f t="shared" si="58"/>
        <v>(375,7)</v>
      </c>
      <c r="N377" s="17">
        <f>COUNTIFS(Sheet1!$C:$C,Feuil1!N$1,Sheet1!$D:$D,Feuil1!$C377)</f>
        <v>0</v>
      </c>
      <c r="O377" s="6">
        <f t="shared" si="64"/>
        <v>794</v>
      </c>
      <c r="P377" s="18" t="str">
        <f t="shared" si="59"/>
        <v>(375,794)</v>
      </c>
    </row>
    <row r="378" spans="1:16" hidden="1" x14ac:dyDescent="0.2">
      <c r="A378" s="4">
        <f t="shared" si="65"/>
        <v>376</v>
      </c>
      <c r="B378" s="4"/>
      <c r="C378" s="7">
        <f t="shared" si="66"/>
        <v>45606</v>
      </c>
      <c r="D378" s="11" t="str">
        <f t="shared" si="60"/>
        <v>{2024-11-10},</v>
      </c>
      <c r="E378" s="17">
        <f>COUNTIFS(Sheet1!$C:$C,Feuil1!E$1,Sheet1!$D:$D,Feuil1!$C378)</f>
        <v>2</v>
      </c>
      <c r="F378" s="6">
        <f t="shared" si="67"/>
        <v>75</v>
      </c>
      <c r="G378" s="18" t="str">
        <f t="shared" si="61"/>
        <v>(376,75)</v>
      </c>
      <c r="H378" s="17">
        <f>COUNTIFS(Sheet1!$C:$C,Feuil1!H$1,Sheet1!$D:$D,Feuil1!$C378)</f>
        <v>0</v>
      </c>
      <c r="I378" s="6">
        <f t="shared" si="62"/>
        <v>30</v>
      </c>
      <c r="J378" s="18" t="str">
        <f t="shared" si="57"/>
        <v>(376,30)</v>
      </c>
      <c r="K378" s="17">
        <f>COUNTIFS(Sheet1!$C:$C,Feuil1!K$1,Sheet1!$D:$D,Feuil1!$C378)</f>
        <v>0</v>
      </c>
      <c r="L378" s="6">
        <f t="shared" si="63"/>
        <v>7</v>
      </c>
      <c r="M378" s="18" t="str">
        <f t="shared" si="58"/>
        <v>(376,7)</v>
      </c>
      <c r="N378" s="17">
        <f>COUNTIFS(Sheet1!$C:$C,Feuil1!N$1,Sheet1!$D:$D,Feuil1!$C378)</f>
        <v>0</v>
      </c>
      <c r="O378" s="6">
        <f t="shared" si="64"/>
        <v>794</v>
      </c>
      <c r="P378" s="18" t="str">
        <f t="shared" si="59"/>
        <v>(376,794)</v>
      </c>
    </row>
    <row r="379" spans="1:16" hidden="1" x14ac:dyDescent="0.2">
      <c r="A379" s="4">
        <f t="shared" si="65"/>
        <v>377</v>
      </c>
      <c r="B379" s="4"/>
      <c r="C379" s="7">
        <f t="shared" si="66"/>
        <v>45607</v>
      </c>
      <c r="D379" s="11" t="str">
        <f t="shared" si="60"/>
        <v>{2024-11-11},</v>
      </c>
      <c r="E379" s="17">
        <f>COUNTIFS(Sheet1!$C:$C,Feuil1!E$1,Sheet1!$D:$D,Feuil1!$C379)</f>
        <v>1</v>
      </c>
      <c r="F379" s="6">
        <f t="shared" si="67"/>
        <v>76</v>
      </c>
      <c r="G379" s="18" t="str">
        <f t="shared" si="61"/>
        <v>(377,76)</v>
      </c>
      <c r="H379" s="17">
        <f>COUNTIFS(Sheet1!$C:$C,Feuil1!H$1,Sheet1!$D:$D,Feuil1!$C379)</f>
        <v>0</v>
      </c>
      <c r="I379" s="6">
        <f t="shared" si="62"/>
        <v>30</v>
      </c>
      <c r="J379" s="18" t="str">
        <f t="shared" si="57"/>
        <v>(377,30)</v>
      </c>
      <c r="K379" s="17">
        <f>COUNTIFS(Sheet1!$C:$C,Feuil1!K$1,Sheet1!$D:$D,Feuil1!$C379)</f>
        <v>0</v>
      </c>
      <c r="L379" s="6">
        <f t="shared" si="63"/>
        <v>7</v>
      </c>
      <c r="M379" s="18" t="str">
        <f t="shared" si="58"/>
        <v>(377,7)</v>
      </c>
      <c r="N379" s="17">
        <f>COUNTIFS(Sheet1!$C:$C,Feuil1!N$1,Sheet1!$D:$D,Feuil1!$C379)</f>
        <v>0</v>
      </c>
      <c r="O379" s="6">
        <f t="shared" si="64"/>
        <v>794</v>
      </c>
      <c r="P379" s="18" t="str">
        <f t="shared" si="59"/>
        <v>(377,794)</v>
      </c>
    </row>
    <row r="380" spans="1:16" hidden="1" x14ac:dyDescent="0.2">
      <c r="A380" s="4">
        <f t="shared" si="65"/>
        <v>378</v>
      </c>
      <c r="B380" s="4"/>
      <c r="C380" s="7">
        <f t="shared" si="66"/>
        <v>45608</v>
      </c>
      <c r="D380" s="11" t="str">
        <f t="shared" si="60"/>
        <v>{2024-11-12},</v>
      </c>
      <c r="E380" s="17">
        <f>COUNTIFS(Sheet1!$C:$C,Feuil1!E$1,Sheet1!$D:$D,Feuil1!$C380)</f>
        <v>2</v>
      </c>
      <c r="F380" s="6">
        <f t="shared" si="67"/>
        <v>78</v>
      </c>
      <c r="G380" s="18" t="str">
        <f t="shared" si="61"/>
        <v>(378,78)</v>
      </c>
      <c r="H380" s="17">
        <f>COUNTIFS(Sheet1!$C:$C,Feuil1!H$1,Sheet1!$D:$D,Feuil1!$C380)</f>
        <v>0</v>
      </c>
      <c r="I380" s="6">
        <f t="shared" si="62"/>
        <v>30</v>
      </c>
      <c r="J380" s="18" t="str">
        <f t="shared" si="57"/>
        <v>(378,30)</v>
      </c>
      <c r="K380" s="17">
        <f>COUNTIFS(Sheet1!$C:$C,Feuil1!K$1,Sheet1!$D:$D,Feuil1!$C380)</f>
        <v>0</v>
      </c>
      <c r="L380" s="6">
        <f t="shared" si="63"/>
        <v>7</v>
      </c>
      <c r="M380" s="18" t="str">
        <f t="shared" si="58"/>
        <v>(378,7)</v>
      </c>
      <c r="N380" s="17">
        <f>COUNTIFS(Sheet1!$C:$C,Feuil1!N$1,Sheet1!$D:$D,Feuil1!$C380)</f>
        <v>0</v>
      </c>
      <c r="O380" s="6">
        <f t="shared" si="64"/>
        <v>794</v>
      </c>
      <c r="P380" s="18" t="str">
        <f t="shared" si="59"/>
        <v>(378,794)</v>
      </c>
    </row>
    <row r="381" spans="1:16" hidden="1" x14ac:dyDescent="0.2">
      <c r="A381" s="4">
        <f t="shared" si="65"/>
        <v>379</v>
      </c>
      <c r="B381" s="4"/>
      <c r="C381" s="7">
        <f t="shared" si="66"/>
        <v>45609</v>
      </c>
      <c r="D381" s="11" t="str">
        <f t="shared" si="60"/>
        <v>{2024-11-13},</v>
      </c>
      <c r="E381" s="17">
        <f>COUNTIFS(Sheet1!$C:$C,Feuil1!E$1,Sheet1!$D:$D,Feuil1!$C381)</f>
        <v>4</v>
      </c>
      <c r="F381" s="6">
        <f t="shared" si="67"/>
        <v>82</v>
      </c>
      <c r="G381" s="18" t="str">
        <f t="shared" si="61"/>
        <v>(379,82)</v>
      </c>
      <c r="H381" s="17">
        <f>COUNTIFS(Sheet1!$C:$C,Feuil1!H$1,Sheet1!$D:$D,Feuil1!$C381)</f>
        <v>1</v>
      </c>
      <c r="I381" s="6">
        <f t="shared" si="62"/>
        <v>31</v>
      </c>
      <c r="J381" s="18" t="str">
        <f t="shared" si="57"/>
        <v>(379,31)</v>
      </c>
      <c r="K381" s="17">
        <f>COUNTIFS(Sheet1!$C:$C,Feuil1!K$1,Sheet1!$D:$D,Feuil1!$C381)</f>
        <v>0</v>
      </c>
      <c r="L381" s="6">
        <f t="shared" si="63"/>
        <v>7</v>
      </c>
      <c r="M381" s="18" t="str">
        <f t="shared" si="58"/>
        <v>(379,7)</v>
      </c>
      <c r="N381" s="17">
        <f>COUNTIFS(Sheet1!$C:$C,Feuil1!N$1,Sheet1!$D:$D,Feuil1!$C381)</f>
        <v>0</v>
      </c>
      <c r="O381" s="6">
        <f t="shared" si="64"/>
        <v>794</v>
      </c>
      <c r="P381" s="18" t="str">
        <f t="shared" si="59"/>
        <v>(379,794)</v>
      </c>
    </row>
    <row r="382" spans="1:16" hidden="1" x14ac:dyDescent="0.2">
      <c r="A382" s="4">
        <f t="shared" si="65"/>
        <v>380</v>
      </c>
      <c r="B382" s="4"/>
      <c r="C382" s="7">
        <f t="shared" si="66"/>
        <v>45610</v>
      </c>
      <c r="D382" s="11" t="str">
        <f t="shared" si="60"/>
        <v>{2024-11-14},</v>
      </c>
      <c r="E382" s="17">
        <f>COUNTIFS(Sheet1!$C:$C,Feuil1!E$1,Sheet1!$D:$D,Feuil1!$C382)</f>
        <v>0</v>
      </c>
      <c r="F382" s="6">
        <f t="shared" si="67"/>
        <v>82</v>
      </c>
      <c r="G382" s="18" t="str">
        <f t="shared" si="61"/>
        <v>(380,82)</v>
      </c>
      <c r="H382" s="17">
        <f>COUNTIFS(Sheet1!$C:$C,Feuil1!H$1,Sheet1!$D:$D,Feuil1!$C382)</f>
        <v>0</v>
      </c>
      <c r="I382" s="6">
        <f t="shared" si="62"/>
        <v>31</v>
      </c>
      <c r="J382" s="18" t="str">
        <f t="shared" si="57"/>
        <v>(380,31)</v>
      </c>
      <c r="K382" s="17">
        <f>COUNTIFS(Sheet1!$C:$C,Feuil1!K$1,Sheet1!$D:$D,Feuil1!$C382)</f>
        <v>0</v>
      </c>
      <c r="L382" s="6">
        <f t="shared" si="63"/>
        <v>7</v>
      </c>
      <c r="M382" s="18" t="str">
        <f t="shared" si="58"/>
        <v>(380,7)</v>
      </c>
      <c r="N382" s="17">
        <f>COUNTIFS(Sheet1!$C:$C,Feuil1!N$1,Sheet1!$D:$D,Feuil1!$C382)</f>
        <v>0</v>
      </c>
      <c r="O382" s="6">
        <f t="shared" si="64"/>
        <v>794</v>
      </c>
      <c r="P382" s="18" t="str">
        <f t="shared" si="59"/>
        <v>(380,794)</v>
      </c>
    </row>
    <row r="383" spans="1:16" hidden="1" x14ac:dyDescent="0.2">
      <c r="A383" s="4">
        <f t="shared" si="65"/>
        <v>381</v>
      </c>
      <c r="B383" s="4"/>
      <c r="C383" s="7">
        <f t="shared" si="66"/>
        <v>45611</v>
      </c>
      <c r="D383" s="11" t="str">
        <f t="shared" si="60"/>
        <v>{2024-11-15},</v>
      </c>
      <c r="E383" s="17">
        <f>COUNTIFS(Sheet1!$C:$C,Feuil1!E$1,Sheet1!$D:$D,Feuil1!$C383)</f>
        <v>0</v>
      </c>
      <c r="F383" s="6">
        <f t="shared" si="67"/>
        <v>82</v>
      </c>
      <c r="G383" s="18" t="str">
        <f t="shared" si="61"/>
        <v>(381,82)</v>
      </c>
      <c r="H383" s="17">
        <f>COUNTIFS(Sheet1!$C:$C,Feuil1!H$1,Sheet1!$D:$D,Feuil1!$C383)</f>
        <v>0</v>
      </c>
      <c r="I383" s="6">
        <f t="shared" si="62"/>
        <v>31</v>
      </c>
      <c r="J383" s="18" t="str">
        <f t="shared" si="57"/>
        <v>(381,31)</v>
      </c>
      <c r="K383" s="17">
        <f>COUNTIFS(Sheet1!$C:$C,Feuil1!K$1,Sheet1!$D:$D,Feuil1!$C383)</f>
        <v>0</v>
      </c>
      <c r="L383" s="6">
        <f t="shared" si="63"/>
        <v>7</v>
      </c>
      <c r="M383" s="18" t="str">
        <f t="shared" si="58"/>
        <v>(381,7)</v>
      </c>
      <c r="N383" s="17">
        <f>COUNTIFS(Sheet1!$C:$C,Feuil1!N$1,Sheet1!$D:$D,Feuil1!$C383)</f>
        <v>0</v>
      </c>
      <c r="O383" s="6">
        <f t="shared" si="64"/>
        <v>794</v>
      </c>
      <c r="P383" s="18" t="str">
        <f t="shared" si="59"/>
        <v>(381,794)</v>
      </c>
    </row>
    <row r="384" spans="1:16" hidden="1" x14ac:dyDescent="0.2">
      <c r="A384" s="4">
        <f t="shared" si="65"/>
        <v>382</v>
      </c>
      <c r="B384" s="4"/>
      <c r="C384" s="7">
        <f t="shared" si="66"/>
        <v>45612</v>
      </c>
      <c r="D384" s="11" t="str">
        <f t="shared" si="60"/>
        <v>{2024-11-16},</v>
      </c>
      <c r="E384" s="17">
        <f>COUNTIFS(Sheet1!$C:$C,Feuil1!E$1,Sheet1!$D:$D,Feuil1!$C384)</f>
        <v>1</v>
      </c>
      <c r="F384" s="6">
        <f t="shared" si="67"/>
        <v>83</v>
      </c>
      <c r="G384" s="18" t="str">
        <f t="shared" si="61"/>
        <v>(382,83)</v>
      </c>
      <c r="H384" s="17">
        <f>COUNTIFS(Sheet1!$C:$C,Feuil1!H$1,Sheet1!$D:$D,Feuil1!$C384)</f>
        <v>0</v>
      </c>
      <c r="I384" s="6">
        <f t="shared" si="62"/>
        <v>31</v>
      </c>
      <c r="J384" s="18" t="str">
        <f t="shared" si="57"/>
        <v>(382,31)</v>
      </c>
      <c r="K384" s="17">
        <f>COUNTIFS(Sheet1!$C:$C,Feuil1!K$1,Sheet1!$D:$D,Feuil1!$C384)</f>
        <v>0</v>
      </c>
      <c r="L384" s="6">
        <f t="shared" si="63"/>
        <v>7</v>
      </c>
      <c r="M384" s="18" t="str">
        <f t="shared" si="58"/>
        <v>(382,7)</v>
      </c>
      <c r="N384" s="17">
        <f>COUNTIFS(Sheet1!$C:$C,Feuil1!N$1,Sheet1!$D:$D,Feuil1!$C384)</f>
        <v>2</v>
      </c>
      <c r="O384" s="6">
        <f t="shared" si="64"/>
        <v>796</v>
      </c>
      <c r="P384" s="18" t="str">
        <f t="shared" si="59"/>
        <v>(382,796)</v>
      </c>
    </row>
    <row r="385" spans="1:16" hidden="1" x14ac:dyDescent="0.2">
      <c r="A385" s="4">
        <f t="shared" si="65"/>
        <v>383</v>
      </c>
      <c r="B385" s="4"/>
      <c r="C385" s="7">
        <f t="shared" si="66"/>
        <v>45613</v>
      </c>
      <c r="D385" s="11" t="str">
        <f t="shared" si="60"/>
        <v>{2024-11-17},</v>
      </c>
      <c r="E385" s="17">
        <f>COUNTIFS(Sheet1!$C:$C,Feuil1!E$1,Sheet1!$D:$D,Feuil1!$C385)</f>
        <v>3</v>
      </c>
      <c r="F385" s="6">
        <f t="shared" si="67"/>
        <v>86</v>
      </c>
      <c r="G385" s="18" t="str">
        <f t="shared" si="61"/>
        <v>(383,86)</v>
      </c>
      <c r="H385" s="17">
        <f>COUNTIFS(Sheet1!$C:$C,Feuil1!H$1,Sheet1!$D:$D,Feuil1!$C385)</f>
        <v>0</v>
      </c>
      <c r="I385" s="6">
        <f t="shared" si="62"/>
        <v>31</v>
      </c>
      <c r="J385" s="18" t="str">
        <f t="shared" si="57"/>
        <v>(383,31)</v>
      </c>
      <c r="K385" s="17">
        <f>COUNTIFS(Sheet1!$C:$C,Feuil1!K$1,Sheet1!$D:$D,Feuil1!$C385)</f>
        <v>0</v>
      </c>
      <c r="L385" s="6">
        <f t="shared" si="63"/>
        <v>7</v>
      </c>
      <c r="M385" s="18" t="str">
        <f t="shared" si="58"/>
        <v>(383,7)</v>
      </c>
      <c r="N385" s="17">
        <f>COUNTIFS(Sheet1!$C:$C,Feuil1!N$1,Sheet1!$D:$D,Feuil1!$C385)</f>
        <v>0</v>
      </c>
      <c r="O385" s="6">
        <f t="shared" si="64"/>
        <v>796</v>
      </c>
      <c r="P385" s="18" t="str">
        <f t="shared" si="59"/>
        <v>(383,796)</v>
      </c>
    </row>
    <row r="386" spans="1:16" hidden="1" x14ac:dyDescent="0.2">
      <c r="A386" s="4">
        <f t="shared" si="65"/>
        <v>384</v>
      </c>
      <c r="B386" s="4"/>
      <c r="C386" s="7">
        <f t="shared" si="66"/>
        <v>45614</v>
      </c>
      <c r="D386" s="11" t="str">
        <f t="shared" si="60"/>
        <v>{2024-11-18},</v>
      </c>
      <c r="E386" s="17">
        <f>COUNTIFS(Sheet1!$C:$C,Feuil1!E$1,Sheet1!$D:$D,Feuil1!$C386)</f>
        <v>2</v>
      </c>
      <c r="F386" s="6">
        <f t="shared" si="67"/>
        <v>88</v>
      </c>
      <c r="G386" s="18" t="str">
        <f t="shared" si="61"/>
        <v>(384,88)</v>
      </c>
      <c r="H386" s="17">
        <f>COUNTIFS(Sheet1!$C:$C,Feuil1!H$1,Sheet1!$D:$D,Feuil1!$C386)</f>
        <v>0</v>
      </c>
      <c r="I386" s="6">
        <f t="shared" si="62"/>
        <v>31</v>
      </c>
      <c r="J386" s="18" t="str">
        <f t="shared" si="57"/>
        <v>(384,31)</v>
      </c>
      <c r="K386" s="17">
        <f>COUNTIFS(Sheet1!$C:$C,Feuil1!K$1,Sheet1!$D:$D,Feuil1!$C386)</f>
        <v>0</v>
      </c>
      <c r="L386" s="6">
        <f t="shared" si="63"/>
        <v>7</v>
      </c>
      <c r="M386" s="18" t="str">
        <f t="shared" si="58"/>
        <v>(384,7)</v>
      </c>
      <c r="N386" s="17">
        <f>COUNTIFS(Sheet1!$C:$C,Feuil1!N$1,Sheet1!$D:$D,Feuil1!$C386)</f>
        <v>0</v>
      </c>
      <c r="O386" s="6">
        <f t="shared" si="64"/>
        <v>796</v>
      </c>
      <c r="P386" s="18" t="str">
        <f t="shared" si="59"/>
        <v>(384,796)</v>
      </c>
    </row>
    <row r="387" spans="1:16" hidden="1" x14ac:dyDescent="0.2">
      <c r="A387" s="4">
        <f t="shared" si="65"/>
        <v>385</v>
      </c>
      <c r="B387" s="4"/>
      <c r="C387" s="7">
        <f t="shared" si="66"/>
        <v>45615</v>
      </c>
      <c r="D387" s="11" t="str">
        <f t="shared" si="60"/>
        <v>{2024-11-19},</v>
      </c>
      <c r="E387" s="17">
        <f>COUNTIFS(Sheet1!$C:$C,Feuil1!E$1,Sheet1!$D:$D,Feuil1!$C387)</f>
        <v>2</v>
      </c>
      <c r="F387" s="6">
        <f t="shared" si="67"/>
        <v>90</v>
      </c>
      <c r="G387" s="18" t="str">
        <f t="shared" si="61"/>
        <v>(385,90)</v>
      </c>
      <c r="H387" s="17">
        <f>COUNTIFS(Sheet1!$C:$C,Feuil1!H$1,Sheet1!$D:$D,Feuil1!$C387)</f>
        <v>0</v>
      </c>
      <c r="I387" s="6">
        <f t="shared" si="62"/>
        <v>31</v>
      </c>
      <c r="J387" s="18" t="str">
        <f t="shared" ref="J387:J450" si="68">_xlfn.CONCAT("(",$A387,",",I387,")")</f>
        <v>(385,31)</v>
      </c>
      <c r="K387" s="17">
        <f>COUNTIFS(Sheet1!$C:$C,Feuil1!K$1,Sheet1!$D:$D,Feuil1!$C387)</f>
        <v>0</v>
      </c>
      <c r="L387" s="6">
        <f t="shared" si="63"/>
        <v>7</v>
      </c>
      <c r="M387" s="18" t="str">
        <f t="shared" ref="M387:M450" si="69">_xlfn.CONCAT("(",$A387,",",L387,")")</f>
        <v>(385,7)</v>
      </c>
      <c r="N387" s="17">
        <f>COUNTIFS(Sheet1!$C:$C,Feuil1!N$1,Sheet1!$D:$D,Feuil1!$C387)</f>
        <v>0</v>
      </c>
      <c r="O387" s="6">
        <f t="shared" si="64"/>
        <v>796</v>
      </c>
      <c r="P387" s="18" t="str">
        <f t="shared" ref="P387:P450" si="70">_xlfn.CONCAT("(",$A387,",",O387,")")</f>
        <v>(385,796)</v>
      </c>
    </row>
    <row r="388" spans="1:16" hidden="1" x14ac:dyDescent="0.2">
      <c r="A388" s="4">
        <f t="shared" si="65"/>
        <v>386</v>
      </c>
      <c r="B388" s="4"/>
      <c r="C388" s="7">
        <f t="shared" si="66"/>
        <v>45616</v>
      </c>
      <c r="D388" s="11" t="str">
        <f t="shared" ref="D388:D451" si="71">_xlfn.CONCAT("{",TEXT(C388,"aaaa-mm-dd"),"},")</f>
        <v>{2024-11-20},</v>
      </c>
      <c r="E388" s="17">
        <f>COUNTIFS(Sheet1!$C:$C,Feuil1!E$1,Sheet1!$D:$D,Feuil1!$C388)</f>
        <v>4</v>
      </c>
      <c r="F388" s="6">
        <f t="shared" si="67"/>
        <v>94</v>
      </c>
      <c r="G388" s="18" t="str">
        <f t="shared" ref="G388:G451" si="72">_xlfn.CONCAT("(",$A388,",",F388,")")</f>
        <v>(386,94)</v>
      </c>
      <c r="H388" s="17">
        <f>COUNTIFS(Sheet1!$C:$C,Feuil1!H$1,Sheet1!$D:$D,Feuil1!$C388)</f>
        <v>0</v>
      </c>
      <c r="I388" s="6">
        <f t="shared" ref="I388:I451" si="73">I387+H388</f>
        <v>31</v>
      </c>
      <c r="J388" s="18" t="str">
        <f t="shared" si="68"/>
        <v>(386,31)</v>
      </c>
      <c r="K388" s="17">
        <f>COUNTIFS(Sheet1!$C:$C,Feuil1!K$1,Sheet1!$D:$D,Feuil1!$C388)</f>
        <v>0</v>
      </c>
      <c r="L388" s="6">
        <f t="shared" ref="L388:L451" si="74">L387+K388</f>
        <v>7</v>
      </c>
      <c r="M388" s="18" t="str">
        <f t="shared" si="69"/>
        <v>(386,7)</v>
      </c>
      <c r="N388" s="17">
        <f>COUNTIFS(Sheet1!$C:$C,Feuil1!N$1,Sheet1!$D:$D,Feuil1!$C388)</f>
        <v>0</v>
      </c>
      <c r="O388" s="6">
        <f t="shared" ref="O388:O451" si="75">O387+N388</f>
        <v>796</v>
      </c>
      <c r="P388" s="18" t="str">
        <f t="shared" si="70"/>
        <v>(386,796)</v>
      </c>
    </row>
    <row r="389" spans="1:16" hidden="1" x14ac:dyDescent="0.2">
      <c r="A389" s="4">
        <f t="shared" ref="A389:A452" si="76">A388+1</f>
        <v>387</v>
      </c>
      <c r="B389" s="4"/>
      <c r="C389" s="7">
        <f t="shared" ref="C389:C452" si="77">C388+1</f>
        <v>45617</v>
      </c>
      <c r="D389" s="11" t="str">
        <f t="shared" si="71"/>
        <v>{2024-11-21},</v>
      </c>
      <c r="E389" s="17">
        <f>COUNTIFS(Sheet1!$C:$C,Feuil1!E$1,Sheet1!$D:$D,Feuil1!$C389)</f>
        <v>0</v>
      </c>
      <c r="F389" s="6">
        <f t="shared" ref="F389:F452" si="78">F388+E389</f>
        <v>94</v>
      </c>
      <c r="G389" s="18" t="str">
        <f t="shared" si="72"/>
        <v>(387,94)</v>
      </c>
      <c r="H389" s="17">
        <f>COUNTIFS(Sheet1!$C:$C,Feuil1!H$1,Sheet1!$D:$D,Feuil1!$C389)</f>
        <v>0</v>
      </c>
      <c r="I389" s="6">
        <f t="shared" si="73"/>
        <v>31</v>
      </c>
      <c r="J389" s="18" t="str">
        <f t="shared" si="68"/>
        <v>(387,31)</v>
      </c>
      <c r="K389" s="17">
        <f>COUNTIFS(Sheet1!$C:$C,Feuil1!K$1,Sheet1!$D:$D,Feuil1!$C389)</f>
        <v>0</v>
      </c>
      <c r="L389" s="6">
        <f t="shared" si="74"/>
        <v>7</v>
      </c>
      <c r="M389" s="18" t="str">
        <f t="shared" si="69"/>
        <v>(387,7)</v>
      </c>
      <c r="N389" s="17">
        <f>COUNTIFS(Sheet1!$C:$C,Feuil1!N$1,Sheet1!$D:$D,Feuil1!$C389)</f>
        <v>0</v>
      </c>
      <c r="O389" s="6">
        <f t="shared" si="75"/>
        <v>796</v>
      </c>
      <c r="P389" s="18" t="str">
        <f t="shared" si="70"/>
        <v>(387,796)</v>
      </c>
    </row>
    <row r="390" spans="1:16" hidden="1" x14ac:dyDescent="0.2">
      <c r="A390" s="4">
        <f t="shared" si="76"/>
        <v>388</v>
      </c>
      <c r="B390" s="4"/>
      <c r="C390" s="7">
        <f t="shared" si="77"/>
        <v>45618</v>
      </c>
      <c r="D390" s="11" t="str">
        <f t="shared" si="71"/>
        <v>{2024-11-22},</v>
      </c>
      <c r="E390" s="17">
        <f>COUNTIFS(Sheet1!$C:$C,Feuil1!E$1,Sheet1!$D:$D,Feuil1!$C390)</f>
        <v>1</v>
      </c>
      <c r="F390" s="6">
        <f t="shared" si="78"/>
        <v>95</v>
      </c>
      <c r="G390" s="18" t="str">
        <f t="shared" si="72"/>
        <v>(388,95)</v>
      </c>
      <c r="H390" s="17">
        <f>COUNTIFS(Sheet1!$C:$C,Feuil1!H$1,Sheet1!$D:$D,Feuil1!$C390)</f>
        <v>0</v>
      </c>
      <c r="I390" s="6">
        <f t="shared" si="73"/>
        <v>31</v>
      </c>
      <c r="J390" s="18" t="str">
        <f t="shared" si="68"/>
        <v>(388,31)</v>
      </c>
      <c r="K390" s="17">
        <f>COUNTIFS(Sheet1!$C:$C,Feuil1!K$1,Sheet1!$D:$D,Feuil1!$C390)</f>
        <v>0</v>
      </c>
      <c r="L390" s="6">
        <f t="shared" si="74"/>
        <v>7</v>
      </c>
      <c r="M390" s="18" t="str">
        <f t="shared" si="69"/>
        <v>(388,7)</v>
      </c>
      <c r="N390" s="17">
        <f>COUNTIFS(Sheet1!$C:$C,Feuil1!N$1,Sheet1!$D:$D,Feuil1!$C390)</f>
        <v>0</v>
      </c>
      <c r="O390" s="6">
        <f t="shared" si="75"/>
        <v>796</v>
      </c>
      <c r="P390" s="18" t="str">
        <f t="shared" si="70"/>
        <v>(388,796)</v>
      </c>
    </row>
    <row r="391" spans="1:16" hidden="1" x14ac:dyDescent="0.2">
      <c r="A391" s="4">
        <f t="shared" si="76"/>
        <v>389</v>
      </c>
      <c r="B391" s="4"/>
      <c r="C391" s="7">
        <f t="shared" si="77"/>
        <v>45619</v>
      </c>
      <c r="D391" s="11" t="str">
        <f t="shared" si="71"/>
        <v>{2024-11-23},</v>
      </c>
      <c r="E391" s="17">
        <f>COUNTIFS(Sheet1!$C:$C,Feuil1!E$1,Sheet1!$D:$D,Feuil1!$C391)</f>
        <v>4</v>
      </c>
      <c r="F391" s="6">
        <f t="shared" si="78"/>
        <v>99</v>
      </c>
      <c r="G391" s="18" t="str">
        <f t="shared" si="72"/>
        <v>(389,99)</v>
      </c>
      <c r="H391" s="17">
        <f>COUNTIFS(Sheet1!$C:$C,Feuil1!H$1,Sheet1!$D:$D,Feuil1!$C391)</f>
        <v>0</v>
      </c>
      <c r="I391" s="6">
        <f t="shared" si="73"/>
        <v>31</v>
      </c>
      <c r="J391" s="18" t="str">
        <f t="shared" si="68"/>
        <v>(389,31)</v>
      </c>
      <c r="K391" s="17">
        <f>COUNTIFS(Sheet1!$C:$C,Feuil1!K$1,Sheet1!$D:$D,Feuil1!$C391)</f>
        <v>0</v>
      </c>
      <c r="L391" s="6">
        <f t="shared" si="74"/>
        <v>7</v>
      </c>
      <c r="M391" s="18" t="str">
        <f t="shared" si="69"/>
        <v>(389,7)</v>
      </c>
      <c r="N391" s="17">
        <f>COUNTIFS(Sheet1!$C:$C,Feuil1!N$1,Sheet1!$D:$D,Feuil1!$C391)</f>
        <v>1</v>
      </c>
      <c r="O391" s="6">
        <f t="shared" si="75"/>
        <v>797</v>
      </c>
      <c r="P391" s="18" t="str">
        <f t="shared" si="70"/>
        <v>(389,797)</v>
      </c>
    </row>
    <row r="392" spans="1:16" hidden="1" x14ac:dyDescent="0.2">
      <c r="A392" s="4">
        <f t="shared" si="76"/>
        <v>390</v>
      </c>
      <c r="B392" s="4"/>
      <c r="C392" s="7">
        <f t="shared" si="77"/>
        <v>45620</v>
      </c>
      <c r="D392" s="11" t="str">
        <f t="shared" si="71"/>
        <v>{2024-11-24},</v>
      </c>
      <c r="E392" s="17">
        <f>COUNTIFS(Sheet1!$C:$C,Feuil1!E$1,Sheet1!$D:$D,Feuil1!$C392)</f>
        <v>1</v>
      </c>
      <c r="F392" s="6">
        <f t="shared" si="78"/>
        <v>100</v>
      </c>
      <c r="G392" s="18" t="str">
        <f t="shared" si="72"/>
        <v>(390,100)</v>
      </c>
      <c r="H392" s="17">
        <f>COUNTIFS(Sheet1!$C:$C,Feuil1!H$1,Sheet1!$D:$D,Feuil1!$C392)</f>
        <v>0</v>
      </c>
      <c r="I392" s="6">
        <f t="shared" si="73"/>
        <v>31</v>
      </c>
      <c r="J392" s="18" t="str">
        <f t="shared" si="68"/>
        <v>(390,31)</v>
      </c>
      <c r="K392" s="17">
        <f>COUNTIFS(Sheet1!$C:$C,Feuil1!K$1,Sheet1!$D:$D,Feuil1!$C392)</f>
        <v>0</v>
      </c>
      <c r="L392" s="6">
        <f t="shared" si="74"/>
        <v>7</v>
      </c>
      <c r="M392" s="18" t="str">
        <f t="shared" si="69"/>
        <v>(390,7)</v>
      </c>
      <c r="N392" s="17">
        <f>COUNTIFS(Sheet1!$C:$C,Feuil1!N$1,Sheet1!$D:$D,Feuil1!$C392)</f>
        <v>0</v>
      </c>
      <c r="O392" s="6">
        <f t="shared" si="75"/>
        <v>797</v>
      </c>
      <c r="P392" s="18" t="str">
        <f t="shared" si="70"/>
        <v>(390,797)</v>
      </c>
    </row>
    <row r="393" spans="1:16" hidden="1" x14ac:dyDescent="0.2">
      <c r="A393" s="4">
        <f t="shared" si="76"/>
        <v>391</v>
      </c>
      <c r="B393" s="4"/>
      <c r="C393" s="7">
        <f t="shared" si="77"/>
        <v>45621</v>
      </c>
      <c r="D393" s="11" t="str">
        <f t="shared" si="71"/>
        <v>{2024-11-25},</v>
      </c>
      <c r="E393" s="17">
        <f>COUNTIFS(Sheet1!$C:$C,Feuil1!E$1,Sheet1!$D:$D,Feuil1!$C393)</f>
        <v>0</v>
      </c>
      <c r="F393" s="6">
        <f t="shared" si="78"/>
        <v>100</v>
      </c>
      <c r="G393" s="18" t="str">
        <f t="shared" si="72"/>
        <v>(391,100)</v>
      </c>
      <c r="H393" s="17">
        <f>COUNTIFS(Sheet1!$C:$C,Feuil1!H$1,Sheet1!$D:$D,Feuil1!$C393)</f>
        <v>0</v>
      </c>
      <c r="I393" s="6">
        <f t="shared" si="73"/>
        <v>31</v>
      </c>
      <c r="J393" s="18" t="str">
        <f t="shared" si="68"/>
        <v>(391,31)</v>
      </c>
      <c r="K393" s="17">
        <f>COUNTIFS(Sheet1!$C:$C,Feuil1!K$1,Sheet1!$D:$D,Feuil1!$C393)</f>
        <v>0</v>
      </c>
      <c r="L393" s="6">
        <f t="shared" si="74"/>
        <v>7</v>
      </c>
      <c r="M393" s="18" t="str">
        <f t="shared" si="69"/>
        <v>(391,7)</v>
      </c>
      <c r="N393" s="17">
        <f>COUNTIFS(Sheet1!$C:$C,Feuil1!N$1,Sheet1!$D:$D,Feuil1!$C393)</f>
        <v>0</v>
      </c>
      <c r="O393" s="6">
        <f t="shared" si="75"/>
        <v>797</v>
      </c>
      <c r="P393" s="18" t="str">
        <f t="shared" si="70"/>
        <v>(391,797)</v>
      </c>
    </row>
    <row r="394" spans="1:16" hidden="1" x14ac:dyDescent="0.2">
      <c r="A394" s="4">
        <f t="shared" si="76"/>
        <v>392</v>
      </c>
      <c r="B394" s="4"/>
      <c r="C394" s="7">
        <f t="shared" si="77"/>
        <v>45622</v>
      </c>
      <c r="D394" s="11" t="str">
        <f t="shared" si="71"/>
        <v>{2024-11-26},</v>
      </c>
      <c r="E394" s="17">
        <f>COUNTIFS(Sheet1!$C:$C,Feuil1!E$1,Sheet1!$D:$D,Feuil1!$C394)</f>
        <v>1</v>
      </c>
      <c r="F394" s="6">
        <f t="shared" si="78"/>
        <v>101</v>
      </c>
      <c r="G394" s="18" t="str">
        <f t="shared" si="72"/>
        <v>(392,101)</v>
      </c>
      <c r="H394" s="17">
        <f>COUNTIFS(Sheet1!$C:$C,Feuil1!H$1,Sheet1!$D:$D,Feuil1!$C394)</f>
        <v>0</v>
      </c>
      <c r="I394" s="6">
        <f t="shared" si="73"/>
        <v>31</v>
      </c>
      <c r="J394" s="18" t="str">
        <f t="shared" si="68"/>
        <v>(392,31)</v>
      </c>
      <c r="K394" s="17">
        <f>COUNTIFS(Sheet1!$C:$C,Feuil1!K$1,Sheet1!$D:$D,Feuil1!$C394)</f>
        <v>0</v>
      </c>
      <c r="L394" s="6">
        <f t="shared" si="74"/>
        <v>7</v>
      </c>
      <c r="M394" s="18" t="str">
        <f t="shared" si="69"/>
        <v>(392,7)</v>
      </c>
      <c r="N394" s="17">
        <f>COUNTIFS(Sheet1!$C:$C,Feuil1!N$1,Sheet1!$D:$D,Feuil1!$C394)</f>
        <v>0</v>
      </c>
      <c r="O394" s="6">
        <f t="shared" si="75"/>
        <v>797</v>
      </c>
      <c r="P394" s="18" t="str">
        <f t="shared" si="70"/>
        <v>(392,797)</v>
      </c>
    </row>
    <row r="395" spans="1:16" hidden="1" x14ac:dyDescent="0.2">
      <c r="A395" s="4">
        <f t="shared" si="76"/>
        <v>393</v>
      </c>
      <c r="B395" s="4"/>
      <c r="C395" s="7">
        <f t="shared" si="77"/>
        <v>45623</v>
      </c>
      <c r="D395" s="11" t="str">
        <f t="shared" si="71"/>
        <v>{2024-11-27},</v>
      </c>
      <c r="E395" s="17">
        <f>COUNTIFS(Sheet1!$C:$C,Feuil1!E$1,Sheet1!$D:$D,Feuil1!$C395)</f>
        <v>2</v>
      </c>
      <c r="F395" s="6">
        <f t="shared" si="78"/>
        <v>103</v>
      </c>
      <c r="G395" s="18" t="str">
        <f t="shared" si="72"/>
        <v>(393,103)</v>
      </c>
      <c r="H395" s="17">
        <f>COUNTIFS(Sheet1!$C:$C,Feuil1!H$1,Sheet1!$D:$D,Feuil1!$C395)</f>
        <v>0</v>
      </c>
      <c r="I395" s="6">
        <f t="shared" si="73"/>
        <v>31</v>
      </c>
      <c r="J395" s="18" t="str">
        <f t="shared" si="68"/>
        <v>(393,31)</v>
      </c>
      <c r="K395" s="17">
        <f>COUNTIFS(Sheet1!$C:$C,Feuil1!K$1,Sheet1!$D:$D,Feuil1!$C395)</f>
        <v>0</v>
      </c>
      <c r="L395" s="6">
        <f t="shared" si="74"/>
        <v>7</v>
      </c>
      <c r="M395" s="18" t="str">
        <f t="shared" si="69"/>
        <v>(393,7)</v>
      </c>
      <c r="N395" s="17">
        <f>COUNTIFS(Sheet1!$C:$C,Feuil1!N$1,Sheet1!$D:$D,Feuil1!$C395)</f>
        <v>0</v>
      </c>
      <c r="O395" s="6">
        <f t="shared" si="75"/>
        <v>797</v>
      </c>
      <c r="P395" s="18" t="str">
        <f t="shared" si="70"/>
        <v>(393,797)</v>
      </c>
    </row>
    <row r="396" spans="1:16" hidden="1" x14ac:dyDescent="0.2">
      <c r="A396" s="4">
        <f t="shared" si="76"/>
        <v>394</v>
      </c>
      <c r="B396" s="4"/>
      <c r="C396" s="7">
        <f t="shared" si="77"/>
        <v>45624</v>
      </c>
      <c r="D396" s="11" t="str">
        <f t="shared" si="71"/>
        <v>{2024-11-28},</v>
      </c>
      <c r="E396" s="17">
        <f>COUNTIFS(Sheet1!$C:$C,Feuil1!E$1,Sheet1!$D:$D,Feuil1!$C396)</f>
        <v>1</v>
      </c>
      <c r="F396" s="6">
        <f t="shared" si="78"/>
        <v>104</v>
      </c>
      <c r="G396" s="18" t="str">
        <f t="shared" si="72"/>
        <v>(394,104)</v>
      </c>
      <c r="H396" s="17">
        <f>COUNTIFS(Sheet1!$C:$C,Feuil1!H$1,Sheet1!$D:$D,Feuil1!$C396)</f>
        <v>0</v>
      </c>
      <c r="I396" s="6">
        <f t="shared" si="73"/>
        <v>31</v>
      </c>
      <c r="J396" s="18" t="str">
        <f t="shared" si="68"/>
        <v>(394,31)</v>
      </c>
      <c r="K396" s="17">
        <f>COUNTIFS(Sheet1!$C:$C,Feuil1!K$1,Sheet1!$D:$D,Feuil1!$C396)</f>
        <v>0</v>
      </c>
      <c r="L396" s="6">
        <f t="shared" si="74"/>
        <v>7</v>
      </c>
      <c r="M396" s="18" t="str">
        <f t="shared" si="69"/>
        <v>(394,7)</v>
      </c>
      <c r="N396" s="17">
        <f>COUNTIFS(Sheet1!$C:$C,Feuil1!N$1,Sheet1!$D:$D,Feuil1!$C396)</f>
        <v>0</v>
      </c>
      <c r="O396" s="6">
        <f t="shared" si="75"/>
        <v>797</v>
      </c>
      <c r="P396" s="18" t="str">
        <f t="shared" si="70"/>
        <v>(394,797)</v>
      </c>
    </row>
    <row r="397" spans="1:16" hidden="1" x14ac:dyDescent="0.2">
      <c r="A397" s="4">
        <f t="shared" si="76"/>
        <v>395</v>
      </c>
      <c r="B397" s="4"/>
      <c r="C397" s="7">
        <f t="shared" si="77"/>
        <v>45625</v>
      </c>
      <c r="D397" s="11" t="str">
        <f t="shared" si="71"/>
        <v>{2024-11-29},</v>
      </c>
      <c r="E397" s="17">
        <f>COUNTIFS(Sheet1!$C:$C,Feuil1!E$1,Sheet1!$D:$D,Feuil1!$C397)</f>
        <v>3</v>
      </c>
      <c r="F397" s="6">
        <f t="shared" si="78"/>
        <v>107</v>
      </c>
      <c r="G397" s="18" t="str">
        <f t="shared" si="72"/>
        <v>(395,107)</v>
      </c>
      <c r="H397" s="17">
        <f>COUNTIFS(Sheet1!$C:$C,Feuil1!H$1,Sheet1!$D:$D,Feuil1!$C397)</f>
        <v>0</v>
      </c>
      <c r="I397" s="6">
        <f t="shared" si="73"/>
        <v>31</v>
      </c>
      <c r="J397" s="18" t="str">
        <f t="shared" si="68"/>
        <v>(395,31)</v>
      </c>
      <c r="K397" s="17">
        <f>COUNTIFS(Sheet1!$C:$C,Feuil1!K$1,Sheet1!$D:$D,Feuil1!$C397)</f>
        <v>0</v>
      </c>
      <c r="L397" s="6">
        <f t="shared" si="74"/>
        <v>7</v>
      </c>
      <c r="M397" s="18" t="str">
        <f t="shared" si="69"/>
        <v>(395,7)</v>
      </c>
      <c r="N397" s="17">
        <f>COUNTIFS(Sheet1!$C:$C,Feuil1!N$1,Sheet1!$D:$D,Feuil1!$C397)</f>
        <v>0</v>
      </c>
      <c r="O397" s="6">
        <f t="shared" si="75"/>
        <v>797</v>
      </c>
      <c r="P397" s="18" t="str">
        <f t="shared" si="70"/>
        <v>(395,797)</v>
      </c>
    </row>
    <row r="398" spans="1:16" hidden="1" x14ac:dyDescent="0.2">
      <c r="A398" s="4">
        <f t="shared" si="76"/>
        <v>396</v>
      </c>
      <c r="B398" s="4"/>
      <c r="C398" s="7">
        <f t="shared" si="77"/>
        <v>45626</v>
      </c>
      <c r="D398" s="11" t="str">
        <f t="shared" si="71"/>
        <v>{2024-11-30},</v>
      </c>
      <c r="E398" s="17">
        <f>COUNTIFS(Sheet1!$C:$C,Feuil1!E$1,Sheet1!$D:$D,Feuil1!$C398)</f>
        <v>3</v>
      </c>
      <c r="F398" s="6">
        <f t="shared" si="78"/>
        <v>110</v>
      </c>
      <c r="G398" s="18" t="str">
        <f t="shared" si="72"/>
        <v>(396,110)</v>
      </c>
      <c r="H398" s="17">
        <f>COUNTIFS(Sheet1!$C:$C,Feuil1!H$1,Sheet1!$D:$D,Feuil1!$C398)</f>
        <v>0</v>
      </c>
      <c r="I398" s="6">
        <f t="shared" si="73"/>
        <v>31</v>
      </c>
      <c r="J398" s="18" t="str">
        <f t="shared" si="68"/>
        <v>(396,31)</v>
      </c>
      <c r="K398" s="17">
        <f>COUNTIFS(Sheet1!$C:$C,Feuil1!K$1,Sheet1!$D:$D,Feuil1!$C398)</f>
        <v>0</v>
      </c>
      <c r="L398" s="6">
        <f t="shared" si="74"/>
        <v>7</v>
      </c>
      <c r="M398" s="18" t="str">
        <f t="shared" si="69"/>
        <v>(396,7)</v>
      </c>
      <c r="N398" s="17">
        <f>COUNTIFS(Sheet1!$C:$C,Feuil1!N$1,Sheet1!$D:$D,Feuil1!$C398)</f>
        <v>0</v>
      </c>
      <c r="O398" s="6">
        <f t="shared" si="75"/>
        <v>797</v>
      </c>
      <c r="P398" s="18" t="str">
        <f t="shared" si="70"/>
        <v>(396,797)</v>
      </c>
    </row>
    <row r="399" spans="1:16" hidden="1" x14ac:dyDescent="0.2">
      <c r="A399" s="4">
        <f t="shared" si="76"/>
        <v>397</v>
      </c>
      <c r="B399" s="4"/>
      <c r="C399" s="5">
        <f t="shared" si="77"/>
        <v>45627</v>
      </c>
      <c r="D399" s="11" t="str">
        <f t="shared" si="71"/>
        <v>{2024-12-01},</v>
      </c>
      <c r="E399" s="17">
        <f>COUNTIFS(Sheet1!$C:$C,Feuil1!E$1,Sheet1!$D:$D,Feuil1!$C399)</f>
        <v>1</v>
      </c>
      <c r="F399" s="6">
        <f t="shared" si="78"/>
        <v>111</v>
      </c>
      <c r="G399" s="18" t="str">
        <f t="shared" si="72"/>
        <v>(397,111)</v>
      </c>
      <c r="H399" s="17">
        <f>COUNTIFS(Sheet1!$C:$C,Feuil1!H$1,Sheet1!$D:$D,Feuil1!$C399)</f>
        <v>0</v>
      </c>
      <c r="I399" s="6">
        <f t="shared" si="73"/>
        <v>31</v>
      </c>
      <c r="J399" s="18" t="str">
        <f t="shared" si="68"/>
        <v>(397,31)</v>
      </c>
      <c r="K399" s="17">
        <f>COUNTIFS(Sheet1!$C:$C,Feuil1!K$1,Sheet1!$D:$D,Feuil1!$C399)</f>
        <v>0</v>
      </c>
      <c r="L399" s="6">
        <f t="shared" si="74"/>
        <v>7</v>
      </c>
      <c r="M399" s="18" t="str">
        <f t="shared" si="69"/>
        <v>(397,7)</v>
      </c>
      <c r="N399" s="17">
        <f>COUNTIFS(Sheet1!$C:$C,Feuil1!N$1,Sheet1!$D:$D,Feuil1!$C399)</f>
        <v>0</v>
      </c>
      <c r="O399" s="6">
        <f t="shared" si="75"/>
        <v>797</v>
      </c>
      <c r="P399" s="18" t="str">
        <f t="shared" si="70"/>
        <v>(397,797)</v>
      </c>
    </row>
    <row r="400" spans="1:16" hidden="1" x14ac:dyDescent="0.2">
      <c r="A400" s="4">
        <f t="shared" si="76"/>
        <v>398</v>
      </c>
      <c r="B400" s="4"/>
      <c r="C400" s="7">
        <f t="shared" si="77"/>
        <v>45628</v>
      </c>
      <c r="D400" s="11" t="str">
        <f t="shared" si="71"/>
        <v>{2024-12-02},</v>
      </c>
      <c r="E400" s="17">
        <f>COUNTIFS(Sheet1!$C:$C,Feuil1!E$1,Sheet1!$D:$D,Feuil1!$C400)</f>
        <v>2</v>
      </c>
      <c r="F400" s="6">
        <f t="shared" si="78"/>
        <v>113</v>
      </c>
      <c r="G400" s="18" t="str">
        <f t="shared" si="72"/>
        <v>(398,113)</v>
      </c>
      <c r="H400" s="17">
        <f>COUNTIFS(Sheet1!$C:$C,Feuil1!H$1,Sheet1!$D:$D,Feuil1!$C400)</f>
        <v>0</v>
      </c>
      <c r="I400" s="6">
        <f t="shared" si="73"/>
        <v>31</v>
      </c>
      <c r="J400" s="18" t="str">
        <f t="shared" si="68"/>
        <v>(398,31)</v>
      </c>
      <c r="K400" s="17">
        <f>COUNTIFS(Sheet1!$C:$C,Feuil1!K$1,Sheet1!$D:$D,Feuil1!$C400)</f>
        <v>0</v>
      </c>
      <c r="L400" s="6">
        <f t="shared" si="74"/>
        <v>7</v>
      </c>
      <c r="M400" s="18" t="str">
        <f t="shared" si="69"/>
        <v>(398,7)</v>
      </c>
      <c r="N400" s="17">
        <f>COUNTIFS(Sheet1!$C:$C,Feuil1!N$1,Sheet1!$D:$D,Feuil1!$C400)</f>
        <v>0</v>
      </c>
      <c r="O400" s="6">
        <f t="shared" si="75"/>
        <v>797</v>
      </c>
      <c r="P400" s="18" t="str">
        <f t="shared" si="70"/>
        <v>(398,797)</v>
      </c>
    </row>
    <row r="401" spans="1:16" hidden="1" x14ac:dyDescent="0.2">
      <c r="A401" s="4">
        <f t="shared" si="76"/>
        <v>399</v>
      </c>
      <c r="B401" s="4"/>
      <c r="C401" s="7">
        <f t="shared" si="77"/>
        <v>45629</v>
      </c>
      <c r="D401" s="11" t="str">
        <f t="shared" si="71"/>
        <v>{2024-12-03},</v>
      </c>
      <c r="E401" s="17">
        <f>COUNTIFS(Sheet1!$C:$C,Feuil1!E$1,Sheet1!$D:$D,Feuil1!$C401)</f>
        <v>1</v>
      </c>
      <c r="F401" s="6">
        <f t="shared" si="78"/>
        <v>114</v>
      </c>
      <c r="G401" s="18" t="str">
        <f t="shared" si="72"/>
        <v>(399,114)</v>
      </c>
      <c r="H401" s="17">
        <f>COUNTIFS(Sheet1!$C:$C,Feuil1!H$1,Sheet1!$D:$D,Feuil1!$C401)</f>
        <v>0</v>
      </c>
      <c r="I401" s="6">
        <f t="shared" si="73"/>
        <v>31</v>
      </c>
      <c r="J401" s="18" t="str">
        <f t="shared" si="68"/>
        <v>(399,31)</v>
      </c>
      <c r="K401" s="17">
        <f>COUNTIFS(Sheet1!$C:$C,Feuil1!K$1,Sheet1!$D:$D,Feuil1!$C401)</f>
        <v>0</v>
      </c>
      <c r="L401" s="6">
        <f t="shared" si="74"/>
        <v>7</v>
      </c>
      <c r="M401" s="18" t="str">
        <f t="shared" si="69"/>
        <v>(399,7)</v>
      </c>
      <c r="N401" s="17">
        <f>COUNTIFS(Sheet1!$C:$C,Feuil1!N$1,Sheet1!$D:$D,Feuil1!$C401)</f>
        <v>0</v>
      </c>
      <c r="O401" s="6">
        <f t="shared" si="75"/>
        <v>797</v>
      </c>
      <c r="P401" s="18" t="str">
        <f t="shared" si="70"/>
        <v>(399,797)</v>
      </c>
    </row>
    <row r="402" spans="1:16" hidden="1" x14ac:dyDescent="0.2">
      <c r="A402" s="4">
        <f t="shared" si="76"/>
        <v>400</v>
      </c>
      <c r="B402" s="4"/>
      <c r="C402" s="7">
        <f t="shared" si="77"/>
        <v>45630</v>
      </c>
      <c r="D402" s="11" t="str">
        <f t="shared" si="71"/>
        <v>{2024-12-04},</v>
      </c>
      <c r="E402" s="17">
        <f>COUNTIFS(Sheet1!$C:$C,Feuil1!E$1,Sheet1!$D:$D,Feuil1!$C402)</f>
        <v>0</v>
      </c>
      <c r="F402" s="6">
        <f t="shared" si="78"/>
        <v>114</v>
      </c>
      <c r="G402" s="18" t="str">
        <f t="shared" si="72"/>
        <v>(400,114)</v>
      </c>
      <c r="H402" s="17">
        <f>COUNTIFS(Sheet1!$C:$C,Feuil1!H$1,Sheet1!$D:$D,Feuil1!$C402)</f>
        <v>0</v>
      </c>
      <c r="I402" s="6">
        <f t="shared" si="73"/>
        <v>31</v>
      </c>
      <c r="J402" s="18" t="str">
        <f t="shared" si="68"/>
        <v>(400,31)</v>
      </c>
      <c r="K402" s="17">
        <f>COUNTIFS(Sheet1!$C:$C,Feuil1!K$1,Sheet1!$D:$D,Feuil1!$C402)</f>
        <v>0</v>
      </c>
      <c r="L402" s="6">
        <f t="shared" si="74"/>
        <v>7</v>
      </c>
      <c r="M402" s="18" t="str">
        <f t="shared" si="69"/>
        <v>(400,7)</v>
      </c>
      <c r="N402" s="17">
        <f>COUNTIFS(Sheet1!$C:$C,Feuil1!N$1,Sheet1!$D:$D,Feuil1!$C402)</f>
        <v>0</v>
      </c>
      <c r="O402" s="6">
        <f t="shared" si="75"/>
        <v>797</v>
      </c>
      <c r="P402" s="18" t="str">
        <f t="shared" si="70"/>
        <v>(400,797)</v>
      </c>
    </row>
    <row r="403" spans="1:16" hidden="1" x14ac:dyDescent="0.2">
      <c r="A403" s="4">
        <f t="shared" si="76"/>
        <v>401</v>
      </c>
      <c r="B403" s="4"/>
      <c r="C403" s="7">
        <f t="shared" si="77"/>
        <v>45631</v>
      </c>
      <c r="D403" s="11" t="str">
        <f t="shared" si="71"/>
        <v>{2024-12-05},</v>
      </c>
      <c r="E403" s="17">
        <f>COUNTIFS(Sheet1!$C:$C,Feuil1!E$1,Sheet1!$D:$D,Feuil1!$C403)</f>
        <v>1</v>
      </c>
      <c r="F403" s="6">
        <f t="shared" si="78"/>
        <v>115</v>
      </c>
      <c r="G403" s="18" t="str">
        <f t="shared" si="72"/>
        <v>(401,115)</v>
      </c>
      <c r="H403" s="17">
        <f>COUNTIFS(Sheet1!$C:$C,Feuil1!H$1,Sheet1!$D:$D,Feuil1!$C403)</f>
        <v>0</v>
      </c>
      <c r="I403" s="6">
        <f t="shared" si="73"/>
        <v>31</v>
      </c>
      <c r="J403" s="18" t="str">
        <f t="shared" si="68"/>
        <v>(401,31)</v>
      </c>
      <c r="K403" s="17">
        <f>COUNTIFS(Sheet1!$C:$C,Feuil1!K$1,Sheet1!$D:$D,Feuil1!$C403)</f>
        <v>0</v>
      </c>
      <c r="L403" s="6">
        <f t="shared" si="74"/>
        <v>7</v>
      </c>
      <c r="M403" s="18" t="str">
        <f t="shared" si="69"/>
        <v>(401,7)</v>
      </c>
      <c r="N403" s="17">
        <f>COUNTIFS(Sheet1!$C:$C,Feuil1!N$1,Sheet1!$D:$D,Feuil1!$C403)</f>
        <v>0</v>
      </c>
      <c r="O403" s="6">
        <f t="shared" si="75"/>
        <v>797</v>
      </c>
      <c r="P403" s="18" t="str">
        <f t="shared" si="70"/>
        <v>(401,797)</v>
      </c>
    </row>
    <row r="404" spans="1:16" hidden="1" x14ac:dyDescent="0.2">
      <c r="A404" s="4">
        <f t="shared" si="76"/>
        <v>402</v>
      </c>
      <c r="B404" s="4"/>
      <c r="C404" s="7">
        <f t="shared" si="77"/>
        <v>45632</v>
      </c>
      <c r="D404" s="11" t="str">
        <f t="shared" si="71"/>
        <v>{2024-12-06},</v>
      </c>
      <c r="E404" s="17">
        <f>COUNTIFS(Sheet1!$C:$C,Feuil1!E$1,Sheet1!$D:$D,Feuil1!$C404)</f>
        <v>1</v>
      </c>
      <c r="F404" s="6">
        <f t="shared" si="78"/>
        <v>116</v>
      </c>
      <c r="G404" s="18" t="str">
        <f t="shared" si="72"/>
        <v>(402,116)</v>
      </c>
      <c r="H404" s="17">
        <f>COUNTIFS(Sheet1!$C:$C,Feuil1!H$1,Sheet1!$D:$D,Feuil1!$C404)</f>
        <v>0</v>
      </c>
      <c r="I404" s="6">
        <f t="shared" si="73"/>
        <v>31</v>
      </c>
      <c r="J404" s="18" t="str">
        <f t="shared" si="68"/>
        <v>(402,31)</v>
      </c>
      <c r="K404" s="17">
        <f>COUNTIFS(Sheet1!$C:$C,Feuil1!K$1,Sheet1!$D:$D,Feuil1!$C404)</f>
        <v>0</v>
      </c>
      <c r="L404" s="6">
        <f t="shared" si="74"/>
        <v>7</v>
      </c>
      <c r="M404" s="18" t="str">
        <f t="shared" si="69"/>
        <v>(402,7)</v>
      </c>
      <c r="N404" s="17">
        <f>COUNTIFS(Sheet1!$C:$C,Feuil1!N$1,Sheet1!$D:$D,Feuil1!$C404)</f>
        <v>0</v>
      </c>
      <c r="O404" s="6">
        <f t="shared" si="75"/>
        <v>797</v>
      </c>
      <c r="P404" s="18" t="str">
        <f t="shared" si="70"/>
        <v>(402,797)</v>
      </c>
    </row>
    <row r="405" spans="1:16" hidden="1" x14ac:dyDescent="0.2">
      <c r="A405" s="4">
        <f t="shared" si="76"/>
        <v>403</v>
      </c>
      <c r="B405" s="4"/>
      <c r="C405" s="7">
        <f t="shared" si="77"/>
        <v>45633</v>
      </c>
      <c r="D405" s="11" t="str">
        <f t="shared" si="71"/>
        <v>{2024-12-07},</v>
      </c>
      <c r="E405" s="17">
        <f>COUNTIFS(Sheet1!$C:$C,Feuil1!E$1,Sheet1!$D:$D,Feuil1!$C405)</f>
        <v>1</v>
      </c>
      <c r="F405" s="6">
        <f t="shared" si="78"/>
        <v>117</v>
      </c>
      <c r="G405" s="18" t="str">
        <f t="shared" si="72"/>
        <v>(403,117)</v>
      </c>
      <c r="H405" s="17">
        <f>COUNTIFS(Sheet1!$C:$C,Feuil1!H$1,Sheet1!$D:$D,Feuil1!$C405)</f>
        <v>0</v>
      </c>
      <c r="I405" s="6">
        <f t="shared" si="73"/>
        <v>31</v>
      </c>
      <c r="J405" s="18" t="str">
        <f t="shared" si="68"/>
        <v>(403,31)</v>
      </c>
      <c r="K405" s="17">
        <f>COUNTIFS(Sheet1!$C:$C,Feuil1!K$1,Sheet1!$D:$D,Feuil1!$C405)</f>
        <v>0</v>
      </c>
      <c r="L405" s="6">
        <f t="shared" si="74"/>
        <v>7</v>
      </c>
      <c r="M405" s="18" t="str">
        <f t="shared" si="69"/>
        <v>(403,7)</v>
      </c>
      <c r="N405" s="17">
        <f>COUNTIFS(Sheet1!$C:$C,Feuil1!N$1,Sheet1!$D:$D,Feuil1!$C405)</f>
        <v>0</v>
      </c>
      <c r="O405" s="6">
        <f t="shared" si="75"/>
        <v>797</v>
      </c>
      <c r="P405" s="18" t="str">
        <f t="shared" si="70"/>
        <v>(403,797)</v>
      </c>
    </row>
    <row r="406" spans="1:16" hidden="1" x14ac:dyDescent="0.2">
      <c r="A406" s="4">
        <f t="shared" si="76"/>
        <v>404</v>
      </c>
      <c r="B406" s="4"/>
      <c r="C406" s="7">
        <f t="shared" si="77"/>
        <v>45634</v>
      </c>
      <c r="D406" s="11" t="str">
        <f t="shared" si="71"/>
        <v>{2024-12-08},</v>
      </c>
      <c r="E406" s="17">
        <f>COUNTIFS(Sheet1!$C:$C,Feuil1!E$1,Sheet1!$D:$D,Feuil1!$C406)</f>
        <v>2</v>
      </c>
      <c r="F406" s="6">
        <f t="shared" si="78"/>
        <v>119</v>
      </c>
      <c r="G406" s="18" t="str">
        <f t="shared" si="72"/>
        <v>(404,119)</v>
      </c>
      <c r="H406" s="17">
        <f>COUNTIFS(Sheet1!$C:$C,Feuil1!H$1,Sheet1!$D:$D,Feuil1!$C406)</f>
        <v>0</v>
      </c>
      <c r="I406" s="6">
        <f t="shared" si="73"/>
        <v>31</v>
      </c>
      <c r="J406" s="18" t="str">
        <f t="shared" si="68"/>
        <v>(404,31)</v>
      </c>
      <c r="K406" s="17">
        <f>COUNTIFS(Sheet1!$C:$C,Feuil1!K$1,Sheet1!$D:$D,Feuil1!$C406)</f>
        <v>0</v>
      </c>
      <c r="L406" s="6">
        <f t="shared" si="74"/>
        <v>7</v>
      </c>
      <c r="M406" s="18" t="str">
        <f t="shared" si="69"/>
        <v>(404,7)</v>
      </c>
      <c r="N406" s="17">
        <f>COUNTIFS(Sheet1!$C:$C,Feuil1!N$1,Sheet1!$D:$D,Feuil1!$C406)</f>
        <v>0</v>
      </c>
      <c r="O406" s="6">
        <f t="shared" si="75"/>
        <v>797</v>
      </c>
      <c r="P406" s="18" t="str">
        <f t="shared" si="70"/>
        <v>(404,797)</v>
      </c>
    </row>
    <row r="407" spans="1:16" hidden="1" x14ac:dyDescent="0.2">
      <c r="A407" s="4">
        <f t="shared" si="76"/>
        <v>405</v>
      </c>
      <c r="B407" s="4"/>
      <c r="C407" s="7">
        <f t="shared" si="77"/>
        <v>45635</v>
      </c>
      <c r="D407" s="11" t="str">
        <f t="shared" si="71"/>
        <v>{2024-12-09},</v>
      </c>
      <c r="E407" s="17">
        <f>COUNTIFS(Sheet1!$C:$C,Feuil1!E$1,Sheet1!$D:$D,Feuil1!$C407)</f>
        <v>0</v>
      </c>
      <c r="F407" s="6">
        <f t="shared" si="78"/>
        <v>119</v>
      </c>
      <c r="G407" s="18" t="str">
        <f t="shared" si="72"/>
        <v>(405,119)</v>
      </c>
      <c r="H407" s="17">
        <f>COUNTIFS(Sheet1!$C:$C,Feuil1!H$1,Sheet1!$D:$D,Feuil1!$C407)</f>
        <v>0</v>
      </c>
      <c r="I407" s="6">
        <f t="shared" si="73"/>
        <v>31</v>
      </c>
      <c r="J407" s="18" t="str">
        <f t="shared" si="68"/>
        <v>(405,31)</v>
      </c>
      <c r="K407" s="17">
        <f>COUNTIFS(Sheet1!$C:$C,Feuil1!K$1,Sheet1!$D:$D,Feuil1!$C407)</f>
        <v>0</v>
      </c>
      <c r="L407" s="6">
        <f t="shared" si="74"/>
        <v>7</v>
      </c>
      <c r="M407" s="18" t="str">
        <f t="shared" si="69"/>
        <v>(405,7)</v>
      </c>
      <c r="N407" s="17">
        <f>COUNTIFS(Sheet1!$C:$C,Feuil1!N$1,Sheet1!$D:$D,Feuil1!$C407)</f>
        <v>0</v>
      </c>
      <c r="O407" s="6">
        <f t="shared" si="75"/>
        <v>797</v>
      </c>
      <c r="P407" s="18" t="str">
        <f t="shared" si="70"/>
        <v>(405,797)</v>
      </c>
    </row>
    <row r="408" spans="1:16" hidden="1" x14ac:dyDescent="0.2">
      <c r="A408" s="4">
        <f t="shared" si="76"/>
        <v>406</v>
      </c>
      <c r="B408" s="4"/>
      <c r="C408" s="7">
        <f t="shared" si="77"/>
        <v>45636</v>
      </c>
      <c r="D408" s="11" t="str">
        <f t="shared" si="71"/>
        <v>{2024-12-10},</v>
      </c>
      <c r="E408" s="17">
        <f>COUNTIFS(Sheet1!$C:$C,Feuil1!E$1,Sheet1!$D:$D,Feuil1!$C408)</f>
        <v>2</v>
      </c>
      <c r="F408" s="6">
        <f t="shared" si="78"/>
        <v>121</v>
      </c>
      <c r="G408" s="18" t="str">
        <f t="shared" si="72"/>
        <v>(406,121)</v>
      </c>
      <c r="H408" s="17">
        <f>COUNTIFS(Sheet1!$C:$C,Feuil1!H$1,Sheet1!$D:$D,Feuil1!$C408)</f>
        <v>0</v>
      </c>
      <c r="I408" s="6">
        <f t="shared" si="73"/>
        <v>31</v>
      </c>
      <c r="J408" s="18" t="str">
        <f t="shared" si="68"/>
        <v>(406,31)</v>
      </c>
      <c r="K408" s="17">
        <f>COUNTIFS(Sheet1!$C:$C,Feuil1!K$1,Sheet1!$D:$D,Feuil1!$C408)</f>
        <v>0</v>
      </c>
      <c r="L408" s="6">
        <f t="shared" si="74"/>
        <v>7</v>
      </c>
      <c r="M408" s="18" t="str">
        <f t="shared" si="69"/>
        <v>(406,7)</v>
      </c>
      <c r="N408" s="17">
        <f>COUNTIFS(Sheet1!$C:$C,Feuil1!N$1,Sheet1!$D:$D,Feuil1!$C408)</f>
        <v>0</v>
      </c>
      <c r="O408" s="6">
        <f t="shared" si="75"/>
        <v>797</v>
      </c>
      <c r="P408" s="18" t="str">
        <f t="shared" si="70"/>
        <v>(406,797)</v>
      </c>
    </row>
    <row r="409" spans="1:16" hidden="1" x14ac:dyDescent="0.2">
      <c r="A409" s="4">
        <f t="shared" si="76"/>
        <v>407</v>
      </c>
      <c r="B409" s="4"/>
      <c r="C409" s="7">
        <f t="shared" si="77"/>
        <v>45637</v>
      </c>
      <c r="D409" s="11" t="str">
        <f t="shared" si="71"/>
        <v>{2024-12-11},</v>
      </c>
      <c r="E409" s="17">
        <f>COUNTIFS(Sheet1!$C:$C,Feuil1!E$1,Sheet1!$D:$D,Feuil1!$C409)</f>
        <v>1</v>
      </c>
      <c r="F409" s="6">
        <f t="shared" si="78"/>
        <v>122</v>
      </c>
      <c r="G409" s="18" t="str">
        <f t="shared" si="72"/>
        <v>(407,122)</v>
      </c>
      <c r="H409" s="17">
        <f>COUNTIFS(Sheet1!$C:$C,Feuil1!H$1,Sheet1!$D:$D,Feuil1!$C409)</f>
        <v>0</v>
      </c>
      <c r="I409" s="6">
        <f t="shared" si="73"/>
        <v>31</v>
      </c>
      <c r="J409" s="18" t="str">
        <f t="shared" si="68"/>
        <v>(407,31)</v>
      </c>
      <c r="K409" s="17">
        <f>COUNTIFS(Sheet1!$C:$C,Feuil1!K$1,Sheet1!$D:$D,Feuil1!$C409)</f>
        <v>0</v>
      </c>
      <c r="L409" s="6">
        <f t="shared" si="74"/>
        <v>7</v>
      </c>
      <c r="M409" s="18" t="str">
        <f t="shared" si="69"/>
        <v>(407,7)</v>
      </c>
      <c r="N409" s="17">
        <f>COUNTIFS(Sheet1!$C:$C,Feuil1!N$1,Sheet1!$D:$D,Feuil1!$C409)</f>
        <v>0</v>
      </c>
      <c r="O409" s="6">
        <f t="shared" si="75"/>
        <v>797</v>
      </c>
      <c r="P409" s="18" t="str">
        <f t="shared" si="70"/>
        <v>(407,797)</v>
      </c>
    </row>
    <row r="410" spans="1:16" hidden="1" x14ac:dyDescent="0.2">
      <c r="A410" s="4">
        <f t="shared" si="76"/>
        <v>408</v>
      </c>
      <c r="B410" s="4"/>
      <c r="C410" s="7">
        <f t="shared" si="77"/>
        <v>45638</v>
      </c>
      <c r="D410" s="11" t="str">
        <f t="shared" si="71"/>
        <v>{2024-12-12},</v>
      </c>
      <c r="E410" s="17">
        <f>COUNTIFS(Sheet1!$C:$C,Feuil1!E$1,Sheet1!$D:$D,Feuil1!$C410)</f>
        <v>2</v>
      </c>
      <c r="F410" s="6">
        <f t="shared" si="78"/>
        <v>124</v>
      </c>
      <c r="G410" s="18" t="str">
        <f t="shared" si="72"/>
        <v>(408,124)</v>
      </c>
      <c r="H410" s="17">
        <f>COUNTIFS(Sheet1!$C:$C,Feuil1!H$1,Sheet1!$D:$D,Feuil1!$C410)</f>
        <v>0</v>
      </c>
      <c r="I410" s="6">
        <f t="shared" si="73"/>
        <v>31</v>
      </c>
      <c r="J410" s="18" t="str">
        <f t="shared" si="68"/>
        <v>(408,31)</v>
      </c>
      <c r="K410" s="17">
        <f>COUNTIFS(Sheet1!$C:$C,Feuil1!K$1,Sheet1!$D:$D,Feuil1!$C410)</f>
        <v>0</v>
      </c>
      <c r="L410" s="6">
        <f t="shared" si="74"/>
        <v>7</v>
      </c>
      <c r="M410" s="18" t="str">
        <f t="shared" si="69"/>
        <v>(408,7)</v>
      </c>
      <c r="N410" s="17">
        <f>COUNTIFS(Sheet1!$C:$C,Feuil1!N$1,Sheet1!$D:$D,Feuil1!$C410)</f>
        <v>0</v>
      </c>
      <c r="O410" s="6">
        <f t="shared" si="75"/>
        <v>797</v>
      </c>
      <c r="P410" s="18" t="str">
        <f t="shared" si="70"/>
        <v>(408,797)</v>
      </c>
    </row>
    <row r="411" spans="1:16" hidden="1" x14ac:dyDescent="0.2">
      <c r="A411" s="4">
        <f t="shared" si="76"/>
        <v>409</v>
      </c>
      <c r="B411" s="4"/>
      <c r="C411" s="7">
        <f t="shared" si="77"/>
        <v>45639</v>
      </c>
      <c r="D411" s="11" t="str">
        <f t="shared" si="71"/>
        <v>{2024-12-13},</v>
      </c>
      <c r="E411" s="17">
        <f>COUNTIFS(Sheet1!$C:$C,Feuil1!E$1,Sheet1!$D:$D,Feuil1!$C411)</f>
        <v>0</v>
      </c>
      <c r="F411" s="6">
        <f t="shared" si="78"/>
        <v>124</v>
      </c>
      <c r="G411" s="18" t="str">
        <f t="shared" si="72"/>
        <v>(409,124)</v>
      </c>
      <c r="H411" s="17">
        <f>COUNTIFS(Sheet1!$C:$C,Feuil1!H$1,Sheet1!$D:$D,Feuil1!$C411)</f>
        <v>0</v>
      </c>
      <c r="I411" s="6">
        <f t="shared" si="73"/>
        <v>31</v>
      </c>
      <c r="J411" s="18" t="str">
        <f t="shared" si="68"/>
        <v>(409,31)</v>
      </c>
      <c r="K411" s="17">
        <f>COUNTIFS(Sheet1!$C:$C,Feuil1!K$1,Sheet1!$D:$D,Feuil1!$C411)</f>
        <v>0</v>
      </c>
      <c r="L411" s="6">
        <f t="shared" si="74"/>
        <v>7</v>
      </c>
      <c r="M411" s="18" t="str">
        <f t="shared" si="69"/>
        <v>(409,7)</v>
      </c>
      <c r="N411" s="17">
        <f>COUNTIFS(Sheet1!$C:$C,Feuil1!N$1,Sheet1!$D:$D,Feuil1!$C411)</f>
        <v>0</v>
      </c>
      <c r="O411" s="6">
        <f t="shared" si="75"/>
        <v>797</v>
      </c>
      <c r="P411" s="18" t="str">
        <f t="shared" si="70"/>
        <v>(409,797)</v>
      </c>
    </row>
    <row r="412" spans="1:16" hidden="1" x14ac:dyDescent="0.2">
      <c r="A412" s="4">
        <f t="shared" si="76"/>
        <v>410</v>
      </c>
      <c r="B412" s="4"/>
      <c r="C412" s="7">
        <f t="shared" si="77"/>
        <v>45640</v>
      </c>
      <c r="D412" s="11" t="str">
        <f t="shared" si="71"/>
        <v>{2024-12-14},</v>
      </c>
      <c r="E412" s="17">
        <f>COUNTIFS(Sheet1!$C:$C,Feuil1!E$1,Sheet1!$D:$D,Feuil1!$C412)</f>
        <v>1</v>
      </c>
      <c r="F412" s="6">
        <f t="shared" si="78"/>
        <v>125</v>
      </c>
      <c r="G412" s="18" t="str">
        <f t="shared" si="72"/>
        <v>(410,125)</v>
      </c>
      <c r="H412" s="17">
        <f>COUNTIFS(Sheet1!$C:$C,Feuil1!H$1,Sheet1!$D:$D,Feuil1!$C412)</f>
        <v>0</v>
      </c>
      <c r="I412" s="6">
        <f t="shared" si="73"/>
        <v>31</v>
      </c>
      <c r="J412" s="18" t="str">
        <f t="shared" si="68"/>
        <v>(410,31)</v>
      </c>
      <c r="K412" s="17">
        <f>COUNTIFS(Sheet1!$C:$C,Feuil1!K$1,Sheet1!$D:$D,Feuil1!$C412)</f>
        <v>0</v>
      </c>
      <c r="L412" s="6">
        <f t="shared" si="74"/>
        <v>7</v>
      </c>
      <c r="M412" s="18" t="str">
        <f t="shared" si="69"/>
        <v>(410,7)</v>
      </c>
      <c r="N412" s="17">
        <f>COUNTIFS(Sheet1!$C:$C,Feuil1!N$1,Sheet1!$D:$D,Feuil1!$C412)</f>
        <v>0</v>
      </c>
      <c r="O412" s="6">
        <f t="shared" si="75"/>
        <v>797</v>
      </c>
      <c r="P412" s="18" t="str">
        <f t="shared" si="70"/>
        <v>(410,797)</v>
      </c>
    </row>
    <row r="413" spans="1:16" hidden="1" x14ac:dyDescent="0.2">
      <c r="A413" s="4">
        <f t="shared" si="76"/>
        <v>411</v>
      </c>
      <c r="B413" s="4"/>
      <c r="C413" s="7">
        <f t="shared" si="77"/>
        <v>45641</v>
      </c>
      <c r="D413" s="11" t="str">
        <f t="shared" si="71"/>
        <v>{2024-12-15},</v>
      </c>
      <c r="E413" s="17">
        <f>COUNTIFS(Sheet1!$C:$C,Feuil1!E$1,Sheet1!$D:$D,Feuil1!$C413)</f>
        <v>0</v>
      </c>
      <c r="F413" s="6">
        <f t="shared" si="78"/>
        <v>125</v>
      </c>
      <c r="G413" s="18" t="str">
        <f t="shared" si="72"/>
        <v>(411,125)</v>
      </c>
      <c r="H413" s="17">
        <f>COUNTIFS(Sheet1!$C:$C,Feuil1!H$1,Sheet1!$D:$D,Feuil1!$C413)</f>
        <v>0</v>
      </c>
      <c r="I413" s="6">
        <f t="shared" si="73"/>
        <v>31</v>
      </c>
      <c r="J413" s="18" t="str">
        <f t="shared" si="68"/>
        <v>(411,31)</v>
      </c>
      <c r="K413" s="17">
        <f>COUNTIFS(Sheet1!$C:$C,Feuil1!K$1,Sheet1!$D:$D,Feuil1!$C413)</f>
        <v>0</v>
      </c>
      <c r="L413" s="6">
        <f t="shared" si="74"/>
        <v>7</v>
      </c>
      <c r="M413" s="18" t="str">
        <f t="shared" si="69"/>
        <v>(411,7)</v>
      </c>
      <c r="N413" s="17">
        <f>COUNTIFS(Sheet1!$C:$C,Feuil1!N$1,Sheet1!$D:$D,Feuil1!$C413)</f>
        <v>0</v>
      </c>
      <c r="O413" s="6">
        <f t="shared" si="75"/>
        <v>797</v>
      </c>
      <c r="P413" s="18" t="str">
        <f t="shared" si="70"/>
        <v>(411,797)</v>
      </c>
    </row>
    <row r="414" spans="1:16" hidden="1" x14ac:dyDescent="0.2">
      <c r="A414" s="4">
        <f t="shared" si="76"/>
        <v>412</v>
      </c>
      <c r="B414" s="4"/>
      <c r="C414" s="7">
        <f t="shared" si="77"/>
        <v>45642</v>
      </c>
      <c r="D414" s="11" t="str">
        <f t="shared" si="71"/>
        <v>{2024-12-16},</v>
      </c>
      <c r="E414" s="17">
        <f>COUNTIFS(Sheet1!$C:$C,Feuil1!E$1,Sheet1!$D:$D,Feuil1!$C414)</f>
        <v>1</v>
      </c>
      <c r="F414" s="6">
        <f t="shared" si="78"/>
        <v>126</v>
      </c>
      <c r="G414" s="18" t="str">
        <f t="shared" si="72"/>
        <v>(412,126)</v>
      </c>
      <c r="H414" s="17">
        <f>COUNTIFS(Sheet1!$C:$C,Feuil1!H$1,Sheet1!$D:$D,Feuil1!$C414)</f>
        <v>0</v>
      </c>
      <c r="I414" s="6">
        <f t="shared" si="73"/>
        <v>31</v>
      </c>
      <c r="J414" s="18" t="str">
        <f t="shared" si="68"/>
        <v>(412,31)</v>
      </c>
      <c r="K414" s="17">
        <f>COUNTIFS(Sheet1!$C:$C,Feuil1!K$1,Sheet1!$D:$D,Feuil1!$C414)</f>
        <v>0</v>
      </c>
      <c r="L414" s="6">
        <f t="shared" si="74"/>
        <v>7</v>
      </c>
      <c r="M414" s="18" t="str">
        <f t="shared" si="69"/>
        <v>(412,7)</v>
      </c>
      <c r="N414" s="17">
        <f>COUNTIFS(Sheet1!$C:$C,Feuil1!N$1,Sheet1!$D:$D,Feuil1!$C414)</f>
        <v>0</v>
      </c>
      <c r="O414" s="6">
        <f t="shared" si="75"/>
        <v>797</v>
      </c>
      <c r="P414" s="18" t="str">
        <f t="shared" si="70"/>
        <v>(412,797)</v>
      </c>
    </row>
    <row r="415" spans="1:16" hidden="1" x14ac:dyDescent="0.2">
      <c r="A415" s="4">
        <f t="shared" si="76"/>
        <v>413</v>
      </c>
      <c r="B415" s="4"/>
      <c r="C415" s="7">
        <f t="shared" si="77"/>
        <v>45643</v>
      </c>
      <c r="D415" s="11" t="str">
        <f t="shared" si="71"/>
        <v>{2024-12-17},</v>
      </c>
      <c r="E415" s="17">
        <f>COUNTIFS(Sheet1!$C:$C,Feuil1!E$1,Sheet1!$D:$D,Feuil1!$C415)</f>
        <v>0</v>
      </c>
      <c r="F415" s="6">
        <f t="shared" si="78"/>
        <v>126</v>
      </c>
      <c r="G415" s="18" t="str">
        <f t="shared" si="72"/>
        <v>(413,126)</v>
      </c>
      <c r="H415" s="17">
        <f>COUNTIFS(Sheet1!$C:$C,Feuil1!H$1,Sheet1!$D:$D,Feuil1!$C415)</f>
        <v>0</v>
      </c>
      <c r="I415" s="6">
        <f t="shared" si="73"/>
        <v>31</v>
      </c>
      <c r="J415" s="18" t="str">
        <f t="shared" si="68"/>
        <v>(413,31)</v>
      </c>
      <c r="K415" s="17">
        <f>COUNTIFS(Sheet1!$C:$C,Feuil1!K$1,Sheet1!$D:$D,Feuil1!$C415)</f>
        <v>0</v>
      </c>
      <c r="L415" s="6">
        <f t="shared" si="74"/>
        <v>7</v>
      </c>
      <c r="M415" s="18" t="str">
        <f t="shared" si="69"/>
        <v>(413,7)</v>
      </c>
      <c r="N415" s="17">
        <f>COUNTIFS(Sheet1!$C:$C,Feuil1!N$1,Sheet1!$D:$D,Feuil1!$C415)</f>
        <v>0</v>
      </c>
      <c r="O415" s="6">
        <f t="shared" si="75"/>
        <v>797</v>
      </c>
      <c r="P415" s="18" t="str">
        <f t="shared" si="70"/>
        <v>(413,797)</v>
      </c>
    </row>
    <row r="416" spans="1:16" hidden="1" x14ac:dyDescent="0.2">
      <c r="A416" s="4">
        <f t="shared" si="76"/>
        <v>414</v>
      </c>
      <c r="B416" s="4"/>
      <c r="C416" s="7">
        <f t="shared" si="77"/>
        <v>45644</v>
      </c>
      <c r="D416" s="11" t="str">
        <f t="shared" si="71"/>
        <v>{2024-12-18},</v>
      </c>
      <c r="E416" s="17">
        <f>COUNTIFS(Sheet1!$C:$C,Feuil1!E$1,Sheet1!$D:$D,Feuil1!$C416)</f>
        <v>0</v>
      </c>
      <c r="F416" s="6">
        <f t="shared" si="78"/>
        <v>126</v>
      </c>
      <c r="G416" s="18" t="str">
        <f t="shared" si="72"/>
        <v>(414,126)</v>
      </c>
      <c r="H416" s="17">
        <f>COUNTIFS(Sheet1!$C:$C,Feuil1!H$1,Sheet1!$D:$D,Feuil1!$C416)</f>
        <v>0</v>
      </c>
      <c r="I416" s="6">
        <f t="shared" si="73"/>
        <v>31</v>
      </c>
      <c r="J416" s="18" t="str">
        <f t="shared" si="68"/>
        <v>(414,31)</v>
      </c>
      <c r="K416" s="17">
        <f>COUNTIFS(Sheet1!$C:$C,Feuil1!K$1,Sheet1!$D:$D,Feuil1!$C416)</f>
        <v>0</v>
      </c>
      <c r="L416" s="6">
        <f t="shared" si="74"/>
        <v>7</v>
      </c>
      <c r="M416" s="18" t="str">
        <f t="shared" si="69"/>
        <v>(414,7)</v>
      </c>
      <c r="N416" s="17">
        <f>COUNTIFS(Sheet1!$C:$C,Feuil1!N$1,Sheet1!$D:$D,Feuil1!$C416)</f>
        <v>0</v>
      </c>
      <c r="O416" s="6">
        <f t="shared" si="75"/>
        <v>797</v>
      </c>
      <c r="P416" s="18" t="str">
        <f t="shared" si="70"/>
        <v>(414,797)</v>
      </c>
    </row>
    <row r="417" spans="1:16" hidden="1" x14ac:dyDescent="0.2">
      <c r="A417" s="4">
        <f t="shared" si="76"/>
        <v>415</v>
      </c>
      <c r="B417" s="4"/>
      <c r="C417" s="7">
        <f t="shared" si="77"/>
        <v>45645</v>
      </c>
      <c r="D417" s="11" t="str">
        <f t="shared" si="71"/>
        <v>{2024-12-19},</v>
      </c>
      <c r="E417" s="17">
        <f>COUNTIFS(Sheet1!$C:$C,Feuil1!E$1,Sheet1!$D:$D,Feuil1!$C417)</f>
        <v>0</v>
      </c>
      <c r="F417" s="6">
        <f t="shared" si="78"/>
        <v>126</v>
      </c>
      <c r="G417" s="18" t="str">
        <f t="shared" si="72"/>
        <v>(415,126)</v>
      </c>
      <c r="H417" s="17">
        <f>COUNTIFS(Sheet1!$C:$C,Feuil1!H$1,Sheet1!$D:$D,Feuil1!$C417)</f>
        <v>0</v>
      </c>
      <c r="I417" s="6">
        <f t="shared" si="73"/>
        <v>31</v>
      </c>
      <c r="J417" s="18" t="str">
        <f t="shared" si="68"/>
        <v>(415,31)</v>
      </c>
      <c r="K417" s="17">
        <f>COUNTIFS(Sheet1!$C:$C,Feuil1!K$1,Sheet1!$D:$D,Feuil1!$C417)</f>
        <v>0</v>
      </c>
      <c r="L417" s="6">
        <f t="shared" si="74"/>
        <v>7</v>
      </c>
      <c r="M417" s="18" t="str">
        <f t="shared" si="69"/>
        <v>(415,7)</v>
      </c>
      <c r="N417" s="17">
        <f>COUNTIFS(Sheet1!$C:$C,Feuil1!N$1,Sheet1!$D:$D,Feuil1!$C417)</f>
        <v>0</v>
      </c>
      <c r="O417" s="6">
        <f t="shared" si="75"/>
        <v>797</v>
      </c>
      <c r="P417" s="18" t="str">
        <f t="shared" si="70"/>
        <v>(415,797)</v>
      </c>
    </row>
    <row r="418" spans="1:16" hidden="1" x14ac:dyDescent="0.2">
      <c r="A418" s="4">
        <f t="shared" si="76"/>
        <v>416</v>
      </c>
      <c r="B418" s="4"/>
      <c r="C418" s="7">
        <f t="shared" si="77"/>
        <v>45646</v>
      </c>
      <c r="D418" s="11" t="str">
        <f t="shared" si="71"/>
        <v>{2024-12-20},</v>
      </c>
      <c r="E418" s="17">
        <f>COUNTIFS(Sheet1!$C:$C,Feuil1!E$1,Sheet1!$D:$D,Feuil1!$C418)</f>
        <v>2</v>
      </c>
      <c r="F418" s="6">
        <f t="shared" si="78"/>
        <v>128</v>
      </c>
      <c r="G418" s="18" t="str">
        <f t="shared" si="72"/>
        <v>(416,128)</v>
      </c>
      <c r="H418" s="17">
        <f>COUNTIFS(Sheet1!$C:$C,Feuil1!H$1,Sheet1!$D:$D,Feuil1!$C418)</f>
        <v>0</v>
      </c>
      <c r="I418" s="6">
        <f t="shared" si="73"/>
        <v>31</v>
      </c>
      <c r="J418" s="18" t="str">
        <f t="shared" si="68"/>
        <v>(416,31)</v>
      </c>
      <c r="K418" s="17">
        <f>COUNTIFS(Sheet1!$C:$C,Feuil1!K$1,Sheet1!$D:$D,Feuil1!$C418)</f>
        <v>0</v>
      </c>
      <c r="L418" s="6">
        <f t="shared" si="74"/>
        <v>7</v>
      </c>
      <c r="M418" s="18" t="str">
        <f t="shared" si="69"/>
        <v>(416,7)</v>
      </c>
      <c r="N418" s="17">
        <f>COUNTIFS(Sheet1!$C:$C,Feuil1!N$1,Sheet1!$D:$D,Feuil1!$C418)</f>
        <v>0</v>
      </c>
      <c r="O418" s="6">
        <f t="shared" si="75"/>
        <v>797</v>
      </c>
      <c r="P418" s="18" t="str">
        <f t="shared" si="70"/>
        <v>(416,797)</v>
      </c>
    </row>
    <row r="419" spans="1:16" hidden="1" x14ac:dyDescent="0.2">
      <c r="A419" s="4">
        <f t="shared" si="76"/>
        <v>417</v>
      </c>
      <c r="B419" s="4"/>
      <c r="C419" s="7">
        <f t="shared" si="77"/>
        <v>45647</v>
      </c>
      <c r="D419" s="11" t="str">
        <f t="shared" si="71"/>
        <v>{2024-12-21},</v>
      </c>
      <c r="E419" s="17">
        <f>COUNTIFS(Sheet1!$C:$C,Feuil1!E$1,Sheet1!$D:$D,Feuil1!$C419)</f>
        <v>0</v>
      </c>
      <c r="F419" s="6">
        <f t="shared" si="78"/>
        <v>128</v>
      </c>
      <c r="G419" s="18" t="str">
        <f t="shared" si="72"/>
        <v>(417,128)</v>
      </c>
      <c r="H419" s="17">
        <f>COUNTIFS(Sheet1!$C:$C,Feuil1!H$1,Sheet1!$D:$D,Feuil1!$C419)</f>
        <v>0</v>
      </c>
      <c r="I419" s="6">
        <f t="shared" si="73"/>
        <v>31</v>
      </c>
      <c r="J419" s="18" t="str">
        <f t="shared" si="68"/>
        <v>(417,31)</v>
      </c>
      <c r="K419" s="17">
        <f>COUNTIFS(Sheet1!$C:$C,Feuil1!K$1,Sheet1!$D:$D,Feuil1!$C419)</f>
        <v>0</v>
      </c>
      <c r="L419" s="6">
        <f t="shared" si="74"/>
        <v>7</v>
      </c>
      <c r="M419" s="18" t="str">
        <f t="shared" si="69"/>
        <v>(417,7)</v>
      </c>
      <c r="N419" s="17">
        <f>COUNTIFS(Sheet1!$C:$C,Feuil1!N$1,Sheet1!$D:$D,Feuil1!$C419)</f>
        <v>0</v>
      </c>
      <c r="O419" s="6">
        <f t="shared" si="75"/>
        <v>797</v>
      </c>
      <c r="P419" s="18" t="str">
        <f t="shared" si="70"/>
        <v>(417,797)</v>
      </c>
    </row>
    <row r="420" spans="1:16" hidden="1" x14ac:dyDescent="0.2">
      <c r="A420" s="4">
        <f t="shared" si="76"/>
        <v>418</v>
      </c>
      <c r="B420" s="4"/>
      <c r="C420" s="7">
        <f t="shared" si="77"/>
        <v>45648</v>
      </c>
      <c r="D420" s="11" t="str">
        <f t="shared" si="71"/>
        <v>{2024-12-22},</v>
      </c>
      <c r="E420" s="17">
        <f>COUNTIFS(Sheet1!$C:$C,Feuil1!E$1,Sheet1!$D:$D,Feuil1!$C420)</f>
        <v>1</v>
      </c>
      <c r="F420" s="6">
        <f t="shared" si="78"/>
        <v>129</v>
      </c>
      <c r="G420" s="18" t="str">
        <f t="shared" si="72"/>
        <v>(418,129)</v>
      </c>
      <c r="H420" s="17">
        <f>COUNTIFS(Sheet1!$C:$C,Feuil1!H$1,Sheet1!$D:$D,Feuil1!$C420)</f>
        <v>0</v>
      </c>
      <c r="I420" s="6">
        <f t="shared" si="73"/>
        <v>31</v>
      </c>
      <c r="J420" s="18" t="str">
        <f t="shared" si="68"/>
        <v>(418,31)</v>
      </c>
      <c r="K420" s="17">
        <f>COUNTIFS(Sheet1!$C:$C,Feuil1!K$1,Sheet1!$D:$D,Feuil1!$C420)</f>
        <v>0</v>
      </c>
      <c r="L420" s="6">
        <f t="shared" si="74"/>
        <v>7</v>
      </c>
      <c r="M420" s="18" t="str">
        <f t="shared" si="69"/>
        <v>(418,7)</v>
      </c>
      <c r="N420" s="17">
        <f>COUNTIFS(Sheet1!$C:$C,Feuil1!N$1,Sheet1!$D:$D,Feuil1!$C420)</f>
        <v>0</v>
      </c>
      <c r="O420" s="6">
        <f t="shared" si="75"/>
        <v>797</v>
      </c>
      <c r="P420" s="18" t="str">
        <f t="shared" si="70"/>
        <v>(418,797)</v>
      </c>
    </row>
    <row r="421" spans="1:16" hidden="1" x14ac:dyDescent="0.2">
      <c r="A421" s="4">
        <f t="shared" si="76"/>
        <v>419</v>
      </c>
      <c r="B421" s="4"/>
      <c r="C421" s="7">
        <f t="shared" si="77"/>
        <v>45649</v>
      </c>
      <c r="D421" s="11" t="str">
        <f t="shared" si="71"/>
        <v>{2024-12-23},</v>
      </c>
      <c r="E421" s="17">
        <f>COUNTIFS(Sheet1!$C:$C,Feuil1!E$1,Sheet1!$D:$D,Feuil1!$C421)</f>
        <v>0</v>
      </c>
      <c r="F421" s="6">
        <f t="shared" si="78"/>
        <v>129</v>
      </c>
      <c r="G421" s="18" t="str">
        <f t="shared" si="72"/>
        <v>(419,129)</v>
      </c>
      <c r="H421" s="17">
        <f>COUNTIFS(Sheet1!$C:$C,Feuil1!H$1,Sheet1!$D:$D,Feuil1!$C421)</f>
        <v>0</v>
      </c>
      <c r="I421" s="6">
        <f t="shared" si="73"/>
        <v>31</v>
      </c>
      <c r="J421" s="18" t="str">
        <f t="shared" si="68"/>
        <v>(419,31)</v>
      </c>
      <c r="K421" s="17">
        <f>COUNTIFS(Sheet1!$C:$C,Feuil1!K$1,Sheet1!$D:$D,Feuil1!$C421)</f>
        <v>0</v>
      </c>
      <c r="L421" s="6">
        <f t="shared" si="74"/>
        <v>7</v>
      </c>
      <c r="M421" s="18" t="str">
        <f t="shared" si="69"/>
        <v>(419,7)</v>
      </c>
      <c r="N421" s="17">
        <f>COUNTIFS(Sheet1!$C:$C,Feuil1!N$1,Sheet1!$D:$D,Feuil1!$C421)</f>
        <v>0</v>
      </c>
      <c r="O421" s="6">
        <f t="shared" si="75"/>
        <v>797</v>
      </c>
      <c r="P421" s="18" t="str">
        <f t="shared" si="70"/>
        <v>(419,797)</v>
      </c>
    </row>
    <row r="422" spans="1:16" hidden="1" x14ac:dyDescent="0.2">
      <c r="A422" s="4">
        <f t="shared" si="76"/>
        <v>420</v>
      </c>
      <c r="B422" s="4"/>
      <c r="C422" s="7">
        <f t="shared" si="77"/>
        <v>45650</v>
      </c>
      <c r="D422" s="11" t="str">
        <f t="shared" si="71"/>
        <v>{2024-12-24},</v>
      </c>
      <c r="E422" s="17">
        <f>COUNTIFS(Sheet1!$C:$C,Feuil1!E$1,Sheet1!$D:$D,Feuil1!$C422)</f>
        <v>4</v>
      </c>
      <c r="F422" s="6">
        <f t="shared" si="78"/>
        <v>133</v>
      </c>
      <c r="G422" s="18" t="str">
        <f t="shared" si="72"/>
        <v>(420,133)</v>
      </c>
      <c r="H422" s="17">
        <f>COUNTIFS(Sheet1!$C:$C,Feuil1!H$1,Sheet1!$D:$D,Feuil1!$C422)</f>
        <v>0</v>
      </c>
      <c r="I422" s="6">
        <f t="shared" si="73"/>
        <v>31</v>
      </c>
      <c r="J422" s="18" t="str">
        <f t="shared" si="68"/>
        <v>(420,31)</v>
      </c>
      <c r="K422" s="17">
        <f>COUNTIFS(Sheet1!$C:$C,Feuil1!K$1,Sheet1!$D:$D,Feuil1!$C422)</f>
        <v>0</v>
      </c>
      <c r="L422" s="6">
        <f t="shared" si="74"/>
        <v>7</v>
      </c>
      <c r="M422" s="18" t="str">
        <f t="shared" si="69"/>
        <v>(420,7)</v>
      </c>
      <c r="N422" s="17">
        <f>COUNTIFS(Sheet1!$C:$C,Feuil1!N$1,Sheet1!$D:$D,Feuil1!$C422)</f>
        <v>0</v>
      </c>
      <c r="O422" s="6">
        <f t="shared" si="75"/>
        <v>797</v>
      </c>
      <c r="P422" s="18" t="str">
        <f t="shared" si="70"/>
        <v>(420,797)</v>
      </c>
    </row>
    <row r="423" spans="1:16" hidden="1" x14ac:dyDescent="0.2">
      <c r="A423" s="4">
        <f t="shared" si="76"/>
        <v>421</v>
      </c>
      <c r="B423" s="4"/>
      <c r="C423" s="7">
        <f t="shared" si="77"/>
        <v>45651</v>
      </c>
      <c r="D423" s="11" t="str">
        <f t="shared" si="71"/>
        <v>{2024-12-25},</v>
      </c>
      <c r="E423" s="17">
        <f>COUNTIFS(Sheet1!$C:$C,Feuil1!E$1,Sheet1!$D:$D,Feuil1!$C423)</f>
        <v>0</v>
      </c>
      <c r="F423" s="6">
        <f t="shared" si="78"/>
        <v>133</v>
      </c>
      <c r="G423" s="18" t="str">
        <f t="shared" si="72"/>
        <v>(421,133)</v>
      </c>
      <c r="H423" s="17">
        <f>COUNTIFS(Sheet1!$C:$C,Feuil1!H$1,Sheet1!$D:$D,Feuil1!$C423)</f>
        <v>0</v>
      </c>
      <c r="I423" s="6">
        <f t="shared" si="73"/>
        <v>31</v>
      </c>
      <c r="J423" s="18" t="str">
        <f t="shared" si="68"/>
        <v>(421,31)</v>
      </c>
      <c r="K423" s="17">
        <f>COUNTIFS(Sheet1!$C:$C,Feuil1!K$1,Sheet1!$D:$D,Feuil1!$C423)</f>
        <v>0</v>
      </c>
      <c r="L423" s="6">
        <f t="shared" si="74"/>
        <v>7</v>
      </c>
      <c r="M423" s="18" t="str">
        <f t="shared" si="69"/>
        <v>(421,7)</v>
      </c>
      <c r="N423" s="17">
        <f>COUNTIFS(Sheet1!$C:$C,Feuil1!N$1,Sheet1!$D:$D,Feuil1!$C423)</f>
        <v>0</v>
      </c>
      <c r="O423" s="6">
        <f t="shared" si="75"/>
        <v>797</v>
      </c>
      <c r="P423" s="18" t="str">
        <f t="shared" si="70"/>
        <v>(421,797)</v>
      </c>
    </row>
    <row r="424" spans="1:16" hidden="1" x14ac:dyDescent="0.2">
      <c r="A424" s="4">
        <f t="shared" si="76"/>
        <v>422</v>
      </c>
      <c r="B424" s="4"/>
      <c r="C424" s="7">
        <f t="shared" si="77"/>
        <v>45652</v>
      </c>
      <c r="D424" s="11" t="str">
        <f t="shared" si="71"/>
        <v>{2024-12-26},</v>
      </c>
      <c r="E424" s="17">
        <f>COUNTIFS(Sheet1!$C:$C,Feuil1!E$1,Sheet1!$D:$D,Feuil1!$C424)</f>
        <v>1</v>
      </c>
      <c r="F424" s="6">
        <f t="shared" si="78"/>
        <v>134</v>
      </c>
      <c r="G424" s="18" t="str">
        <f t="shared" si="72"/>
        <v>(422,134)</v>
      </c>
      <c r="H424" s="17">
        <f>COUNTIFS(Sheet1!$C:$C,Feuil1!H$1,Sheet1!$D:$D,Feuil1!$C424)</f>
        <v>0</v>
      </c>
      <c r="I424" s="6">
        <f t="shared" si="73"/>
        <v>31</v>
      </c>
      <c r="J424" s="18" t="str">
        <f t="shared" si="68"/>
        <v>(422,31)</v>
      </c>
      <c r="K424" s="17">
        <f>COUNTIFS(Sheet1!$C:$C,Feuil1!K$1,Sheet1!$D:$D,Feuil1!$C424)</f>
        <v>0</v>
      </c>
      <c r="L424" s="6">
        <f t="shared" si="74"/>
        <v>7</v>
      </c>
      <c r="M424" s="18" t="str">
        <f t="shared" si="69"/>
        <v>(422,7)</v>
      </c>
      <c r="N424" s="17">
        <f>COUNTIFS(Sheet1!$C:$C,Feuil1!N$1,Sheet1!$D:$D,Feuil1!$C424)</f>
        <v>0</v>
      </c>
      <c r="O424" s="6">
        <f t="shared" si="75"/>
        <v>797</v>
      </c>
      <c r="P424" s="18" t="str">
        <f t="shared" si="70"/>
        <v>(422,797)</v>
      </c>
    </row>
    <row r="425" spans="1:16" hidden="1" x14ac:dyDescent="0.2">
      <c r="A425" s="4">
        <f t="shared" si="76"/>
        <v>423</v>
      </c>
      <c r="B425" s="4"/>
      <c r="C425" s="7">
        <f t="shared" si="77"/>
        <v>45653</v>
      </c>
      <c r="D425" s="11" t="str">
        <f t="shared" si="71"/>
        <v>{2024-12-27},</v>
      </c>
      <c r="E425" s="17">
        <f>COUNTIFS(Sheet1!$C:$C,Feuil1!E$1,Sheet1!$D:$D,Feuil1!$C425)</f>
        <v>0</v>
      </c>
      <c r="F425" s="6">
        <f t="shared" si="78"/>
        <v>134</v>
      </c>
      <c r="G425" s="18" t="str">
        <f t="shared" si="72"/>
        <v>(423,134)</v>
      </c>
      <c r="H425" s="17">
        <f>COUNTIFS(Sheet1!$C:$C,Feuil1!H$1,Sheet1!$D:$D,Feuil1!$C425)</f>
        <v>0</v>
      </c>
      <c r="I425" s="6">
        <f t="shared" si="73"/>
        <v>31</v>
      </c>
      <c r="J425" s="18" t="str">
        <f t="shared" si="68"/>
        <v>(423,31)</v>
      </c>
      <c r="K425" s="17">
        <f>COUNTIFS(Sheet1!$C:$C,Feuil1!K$1,Sheet1!$D:$D,Feuil1!$C425)</f>
        <v>0</v>
      </c>
      <c r="L425" s="6">
        <f t="shared" si="74"/>
        <v>7</v>
      </c>
      <c r="M425" s="18" t="str">
        <f t="shared" si="69"/>
        <v>(423,7)</v>
      </c>
      <c r="N425" s="17">
        <f>COUNTIFS(Sheet1!$C:$C,Feuil1!N$1,Sheet1!$D:$D,Feuil1!$C425)</f>
        <v>0</v>
      </c>
      <c r="O425" s="6">
        <f t="shared" si="75"/>
        <v>797</v>
      </c>
      <c r="P425" s="18" t="str">
        <f t="shared" si="70"/>
        <v>(423,797)</v>
      </c>
    </row>
    <row r="426" spans="1:16" hidden="1" x14ac:dyDescent="0.2">
      <c r="A426" s="4">
        <f t="shared" si="76"/>
        <v>424</v>
      </c>
      <c r="B426" s="4"/>
      <c r="C426" s="7">
        <f t="shared" si="77"/>
        <v>45654</v>
      </c>
      <c r="D426" s="11" t="str">
        <f t="shared" si="71"/>
        <v>{2024-12-28},</v>
      </c>
      <c r="E426" s="17">
        <f>COUNTIFS(Sheet1!$C:$C,Feuil1!E$1,Sheet1!$D:$D,Feuil1!$C426)</f>
        <v>1</v>
      </c>
      <c r="F426" s="6">
        <f t="shared" si="78"/>
        <v>135</v>
      </c>
      <c r="G426" s="18" t="str">
        <f t="shared" si="72"/>
        <v>(424,135)</v>
      </c>
      <c r="H426" s="17">
        <f>COUNTIFS(Sheet1!$C:$C,Feuil1!H$1,Sheet1!$D:$D,Feuil1!$C426)</f>
        <v>0</v>
      </c>
      <c r="I426" s="6">
        <f t="shared" si="73"/>
        <v>31</v>
      </c>
      <c r="J426" s="18" t="str">
        <f t="shared" si="68"/>
        <v>(424,31)</v>
      </c>
      <c r="K426" s="17">
        <f>COUNTIFS(Sheet1!$C:$C,Feuil1!K$1,Sheet1!$D:$D,Feuil1!$C426)</f>
        <v>0</v>
      </c>
      <c r="L426" s="6">
        <f t="shared" si="74"/>
        <v>7</v>
      </c>
      <c r="M426" s="18" t="str">
        <f t="shared" si="69"/>
        <v>(424,7)</v>
      </c>
      <c r="N426" s="17">
        <f>COUNTIFS(Sheet1!$C:$C,Feuil1!N$1,Sheet1!$D:$D,Feuil1!$C426)</f>
        <v>0</v>
      </c>
      <c r="O426" s="6">
        <f t="shared" si="75"/>
        <v>797</v>
      </c>
      <c r="P426" s="18" t="str">
        <f t="shared" si="70"/>
        <v>(424,797)</v>
      </c>
    </row>
    <row r="427" spans="1:16" hidden="1" x14ac:dyDescent="0.2">
      <c r="A427" s="4">
        <f t="shared" si="76"/>
        <v>425</v>
      </c>
      <c r="B427" s="4"/>
      <c r="C427" s="7">
        <f t="shared" si="77"/>
        <v>45655</v>
      </c>
      <c r="D427" s="11" t="str">
        <f t="shared" si="71"/>
        <v>{2024-12-29},</v>
      </c>
      <c r="E427" s="17">
        <f>COUNTIFS(Sheet1!$C:$C,Feuil1!E$1,Sheet1!$D:$D,Feuil1!$C427)</f>
        <v>1</v>
      </c>
      <c r="F427" s="6">
        <f t="shared" si="78"/>
        <v>136</v>
      </c>
      <c r="G427" s="18" t="str">
        <f t="shared" si="72"/>
        <v>(425,136)</v>
      </c>
      <c r="H427" s="17">
        <f>COUNTIFS(Sheet1!$C:$C,Feuil1!H$1,Sheet1!$D:$D,Feuil1!$C427)</f>
        <v>0</v>
      </c>
      <c r="I427" s="6">
        <f t="shared" si="73"/>
        <v>31</v>
      </c>
      <c r="J427" s="18" t="str">
        <f t="shared" si="68"/>
        <v>(425,31)</v>
      </c>
      <c r="K427" s="17">
        <f>COUNTIFS(Sheet1!$C:$C,Feuil1!K$1,Sheet1!$D:$D,Feuil1!$C427)</f>
        <v>0</v>
      </c>
      <c r="L427" s="6">
        <f t="shared" si="74"/>
        <v>7</v>
      </c>
      <c r="M427" s="18" t="str">
        <f t="shared" si="69"/>
        <v>(425,7)</v>
      </c>
      <c r="N427" s="17">
        <f>COUNTIFS(Sheet1!$C:$C,Feuil1!N$1,Sheet1!$D:$D,Feuil1!$C427)</f>
        <v>0</v>
      </c>
      <c r="O427" s="6">
        <f t="shared" si="75"/>
        <v>797</v>
      </c>
      <c r="P427" s="18" t="str">
        <f t="shared" si="70"/>
        <v>(425,797)</v>
      </c>
    </row>
    <row r="428" spans="1:16" hidden="1" x14ac:dyDescent="0.2">
      <c r="A428" s="4">
        <f t="shared" si="76"/>
        <v>426</v>
      </c>
      <c r="B428" s="4"/>
      <c r="C428" s="7">
        <f t="shared" si="77"/>
        <v>45656</v>
      </c>
      <c r="D428" s="11" t="str">
        <f t="shared" si="71"/>
        <v>{2024-12-30},</v>
      </c>
      <c r="E428" s="17">
        <f>COUNTIFS(Sheet1!$C:$C,Feuil1!E$1,Sheet1!$D:$D,Feuil1!$C428)</f>
        <v>1</v>
      </c>
      <c r="F428" s="6">
        <f t="shared" si="78"/>
        <v>137</v>
      </c>
      <c r="G428" s="18" t="str">
        <f t="shared" si="72"/>
        <v>(426,137)</v>
      </c>
      <c r="H428" s="17">
        <f>COUNTIFS(Sheet1!$C:$C,Feuil1!H$1,Sheet1!$D:$D,Feuil1!$C428)</f>
        <v>0</v>
      </c>
      <c r="I428" s="6">
        <f t="shared" si="73"/>
        <v>31</v>
      </c>
      <c r="J428" s="18" t="str">
        <f t="shared" si="68"/>
        <v>(426,31)</v>
      </c>
      <c r="K428" s="17">
        <f>COUNTIFS(Sheet1!$C:$C,Feuil1!K$1,Sheet1!$D:$D,Feuil1!$C428)</f>
        <v>0</v>
      </c>
      <c r="L428" s="6">
        <f t="shared" si="74"/>
        <v>7</v>
      </c>
      <c r="M428" s="18" t="str">
        <f t="shared" si="69"/>
        <v>(426,7)</v>
      </c>
      <c r="N428" s="17">
        <f>COUNTIFS(Sheet1!$C:$C,Feuil1!N$1,Sheet1!$D:$D,Feuil1!$C428)</f>
        <v>0</v>
      </c>
      <c r="O428" s="6">
        <f t="shared" si="75"/>
        <v>797</v>
      </c>
      <c r="P428" s="18" t="str">
        <f t="shared" si="70"/>
        <v>(426,797)</v>
      </c>
    </row>
    <row r="429" spans="1:16" hidden="1" x14ac:dyDescent="0.2">
      <c r="A429" s="4">
        <f t="shared" si="76"/>
        <v>427</v>
      </c>
      <c r="B429" s="4"/>
      <c r="C429" s="7">
        <f t="shared" si="77"/>
        <v>45657</v>
      </c>
      <c r="D429" s="11" t="str">
        <f t="shared" si="71"/>
        <v>{2024-12-31},</v>
      </c>
      <c r="E429" s="17">
        <f>COUNTIFS(Sheet1!$C:$C,Feuil1!E$1,Sheet1!$D:$D,Feuil1!$C429)</f>
        <v>0</v>
      </c>
      <c r="F429" s="6">
        <f t="shared" si="78"/>
        <v>137</v>
      </c>
      <c r="G429" s="18" t="str">
        <f t="shared" si="72"/>
        <v>(427,137)</v>
      </c>
      <c r="H429" s="17">
        <f>COUNTIFS(Sheet1!$C:$C,Feuil1!H$1,Sheet1!$D:$D,Feuil1!$C429)</f>
        <v>0</v>
      </c>
      <c r="I429" s="6">
        <f t="shared" si="73"/>
        <v>31</v>
      </c>
      <c r="J429" s="18" t="str">
        <f t="shared" si="68"/>
        <v>(427,31)</v>
      </c>
      <c r="K429" s="17">
        <f>COUNTIFS(Sheet1!$C:$C,Feuil1!K$1,Sheet1!$D:$D,Feuil1!$C429)</f>
        <v>0</v>
      </c>
      <c r="L429" s="6">
        <f t="shared" si="74"/>
        <v>7</v>
      </c>
      <c r="M429" s="18" t="str">
        <f t="shared" si="69"/>
        <v>(427,7)</v>
      </c>
      <c r="N429" s="17">
        <f>COUNTIFS(Sheet1!$C:$C,Feuil1!N$1,Sheet1!$D:$D,Feuil1!$C429)</f>
        <v>0</v>
      </c>
      <c r="O429" s="6">
        <f t="shared" si="75"/>
        <v>797</v>
      </c>
      <c r="P429" s="18" t="str">
        <f t="shared" si="70"/>
        <v>(427,797)</v>
      </c>
    </row>
    <row r="430" spans="1:16" hidden="1" x14ac:dyDescent="0.2">
      <c r="A430" s="4">
        <f t="shared" si="76"/>
        <v>428</v>
      </c>
      <c r="B430" s="4"/>
      <c r="C430" s="5">
        <f t="shared" si="77"/>
        <v>45658</v>
      </c>
      <c r="D430" s="11" t="str">
        <f t="shared" si="71"/>
        <v>{2025-01-01},</v>
      </c>
      <c r="E430" s="17">
        <f>COUNTIFS(Sheet1!$C:$C,Feuil1!E$1,Sheet1!$D:$D,Feuil1!$C430)</f>
        <v>1</v>
      </c>
      <c r="F430" s="6">
        <f t="shared" si="78"/>
        <v>138</v>
      </c>
      <c r="G430" s="18" t="str">
        <f t="shared" si="72"/>
        <v>(428,138)</v>
      </c>
      <c r="H430" s="17">
        <f>COUNTIFS(Sheet1!$C:$C,Feuil1!H$1,Sheet1!$D:$D,Feuil1!$C430)</f>
        <v>0</v>
      </c>
      <c r="I430" s="6">
        <f t="shared" si="73"/>
        <v>31</v>
      </c>
      <c r="J430" s="18" t="str">
        <f t="shared" si="68"/>
        <v>(428,31)</v>
      </c>
      <c r="K430" s="17">
        <f>COUNTIFS(Sheet1!$C:$C,Feuil1!K$1,Sheet1!$D:$D,Feuil1!$C430)</f>
        <v>0</v>
      </c>
      <c r="L430" s="6">
        <f t="shared" si="74"/>
        <v>7</v>
      </c>
      <c r="M430" s="18" t="str">
        <f t="shared" si="69"/>
        <v>(428,7)</v>
      </c>
      <c r="N430" s="17">
        <f>COUNTIFS(Sheet1!$C:$C,Feuil1!N$1,Sheet1!$D:$D,Feuil1!$C430)</f>
        <v>0</v>
      </c>
      <c r="O430" s="6">
        <f t="shared" si="75"/>
        <v>797</v>
      </c>
      <c r="P430" s="18" t="str">
        <f t="shared" si="70"/>
        <v>(428,797)</v>
      </c>
    </row>
    <row r="431" spans="1:16" hidden="1" x14ac:dyDescent="0.2">
      <c r="A431" s="4">
        <f t="shared" si="76"/>
        <v>429</v>
      </c>
      <c r="B431" s="4"/>
      <c r="C431" s="7">
        <f t="shared" si="77"/>
        <v>45659</v>
      </c>
      <c r="D431" s="11" t="str">
        <f t="shared" si="71"/>
        <v>{2025-01-02},</v>
      </c>
      <c r="E431" s="17">
        <f>COUNTIFS(Sheet1!$C:$C,Feuil1!E$1,Sheet1!$D:$D,Feuil1!$C431)</f>
        <v>1</v>
      </c>
      <c r="F431" s="6">
        <f t="shared" si="78"/>
        <v>139</v>
      </c>
      <c r="G431" s="18" t="str">
        <f t="shared" si="72"/>
        <v>(429,139)</v>
      </c>
      <c r="H431" s="17">
        <f>COUNTIFS(Sheet1!$C:$C,Feuil1!H$1,Sheet1!$D:$D,Feuil1!$C431)</f>
        <v>0</v>
      </c>
      <c r="I431" s="6">
        <f t="shared" si="73"/>
        <v>31</v>
      </c>
      <c r="J431" s="18" t="str">
        <f t="shared" si="68"/>
        <v>(429,31)</v>
      </c>
      <c r="K431" s="17">
        <f>COUNTIFS(Sheet1!$C:$C,Feuil1!K$1,Sheet1!$D:$D,Feuil1!$C431)</f>
        <v>0</v>
      </c>
      <c r="L431" s="6">
        <f t="shared" si="74"/>
        <v>7</v>
      </c>
      <c r="M431" s="18" t="str">
        <f t="shared" si="69"/>
        <v>(429,7)</v>
      </c>
      <c r="N431" s="17">
        <f>COUNTIFS(Sheet1!$C:$C,Feuil1!N$1,Sheet1!$D:$D,Feuil1!$C431)</f>
        <v>0</v>
      </c>
      <c r="O431" s="6">
        <f t="shared" si="75"/>
        <v>797</v>
      </c>
      <c r="P431" s="18" t="str">
        <f t="shared" si="70"/>
        <v>(429,797)</v>
      </c>
    </row>
    <row r="432" spans="1:16" hidden="1" x14ac:dyDescent="0.2">
      <c r="A432" s="4">
        <f t="shared" si="76"/>
        <v>430</v>
      </c>
      <c r="B432" s="4"/>
      <c r="C432" s="7">
        <f t="shared" si="77"/>
        <v>45660</v>
      </c>
      <c r="D432" s="11" t="str">
        <f t="shared" si="71"/>
        <v>{2025-01-03},</v>
      </c>
      <c r="E432" s="17">
        <f>COUNTIFS(Sheet1!$C:$C,Feuil1!E$1,Sheet1!$D:$D,Feuil1!$C432)</f>
        <v>0</v>
      </c>
      <c r="F432" s="6">
        <f t="shared" si="78"/>
        <v>139</v>
      </c>
      <c r="G432" s="18" t="str">
        <f t="shared" si="72"/>
        <v>(430,139)</v>
      </c>
      <c r="H432" s="17">
        <f>COUNTIFS(Sheet1!$C:$C,Feuil1!H$1,Sheet1!$D:$D,Feuil1!$C432)</f>
        <v>0</v>
      </c>
      <c r="I432" s="6">
        <f t="shared" si="73"/>
        <v>31</v>
      </c>
      <c r="J432" s="18" t="str">
        <f t="shared" si="68"/>
        <v>(430,31)</v>
      </c>
      <c r="K432" s="17">
        <f>COUNTIFS(Sheet1!$C:$C,Feuil1!K$1,Sheet1!$D:$D,Feuil1!$C432)</f>
        <v>0</v>
      </c>
      <c r="L432" s="6">
        <f t="shared" si="74"/>
        <v>7</v>
      </c>
      <c r="M432" s="18" t="str">
        <f t="shared" si="69"/>
        <v>(430,7)</v>
      </c>
      <c r="N432" s="17">
        <f>COUNTIFS(Sheet1!$C:$C,Feuil1!N$1,Sheet1!$D:$D,Feuil1!$C432)</f>
        <v>0</v>
      </c>
      <c r="O432" s="6">
        <f t="shared" si="75"/>
        <v>797</v>
      </c>
      <c r="P432" s="18" t="str">
        <f t="shared" si="70"/>
        <v>(430,797)</v>
      </c>
    </row>
    <row r="433" spans="1:16" hidden="1" x14ac:dyDescent="0.2">
      <c r="A433" s="4">
        <f t="shared" si="76"/>
        <v>431</v>
      </c>
      <c r="B433" s="4"/>
      <c r="C433" s="7">
        <f t="shared" si="77"/>
        <v>45661</v>
      </c>
      <c r="D433" s="11" t="str">
        <f t="shared" si="71"/>
        <v>{2025-01-04},</v>
      </c>
      <c r="E433" s="17">
        <f>COUNTIFS(Sheet1!$C:$C,Feuil1!E$1,Sheet1!$D:$D,Feuil1!$C433)</f>
        <v>0</v>
      </c>
      <c r="F433" s="6">
        <f t="shared" si="78"/>
        <v>139</v>
      </c>
      <c r="G433" s="18" t="str">
        <f t="shared" si="72"/>
        <v>(431,139)</v>
      </c>
      <c r="H433" s="17">
        <f>COUNTIFS(Sheet1!$C:$C,Feuil1!H$1,Sheet1!$D:$D,Feuil1!$C433)</f>
        <v>0</v>
      </c>
      <c r="I433" s="6">
        <f t="shared" si="73"/>
        <v>31</v>
      </c>
      <c r="J433" s="18" t="str">
        <f t="shared" si="68"/>
        <v>(431,31)</v>
      </c>
      <c r="K433" s="17">
        <f>COUNTIFS(Sheet1!$C:$C,Feuil1!K$1,Sheet1!$D:$D,Feuil1!$C433)</f>
        <v>0</v>
      </c>
      <c r="L433" s="6">
        <f t="shared" si="74"/>
        <v>7</v>
      </c>
      <c r="M433" s="18" t="str">
        <f t="shared" si="69"/>
        <v>(431,7)</v>
      </c>
      <c r="N433" s="17">
        <f>COUNTIFS(Sheet1!$C:$C,Feuil1!N$1,Sheet1!$D:$D,Feuil1!$C433)</f>
        <v>0</v>
      </c>
      <c r="O433" s="6">
        <f t="shared" si="75"/>
        <v>797</v>
      </c>
      <c r="P433" s="18" t="str">
        <f t="shared" si="70"/>
        <v>(431,797)</v>
      </c>
    </row>
    <row r="434" spans="1:16" hidden="1" x14ac:dyDescent="0.2">
      <c r="A434" s="4">
        <f t="shared" si="76"/>
        <v>432</v>
      </c>
      <c r="B434" s="4"/>
      <c r="C434" s="7">
        <f t="shared" si="77"/>
        <v>45662</v>
      </c>
      <c r="D434" s="11" t="str">
        <f t="shared" si="71"/>
        <v>{2025-01-05},</v>
      </c>
      <c r="E434" s="17">
        <f>COUNTIFS(Sheet1!$C:$C,Feuil1!E$1,Sheet1!$D:$D,Feuil1!$C434)</f>
        <v>0</v>
      </c>
      <c r="F434" s="6">
        <f t="shared" si="78"/>
        <v>139</v>
      </c>
      <c r="G434" s="18" t="str">
        <f t="shared" si="72"/>
        <v>(432,139)</v>
      </c>
      <c r="H434" s="17">
        <f>COUNTIFS(Sheet1!$C:$C,Feuil1!H$1,Sheet1!$D:$D,Feuil1!$C434)</f>
        <v>0</v>
      </c>
      <c r="I434" s="6">
        <f t="shared" si="73"/>
        <v>31</v>
      </c>
      <c r="J434" s="18" t="str">
        <f t="shared" si="68"/>
        <v>(432,31)</v>
      </c>
      <c r="K434" s="17">
        <f>COUNTIFS(Sheet1!$C:$C,Feuil1!K$1,Sheet1!$D:$D,Feuil1!$C434)</f>
        <v>0</v>
      </c>
      <c r="L434" s="6">
        <f t="shared" si="74"/>
        <v>7</v>
      </c>
      <c r="M434" s="18" t="str">
        <f t="shared" si="69"/>
        <v>(432,7)</v>
      </c>
      <c r="N434" s="17">
        <f>COUNTIFS(Sheet1!$C:$C,Feuil1!N$1,Sheet1!$D:$D,Feuil1!$C434)</f>
        <v>0</v>
      </c>
      <c r="O434" s="6">
        <f t="shared" si="75"/>
        <v>797</v>
      </c>
      <c r="P434" s="18" t="str">
        <f t="shared" si="70"/>
        <v>(432,797)</v>
      </c>
    </row>
    <row r="435" spans="1:16" hidden="1" x14ac:dyDescent="0.2">
      <c r="A435" s="4">
        <f t="shared" si="76"/>
        <v>433</v>
      </c>
      <c r="B435" s="4"/>
      <c r="C435" s="7">
        <f t="shared" si="77"/>
        <v>45663</v>
      </c>
      <c r="D435" s="11" t="str">
        <f t="shared" si="71"/>
        <v>{2025-01-06},</v>
      </c>
      <c r="E435" s="17">
        <f>COUNTIFS(Sheet1!$C:$C,Feuil1!E$1,Sheet1!$D:$D,Feuil1!$C435)</f>
        <v>0</v>
      </c>
      <c r="F435" s="6">
        <f t="shared" si="78"/>
        <v>139</v>
      </c>
      <c r="G435" s="18" t="str">
        <f t="shared" si="72"/>
        <v>(433,139)</v>
      </c>
      <c r="H435" s="17">
        <f>COUNTIFS(Sheet1!$C:$C,Feuil1!H$1,Sheet1!$D:$D,Feuil1!$C435)</f>
        <v>0</v>
      </c>
      <c r="I435" s="6">
        <f t="shared" si="73"/>
        <v>31</v>
      </c>
      <c r="J435" s="18" t="str">
        <f t="shared" si="68"/>
        <v>(433,31)</v>
      </c>
      <c r="K435" s="17">
        <f>COUNTIFS(Sheet1!$C:$C,Feuil1!K$1,Sheet1!$D:$D,Feuil1!$C435)</f>
        <v>0</v>
      </c>
      <c r="L435" s="6">
        <f t="shared" si="74"/>
        <v>7</v>
      </c>
      <c r="M435" s="18" t="str">
        <f t="shared" si="69"/>
        <v>(433,7)</v>
      </c>
      <c r="N435" s="17">
        <f>COUNTIFS(Sheet1!$C:$C,Feuil1!N$1,Sheet1!$D:$D,Feuil1!$C435)</f>
        <v>0</v>
      </c>
      <c r="O435" s="6">
        <f t="shared" si="75"/>
        <v>797</v>
      </c>
      <c r="P435" s="18" t="str">
        <f t="shared" si="70"/>
        <v>(433,797)</v>
      </c>
    </row>
    <row r="436" spans="1:16" hidden="1" x14ac:dyDescent="0.2">
      <c r="A436" s="4">
        <f t="shared" si="76"/>
        <v>434</v>
      </c>
      <c r="B436" s="4"/>
      <c r="C436" s="7">
        <f t="shared" si="77"/>
        <v>45664</v>
      </c>
      <c r="D436" s="11" t="str">
        <f t="shared" si="71"/>
        <v>{2025-01-07},</v>
      </c>
      <c r="E436" s="17">
        <f>COUNTIFS(Sheet1!$C:$C,Feuil1!E$1,Sheet1!$D:$D,Feuil1!$C436)</f>
        <v>2</v>
      </c>
      <c r="F436" s="6">
        <f t="shared" si="78"/>
        <v>141</v>
      </c>
      <c r="G436" s="18" t="str">
        <f t="shared" si="72"/>
        <v>(434,141)</v>
      </c>
      <c r="H436" s="17">
        <f>COUNTIFS(Sheet1!$C:$C,Feuil1!H$1,Sheet1!$D:$D,Feuil1!$C436)</f>
        <v>0</v>
      </c>
      <c r="I436" s="6">
        <f t="shared" si="73"/>
        <v>31</v>
      </c>
      <c r="J436" s="18" t="str">
        <f t="shared" si="68"/>
        <v>(434,31)</v>
      </c>
      <c r="K436" s="17">
        <f>COUNTIFS(Sheet1!$C:$C,Feuil1!K$1,Sheet1!$D:$D,Feuil1!$C436)</f>
        <v>0</v>
      </c>
      <c r="L436" s="6">
        <f t="shared" si="74"/>
        <v>7</v>
      </c>
      <c r="M436" s="18" t="str">
        <f t="shared" si="69"/>
        <v>(434,7)</v>
      </c>
      <c r="N436" s="17">
        <f>COUNTIFS(Sheet1!$C:$C,Feuil1!N$1,Sheet1!$D:$D,Feuil1!$C436)</f>
        <v>0</v>
      </c>
      <c r="O436" s="6">
        <f t="shared" si="75"/>
        <v>797</v>
      </c>
      <c r="P436" s="18" t="str">
        <f t="shared" si="70"/>
        <v>(434,797)</v>
      </c>
    </row>
    <row r="437" spans="1:16" hidden="1" x14ac:dyDescent="0.2">
      <c r="A437" s="4">
        <f t="shared" si="76"/>
        <v>435</v>
      </c>
      <c r="B437" s="4"/>
      <c r="C437" s="7">
        <f t="shared" si="77"/>
        <v>45665</v>
      </c>
      <c r="D437" s="11" t="str">
        <f t="shared" si="71"/>
        <v>{2025-01-08},</v>
      </c>
      <c r="E437" s="17">
        <f>COUNTIFS(Sheet1!$C:$C,Feuil1!E$1,Sheet1!$D:$D,Feuil1!$C437)</f>
        <v>2</v>
      </c>
      <c r="F437" s="6">
        <f t="shared" si="78"/>
        <v>143</v>
      </c>
      <c r="G437" s="18" t="str">
        <f t="shared" si="72"/>
        <v>(435,143)</v>
      </c>
      <c r="H437" s="17">
        <f>COUNTIFS(Sheet1!$C:$C,Feuil1!H$1,Sheet1!$D:$D,Feuil1!$C437)</f>
        <v>0</v>
      </c>
      <c r="I437" s="6">
        <f t="shared" si="73"/>
        <v>31</v>
      </c>
      <c r="J437" s="18" t="str">
        <f t="shared" si="68"/>
        <v>(435,31)</v>
      </c>
      <c r="K437" s="17">
        <f>COUNTIFS(Sheet1!$C:$C,Feuil1!K$1,Sheet1!$D:$D,Feuil1!$C437)</f>
        <v>0</v>
      </c>
      <c r="L437" s="6">
        <f t="shared" si="74"/>
        <v>7</v>
      </c>
      <c r="M437" s="18" t="str">
        <f t="shared" si="69"/>
        <v>(435,7)</v>
      </c>
      <c r="N437" s="17">
        <f>COUNTIFS(Sheet1!$C:$C,Feuil1!N$1,Sheet1!$D:$D,Feuil1!$C437)</f>
        <v>0</v>
      </c>
      <c r="O437" s="6">
        <f t="shared" si="75"/>
        <v>797</v>
      </c>
      <c r="P437" s="18" t="str">
        <f t="shared" si="70"/>
        <v>(435,797)</v>
      </c>
    </row>
    <row r="438" spans="1:16" hidden="1" x14ac:dyDescent="0.2">
      <c r="A438" s="4">
        <f t="shared" si="76"/>
        <v>436</v>
      </c>
      <c r="B438" s="4"/>
      <c r="C438" s="7">
        <f t="shared" si="77"/>
        <v>45666</v>
      </c>
      <c r="D438" s="11" t="str">
        <f t="shared" si="71"/>
        <v>{2025-01-09},</v>
      </c>
      <c r="E438" s="17">
        <f>COUNTIFS(Sheet1!$C:$C,Feuil1!E$1,Sheet1!$D:$D,Feuil1!$C438)</f>
        <v>1</v>
      </c>
      <c r="F438" s="6">
        <f t="shared" si="78"/>
        <v>144</v>
      </c>
      <c r="G438" s="18" t="str">
        <f t="shared" si="72"/>
        <v>(436,144)</v>
      </c>
      <c r="H438" s="17">
        <f>COUNTIFS(Sheet1!$C:$C,Feuil1!H$1,Sheet1!$D:$D,Feuil1!$C438)</f>
        <v>0</v>
      </c>
      <c r="I438" s="6">
        <f t="shared" si="73"/>
        <v>31</v>
      </c>
      <c r="J438" s="18" t="str">
        <f t="shared" si="68"/>
        <v>(436,31)</v>
      </c>
      <c r="K438" s="17">
        <f>COUNTIFS(Sheet1!$C:$C,Feuil1!K$1,Sheet1!$D:$D,Feuil1!$C438)</f>
        <v>0</v>
      </c>
      <c r="L438" s="6">
        <f t="shared" si="74"/>
        <v>7</v>
      </c>
      <c r="M438" s="18" t="str">
        <f t="shared" si="69"/>
        <v>(436,7)</v>
      </c>
      <c r="N438" s="17">
        <f>COUNTIFS(Sheet1!$C:$C,Feuil1!N$1,Sheet1!$D:$D,Feuil1!$C438)</f>
        <v>0</v>
      </c>
      <c r="O438" s="6">
        <f t="shared" si="75"/>
        <v>797</v>
      </c>
      <c r="P438" s="18" t="str">
        <f t="shared" si="70"/>
        <v>(436,797)</v>
      </c>
    </row>
    <row r="439" spans="1:16" hidden="1" x14ac:dyDescent="0.2">
      <c r="A439" s="4">
        <f t="shared" si="76"/>
        <v>437</v>
      </c>
      <c r="B439" s="4"/>
      <c r="C439" s="7">
        <f t="shared" si="77"/>
        <v>45667</v>
      </c>
      <c r="D439" s="11" t="str">
        <f t="shared" si="71"/>
        <v>{2025-01-10},</v>
      </c>
      <c r="E439" s="17">
        <f>COUNTIFS(Sheet1!$C:$C,Feuil1!E$1,Sheet1!$D:$D,Feuil1!$C439)</f>
        <v>0</v>
      </c>
      <c r="F439" s="6">
        <f t="shared" si="78"/>
        <v>144</v>
      </c>
      <c r="G439" s="18" t="str">
        <f t="shared" si="72"/>
        <v>(437,144)</v>
      </c>
      <c r="H439" s="17">
        <f>COUNTIFS(Sheet1!$C:$C,Feuil1!H$1,Sheet1!$D:$D,Feuil1!$C439)</f>
        <v>0</v>
      </c>
      <c r="I439" s="6">
        <f t="shared" si="73"/>
        <v>31</v>
      </c>
      <c r="J439" s="18" t="str">
        <f t="shared" si="68"/>
        <v>(437,31)</v>
      </c>
      <c r="K439" s="17">
        <f>COUNTIFS(Sheet1!$C:$C,Feuil1!K$1,Sheet1!$D:$D,Feuil1!$C439)</f>
        <v>0</v>
      </c>
      <c r="L439" s="6">
        <f t="shared" si="74"/>
        <v>7</v>
      </c>
      <c r="M439" s="18" t="str">
        <f t="shared" si="69"/>
        <v>(437,7)</v>
      </c>
      <c r="N439" s="17">
        <f>COUNTIFS(Sheet1!$C:$C,Feuil1!N$1,Sheet1!$D:$D,Feuil1!$C439)</f>
        <v>0</v>
      </c>
      <c r="O439" s="6">
        <f t="shared" si="75"/>
        <v>797</v>
      </c>
      <c r="P439" s="18" t="str">
        <f t="shared" si="70"/>
        <v>(437,797)</v>
      </c>
    </row>
    <row r="440" spans="1:16" hidden="1" x14ac:dyDescent="0.2">
      <c r="A440" s="4">
        <f t="shared" si="76"/>
        <v>438</v>
      </c>
      <c r="B440" s="4"/>
      <c r="C440" s="7">
        <f t="shared" si="77"/>
        <v>45668</v>
      </c>
      <c r="D440" s="11" t="str">
        <f t="shared" si="71"/>
        <v>{2025-01-11},</v>
      </c>
      <c r="E440" s="17">
        <f>COUNTIFS(Sheet1!$C:$C,Feuil1!E$1,Sheet1!$D:$D,Feuil1!$C440)</f>
        <v>0</v>
      </c>
      <c r="F440" s="6">
        <f t="shared" si="78"/>
        <v>144</v>
      </c>
      <c r="G440" s="18" t="str">
        <f t="shared" si="72"/>
        <v>(438,144)</v>
      </c>
      <c r="H440" s="17">
        <f>COUNTIFS(Sheet1!$C:$C,Feuil1!H$1,Sheet1!$D:$D,Feuil1!$C440)</f>
        <v>0</v>
      </c>
      <c r="I440" s="6">
        <f t="shared" si="73"/>
        <v>31</v>
      </c>
      <c r="J440" s="18" t="str">
        <f t="shared" si="68"/>
        <v>(438,31)</v>
      </c>
      <c r="K440" s="17">
        <f>COUNTIFS(Sheet1!$C:$C,Feuil1!K$1,Sheet1!$D:$D,Feuil1!$C440)</f>
        <v>0</v>
      </c>
      <c r="L440" s="6">
        <f t="shared" si="74"/>
        <v>7</v>
      </c>
      <c r="M440" s="18" t="str">
        <f t="shared" si="69"/>
        <v>(438,7)</v>
      </c>
      <c r="N440" s="17">
        <f>COUNTIFS(Sheet1!$C:$C,Feuil1!N$1,Sheet1!$D:$D,Feuil1!$C440)</f>
        <v>0</v>
      </c>
      <c r="O440" s="6">
        <f t="shared" si="75"/>
        <v>797</v>
      </c>
      <c r="P440" s="18" t="str">
        <f t="shared" si="70"/>
        <v>(438,797)</v>
      </c>
    </row>
    <row r="441" spans="1:16" hidden="1" x14ac:dyDescent="0.2">
      <c r="A441" s="4">
        <f t="shared" si="76"/>
        <v>439</v>
      </c>
      <c r="B441" s="4"/>
      <c r="C441" s="7">
        <f t="shared" si="77"/>
        <v>45669</v>
      </c>
      <c r="D441" s="11" t="str">
        <f t="shared" si="71"/>
        <v>{2025-01-12},</v>
      </c>
      <c r="E441" s="17">
        <f>COUNTIFS(Sheet1!$C:$C,Feuil1!E$1,Sheet1!$D:$D,Feuil1!$C441)</f>
        <v>0</v>
      </c>
      <c r="F441" s="6">
        <f t="shared" si="78"/>
        <v>144</v>
      </c>
      <c r="G441" s="18" t="str">
        <f t="shared" si="72"/>
        <v>(439,144)</v>
      </c>
      <c r="H441" s="17">
        <f>COUNTIFS(Sheet1!$C:$C,Feuil1!H$1,Sheet1!$D:$D,Feuil1!$C441)</f>
        <v>0</v>
      </c>
      <c r="I441" s="6">
        <f t="shared" si="73"/>
        <v>31</v>
      </c>
      <c r="J441" s="18" t="str">
        <f t="shared" si="68"/>
        <v>(439,31)</v>
      </c>
      <c r="K441" s="17">
        <f>COUNTIFS(Sheet1!$C:$C,Feuil1!K$1,Sheet1!$D:$D,Feuil1!$C441)</f>
        <v>0</v>
      </c>
      <c r="L441" s="6">
        <f t="shared" si="74"/>
        <v>7</v>
      </c>
      <c r="M441" s="18" t="str">
        <f t="shared" si="69"/>
        <v>(439,7)</v>
      </c>
      <c r="N441" s="17">
        <f>COUNTIFS(Sheet1!$C:$C,Feuil1!N$1,Sheet1!$D:$D,Feuil1!$C441)</f>
        <v>0</v>
      </c>
      <c r="O441" s="6">
        <f t="shared" si="75"/>
        <v>797</v>
      </c>
      <c r="P441" s="18" t="str">
        <f t="shared" si="70"/>
        <v>(439,797)</v>
      </c>
    </row>
    <row r="442" spans="1:16" hidden="1" x14ac:dyDescent="0.2">
      <c r="A442" s="4">
        <f t="shared" si="76"/>
        <v>440</v>
      </c>
      <c r="B442" s="4"/>
      <c r="C442" s="7">
        <f t="shared" si="77"/>
        <v>45670</v>
      </c>
      <c r="D442" s="11" t="str">
        <f t="shared" si="71"/>
        <v>{2025-01-13},</v>
      </c>
      <c r="E442" s="17">
        <f>COUNTIFS(Sheet1!$C:$C,Feuil1!E$1,Sheet1!$D:$D,Feuil1!$C442)</f>
        <v>1</v>
      </c>
      <c r="F442" s="6">
        <f t="shared" si="78"/>
        <v>145</v>
      </c>
      <c r="G442" s="18" t="str">
        <f t="shared" si="72"/>
        <v>(440,145)</v>
      </c>
      <c r="H442" s="17">
        <f>COUNTIFS(Sheet1!$C:$C,Feuil1!H$1,Sheet1!$D:$D,Feuil1!$C442)</f>
        <v>0</v>
      </c>
      <c r="I442" s="6">
        <f t="shared" si="73"/>
        <v>31</v>
      </c>
      <c r="J442" s="18" t="str">
        <f t="shared" si="68"/>
        <v>(440,31)</v>
      </c>
      <c r="K442" s="17">
        <f>COUNTIFS(Sheet1!$C:$C,Feuil1!K$1,Sheet1!$D:$D,Feuil1!$C442)</f>
        <v>0</v>
      </c>
      <c r="L442" s="6">
        <f t="shared" si="74"/>
        <v>7</v>
      </c>
      <c r="M442" s="18" t="str">
        <f t="shared" si="69"/>
        <v>(440,7)</v>
      </c>
      <c r="N442" s="17">
        <f>COUNTIFS(Sheet1!$C:$C,Feuil1!N$1,Sheet1!$D:$D,Feuil1!$C442)</f>
        <v>0</v>
      </c>
      <c r="O442" s="6">
        <f t="shared" si="75"/>
        <v>797</v>
      </c>
      <c r="P442" s="18" t="str">
        <f t="shared" si="70"/>
        <v>(440,797)</v>
      </c>
    </row>
    <row r="443" spans="1:16" hidden="1" x14ac:dyDescent="0.2">
      <c r="A443" s="4">
        <f t="shared" si="76"/>
        <v>441</v>
      </c>
      <c r="B443" s="4"/>
      <c r="C443" s="7">
        <f t="shared" si="77"/>
        <v>45671</v>
      </c>
      <c r="D443" s="11" t="str">
        <f t="shared" si="71"/>
        <v>{2025-01-14},</v>
      </c>
      <c r="E443" s="17">
        <f>COUNTIFS(Sheet1!$C:$C,Feuil1!E$1,Sheet1!$D:$D,Feuil1!$C443)</f>
        <v>0</v>
      </c>
      <c r="F443" s="6">
        <f t="shared" si="78"/>
        <v>145</v>
      </c>
      <c r="G443" s="18" t="str">
        <f t="shared" si="72"/>
        <v>(441,145)</v>
      </c>
      <c r="H443" s="17">
        <f>COUNTIFS(Sheet1!$C:$C,Feuil1!H$1,Sheet1!$D:$D,Feuil1!$C443)</f>
        <v>0</v>
      </c>
      <c r="I443" s="6">
        <f t="shared" si="73"/>
        <v>31</v>
      </c>
      <c r="J443" s="18" t="str">
        <f t="shared" si="68"/>
        <v>(441,31)</v>
      </c>
      <c r="K443" s="17">
        <f>COUNTIFS(Sheet1!$C:$C,Feuil1!K$1,Sheet1!$D:$D,Feuil1!$C443)</f>
        <v>0</v>
      </c>
      <c r="L443" s="6">
        <f t="shared" si="74"/>
        <v>7</v>
      </c>
      <c r="M443" s="18" t="str">
        <f t="shared" si="69"/>
        <v>(441,7)</v>
      </c>
      <c r="N443" s="17">
        <f>COUNTIFS(Sheet1!$C:$C,Feuil1!N$1,Sheet1!$D:$D,Feuil1!$C443)</f>
        <v>0</v>
      </c>
      <c r="O443" s="6">
        <f t="shared" si="75"/>
        <v>797</v>
      </c>
      <c r="P443" s="18" t="str">
        <f t="shared" si="70"/>
        <v>(441,797)</v>
      </c>
    </row>
    <row r="444" spans="1:16" hidden="1" x14ac:dyDescent="0.2">
      <c r="A444" s="4">
        <f t="shared" si="76"/>
        <v>442</v>
      </c>
      <c r="B444" s="4"/>
      <c r="C444" s="7">
        <f t="shared" si="77"/>
        <v>45672</v>
      </c>
      <c r="D444" s="11" t="str">
        <f t="shared" si="71"/>
        <v>{2025-01-15},</v>
      </c>
      <c r="E444" s="17">
        <f>COUNTIFS(Sheet1!$C:$C,Feuil1!E$1,Sheet1!$D:$D,Feuil1!$C444)</f>
        <v>0</v>
      </c>
      <c r="F444" s="6">
        <f t="shared" si="78"/>
        <v>145</v>
      </c>
      <c r="G444" s="18" t="str">
        <f t="shared" si="72"/>
        <v>(442,145)</v>
      </c>
      <c r="H444" s="17">
        <f>COUNTIFS(Sheet1!$C:$C,Feuil1!H$1,Sheet1!$D:$D,Feuil1!$C444)</f>
        <v>0</v>
      </c>
      <c r="I444" s="6">
        <f t="shared" si="73"/>
        <v>31</v>
      </c>
      <c r="J444" s="18" t="str">
        <f t="shared" si="68"/>
        <v>(442,31)</v>
      </c>
      <c r="K444" s="17">
        <f>COUNTIFS(Sheet1!$C:$C,Feuil1!K$1,Sheet1!$D:$D,Feuil1!$C444)</f>
        <v>0</v>
      </c>
      <c r="L444" s="6">
        <f t="shared" si="74"/>
        <v>7</v>
      </c>
      <c r="M444" s="18" t="str">
        <f t="shared" si="69"/>
        <v>(442,7)</v>
      </c>
      <c r="N444" s="17">
        <f>COUNTIFS(Sheet1!$C:$C,Feuil1!N$1,Sheet1!$D:$D,Feuil1!$C444)</f>
        <v>0</v>
      </c>
      <c r="O444" s="6">
        <f t="shared" si="75"/>
        <v>797</v>
      </c>
      <c r="P444" s="18" t="str">
        <f t="shared" si="70"/>
        <v>(442,797)</v>
      </c>
    </row>
    <row r="445" spans="1:16" hidden="1" x14ac:dyDescent="0.2">
      <c r="A445" s="4">
        <f t="shared" si="76"/>
        <v>443</v>
      </c>
      <c r="B445" s="4"/>
      <c r="C445" s="7">
        <f t="shared" si="77"/>
        <v>45673</v>
      </c>
      <c r="D445" s="11" t="str">
        <f t="shared" si="71"/>
        <v>{2025-01-16},</v>
      </c>
      <c r="E445" s="17">
        <f>COUNTIFS(Sheet1!$C:$C,Feuil1!E$1,Sheet1!$D:$D,Feuil1!$C445)</f>
        <v>0</v>
      </c>
      <c r="F445" s="6">
        <f t="shared" si="78"/>
        <v>145</v>
      </c>
      <c r="G445" s="18" t="str">
        <f t="shared" si="72"/>
        <v>(443,145)</v>
      </c>
      <c r="H445" s="17">
        <f>COUNTIFS(Sheet1!$C:$C,Feuil1!H$1,Sheet1!$D:$D,Feuil1!$C445)</f>
        <v>0</v>
      </c>
      <c r="I445" s="6">
        <f t="shared" si="73"/>
        <v>31</v>
      </c>
      <c r="J445" s="18" t="str">
        <f t="shared" si="68"/>
        <v>(443,31)</v>
      </c>
      <c r="K445" s="17">
        <f>COUNTIFS(Sheet1!$C:$C,Feuil1!K$1,Sheet1!$D:$D,Feuil1!$C445)</f>
        <v>0</v>
      </c>
      <c r="L445" s="6">
        <f t="shared" si="74"/>
        <v>7</v>
      </c>
      <c r="M445" s="18" t="str">
        <f t="shared" si="69"/>
        <v>(443,7)</v>
      </c>
      <c r="N445" s="17">
        <f>COUNTIFS(Sheet1!$C:$C,Feuil1!N$1,Sheet1!$D:$D,Feuil1!$C445)</f>
        <v>0</v>
      </c>
      <c r="O445" s="6">
        <f t="shared" si="75"/>
        <v>797</v>
      </c>
      <c r="P445" s="18" t="str">
        <f t="shared" si="70"/>
        <v>(443,797)</v>
      </c>
    </row>
    <row r="446" spans="1:16" hidden="1" x14ac:dyDescent="0.2">
      <c r="A446" s="4">
        <f t="shared" si="76"/>
        <v>444</v>
      </c>
      <c r="B446" s="4"/>
      <c r="C446" s="7">
        <f t="shared" si="77"/>
        <v>45674</v>
      </c>
      <c r="D446" s="11" t="str">
        <f t="shared" si="71"/>
        <v>{2025-01-17},</v>
      </c>
      <c r="E446" s="17">
        <f>COUNTIFS(Sheet1!$C:$C,Feuil1!E$1,Sheet1!$D:$D,Feuil1!$C446)</f>
        <v>0</v>
      </c>
      <c r="F446" s="6">
        <f t="shared" si="78"/>
        <v>145</v>
      </c>
      <c r="G446" s="18" t="str">
        <f t="shared" si="72"/>
        <v>(444,145)</v>
      </c>
      <c r="H446" s="17">
        <f>COUNTIFS(Sheet1!$C:$C,Feuil1!H$1,Sheet1!$D:$D,Feuil1!$C446)</f>
        <v>0</v>
      </c>
      <c r="I446" s="6">
        <f t="shared" si="73"/>
        <v>31</v>
      </c>
      <c r="J446" s="18" t="str">
        <f t="shared" si="68"/>
        <v>(444,31)</v>
      </c>
      <c r="K446" s="17">
        <f>COUNTIFS(Sheet1!$C:$C,Feuil1!K$1,Sheet1!$D:$D,Feuil1!$C446)</f>
        <v>0</v>
      </c>
      <c r="L446" s="6">
        <f t="shared" si="74"/>
        <v>7</v>
      </c>
      <c r="M446" s="18" t="str">
        <f t="shared" si="69"/>
        <v>(444,7)</v>
      </c>
      <c r="N446" s="17">
        <f>COUNTIFS(Sheet1!$C:$C,Feuil1!N$1,Sheet1!$D:$D,Feuil1!$C446)</f>
        <v>0</v>
      </c>
      <c r="O446" s="6">
        <f t="shared" si="75"/>
        <v>797</v>
      </c>
      <c r="P446" s="18" t="str">
        <f t="shared" si="70"/>
        <v>(444,797)</v>
      </c>
    </row>
    <row r="447" spans="1:16" hidden="1" x14ac:dyDescent="0.2">
      <c r="A447" s="4">
        <f t="shared" si="76"/>
        <v>445</v>
      </c>
      <c r="B447" s="4"/>
      <c r="C447" s="7">
        <f t="shared" si="77"/>
        <v>45675</v>
      </c>
      <c r="D447" s="11" t="str">
        <f t="shared" si="71"/>
        <v>{2025-01-18},</v>
      </c>
      <c r="E447" s="17">
        <f>COUNTIFS(Sheet1!$C:$C,Feuil1!E$1,Sheet1!$D:$D,Feuil1!$C447)</f>
        <v>1</v>
      </c>
      <c r="F447" s="6">
        <f t="shared" si="78"/>
        <v>146</v>
      </c>
      <c r="G447" s="18" t="str">
        <f t="shared" si="72"/>
        <v>(445,146)</v>
      </c>
      <c r="H447" s="17">
        <f>COUNTIFS(Sheet1!$C:$C,Feuil1!H$1,Sheet1!$D:$D,Feuil1!$C447)</f>
        <v>0</v>
      </c>
      <c r="I447" s="6">
        <f t="shared" si="73"/>
        <v>31</v>
      </c>
      <c r="J447" s="18" t="str">
        <f t="shared" si="68"/>
        <v>(445,31)</v>
      </c>
      <c r="K447" s="17">
        <f>COUNTIFS(Sheet1!$C:$C,Feuil1!K$1,Sheet1!$D:$D,Feuil1!$C447)</f>
        <v>0</v>
      </c>
      <c r="L447" s="6">
        <f t="shared" si="74"/>
        <v>7</v>
      </c>
      <c r="M447" s="18" t="str">
        <f t="shared" si="69"/>
        <v>(445,7)</v>
      </c>
      <c r="N447" s="17">
        <f>COUNTIFS(Sheet1!$C:$C,Feuil1!N$1,Sheet1!$D:$D,Feuil1!$C447)</f>
        <v>0</v>
      </c>
      <c r="O447" s="6">
        <f t="shared" si="75"/>
        <v>797</v>
      </c>
      <c r="P447" s="18" t="str">
        <f t="shared" si="70"/>
        <v>(445,797)</v>
      </c>
    </row>
    <row r="448" spans="1:16" hidden="1" x14ac:dyDescent="0.2">
      <c r="A448" s="4">
        <f t="shared" si="76"/>
        <v>446</v>
      </c>
      <c r="B448" s="4"/>
      <c r="C448" s="7">
        <f t="shared" si="77"/>
        <v>45676</v>
      </c>
      <c r="D448" s="11" t="str">
        <f t="shared" si="71"/>
        <v>{2025-01-19},</v>
      </c>
      <c r="E448" s="17">
        <f>COUNTIFS(Sheet1!$C:$C,Feuil1!E$1,Sheet1!$D:$D,Feuil1!$C448)</f>
        <v>0</v>
      </c>
      <c r="F448" s="6">
        <f t="shared" si="78"/>
        <v>146</v>
      </c>
      <c r="G448" s="18" t="str">
        <f t="shared" si="72"/>
        <v>(446,146)</v>
      </c>
      <c r="H448" s="17">
        <f>COUNTIFS(Sheet1!$C:$C,Feuil1!H$1,Sheet1!$D:$D,Feuil1!$C448)</f>
        <v>0</v>
      </c>
      <c r="I448" s="6">
        <f t="shared" si="73"/>
        <v>31</v>
      </c>
      <c r="J448" s="18" t="str">
        <f t="shared" si="68"/>
        <v>(446,31)</v>
      </c>
      <c r="K448" s="17">
        <f>COUNTIFS(Sheet1!$C:$C,Feuil1!K$1,Sheet1!$D:$D,Feuil1!$C448)</f>
        <v>0</v>
      </c>
      <c r="L448" s="6">
        <f t="shared" si="74"/>
        <v>7</v>
      </c>
      <c r="M448" s="18" t="str">
        <f t="shared" si="69"/>
        <v>(446,7)</v>
      </c>
      <c r="N448" s="17">
        <f>COUNTIFS(Sheet1!$C:$C,Feuil1!N$1,Sheet1!$D:$D,Feuil1!$C448)</f>
        <v>0</v>
      </c>
      <c r="O448" s="6">
        <f t="shared" si="75"/>
        <v>797</v>
      </c>
      <c r="P448" s="18" t="str">
        <f t="shared" si="70"/>
        <v>(446,797)</v>
      </c>
    </row>
    <row r="449" spans="1:16" hidden="1" x14ac:dyDescent="0.2">
      <c r="A449" s="4">
        <f t="shared" si="76"/>
        <v>447</v>
      </c>
      <c r="B449" s="4"/>
      <c r="C449" s="7">
        <f t="shared" si="77"/>
        <v>45677</v>
      </c>
      <c r="D449" s="11" t="str">
        <f t="shared" si="71"/>
        <v>{2025-01-20},</v>
      </c>
      <c r="E449" s="17">
        <f>COUNTIFS(Sheet1!$C:$C,Feuil1!E$1,Sheet1!$D:$D,Feuil1!$C449)</f>
        <v>0</v>
      </c>
      <c r="F449" s="6">
        <f t="shared" si="78"/>
        <v>146</v>
      </c>
      <c r="G449" s="18" t="str">
        <f t="shared" si="72"/>
        <v>(447,146)</v>
      </c>
      <c r="H449" s="17">
        <f>COUNTIFS(Sheet1!$C:$C,Feuil1!H$1,Sheet1!$D:$D,Feuil1!$C449)</f>
        <v>0</v>
      </c>
      <c r="I449" s="6">
        <f t="shared" si="73"/>
        <v>31</v>
      </c>
      <c r="J449" s="18" t="str">
        <f t="shared" si="68"/>
        <v>(447,31)</v>
      </c>
      <c r="K449" s="17">
        <f>COUNTIFS(Sheet1!$C:$C,Feuil1!K$1,Sheet1!$D:$D,Feuil1!$C449)</f>
        <v>0</v>
      </c>
      <c r="L449" s="6">
        <f t="shared" si="74"/>
        <v>7</v>
      </c>
      <c r="M449" s="18" t="str">
        <f t="shared" si="69"/>
        <v>(447,7)</v>
      </c>
      <c r="N449" s="17">
        <f>COUNTIFS(Sheet1!$C:$C,Feuil1!N$1,Sheet1!$D:$D,Feuil1!$C449)</f>
        <v>0</v>
      </c>
      <c r="O449" s="6">
        <f t="shared" si="75"/>
        <v>797</v>
      </c>
      <c r="P449" s="18" t="str">
        <f t="shared" si="70"/>
        <v>(447,797)</v>
      </c>
    </row>
    <row r="450" spans="1:16" hidden="1" x14ac:dyDescent="0.2">
      <c r="A450" s="4">
        <f t="shared" si="76"/>
        <v>448</v>
      </c>
      <c r="B450" s="4"/>
      <c r="C450" s="7">
        <f t="shared" si="77"/>
        <v>45678</v>
      </c>
      <c r="D450" s="11" t="str">
        <f t="shared" si="71"/>
        <v>{2025-01-21},</v>
      </c>
      <c r="E450" s="17">
        <f>COUNTIFS(Sheet1!$C:$C,Feuil1!E$1,Sheet1!$D:$D,Feuil1!$C450)</f>
        <v>0</v>
      </c>
      <c r="F450" s="6">
        <f t="shared" si="78"/>
        <v>146</v>
      </c>
      <c r="G450" s="18" t="str">
        <f t="shared" si="72"/>
        <v>(448,146)</v>
      </c>
      <c r="H450" s="17">
        <f>COUNTIFS(Sheet1!$C:$C,Feuil1!H$1,Sheet1!$D:$D,Feuil1!$C450)</f>
        <v>0</v>
      </c>
      <c r="I450" s="6">
        <f t="shared" si="73"/>
        <v>31</v>
      </c>
      <c r="J450" s="18" t="str">
        <f t="shared" si="68"/>
        <v>(448,31)</v>
      </c>
      <c r="K450" s="17">
        <f>COUNTIFS(Sheet1!$C:$C,Feuil1!K$1,Sheet1!$D:$D,Feuil1!$C450)</f>
        <v>0</v>
      </c>
      <c r="L450" s="6">
        <f t="shared" si="74"/>
        <v>7</v>
      </c>
      <c r="M450" s="18" t="str">
        <f t="shared" si="69"/>
        <v>(448,7)</v>
      </c>
      <c r="N450" s="17">
        <f>COUNTIFS(Sheet1!$C:$C,Feuil1!N$1,Sheet1!$D:$D,Feuil1!$C450)</f>
        <v>0</v>
      </c>
      <c r="O450" s="6">
        <f t="shared" si="75"/>
        <v>797</v>
      </c>
      <c r="P450" s="18" t="str">
        <f t="shared" si="70"/>
        <v>(448,797)</v>
      </c>
    </row>
    <row r="451" spans="1:16" hidden="1" x14ac:dyDescent="0.2">
      <c r="A451" s="4">
        <f t="shared" si="76"/>
        <v>449</v>
      </c>
      <c r="B451" s="4"/>
      <c r="C451" s="7">
        <f t="shared" si="77"/>
        <v>45679</v>
      </c>
      <c r="D451" s="11" t="str">
        <f t="shared" si="71"/>
        <v>{2025-01-22},</v>
      </c>
      <c r="E451" s="17">
        <f>COUNTIFS(Sheet1!$C:$C,Feuil1!E$1,Sheet1!$D:$D,Feuil1!$C451)</f>
        <v>0</v>
      </c>
      <c r="F451" s="6">
        <f t="shared" si="78"/>
        <v>146</v>
      </c>
      <c r="G451" s="18" t="str">
        <f t="shared" si="72"/>
        <v>(449,146)</v>
      </c>
      <c r="H451" s="17">
        <f>COUNTIFS(Sheet1!$C:$C,Feuil1!H$1,Sheet1!$D:$D,Feuil1!$C451)</f>
        <v>0</v>
      </c>
      <c r="I451" s="6">
        <f t="shared" si="73"/>
        <v>31</v>
      </c>
      <c r="J451" s="18" t="str">
        <f t="shared" ref="J451:J514" si="79">_xlfn.CONCAT("(",$A451,",",I451,")")</f>
        <v>(449,31)</v>
      </c>
      <c r="K451" s="17">
        <f>COUNTIFS(Sheet1!$C:$C,Feuil1!K$1,Sheet1!$D:$D,Feuil1!$C451)</f>
        <v>0</v>
      </c>
      <c r="L451" s="6">
        <f t="shared" si="74"/>
        <v>7</v>
      </c>
      <c r="M451" s="18" t="str">
        <f t="shared" ref="M451:M514" si="80">_xlfn.CONCAT("(",$A451,",",L451,")")</f>
        <v>(449,7)</v>
      </c>
      <c r="N451" s="17">
        <f>COUNTIFS(Sheet1!$C:$C,Feuil1!N$1,Sheet1!$D:$D,Feuil1!$C451)</f>
        <v>0</v>
      </c>
      <c r="O451" s="6">
        <f t="shared" si="75"/>
        <v>797</v>
      </c>
      <c r="P451" s="18" t="str">
        <f t="shared" ref="P451:P514" si="81">_xlfn.CONCAT("(",$A451,",",O451,")")</f>
        <v>(449,797)</v>
      </c>
    </row>
    <row r="452" spans="1:16" hidden="1" x14ac:dyDescent="0.2">
      <c r="A452" s="4">
        <f t="shared" si="76"/>
        <v>450</v>
      </c>
      <c r="B452" s="4"/>
      <c r="C452" s="7">
        <f t="shared" si="77"/>
        <v>45680</v>
      </c>
      <c r="D452" s="11" t="str">
        <f t="shared" ref="D452:D515" si="82">_xlfn.CONCAT("{",TEXT(C452,"aaaa-mm-dd"),"},")</f>
        <v>{2025-01-23},</v>
      </c>
      <c r="E452" s="17">
        <f>COUNTIFS(Sheet1!$C:$C,Feuil1!E$1,Sheet1!$D:$D,Feuil1!$C452)</f>
        <v>0</v>
      </c>
      <c r="F452" s="6">
        <f t="shared" si="78"/>
        <v>146</v>
      </c>
      <c r="G452" s="18" t="str">
        <f t="shared" ref="G452:G515" si="83">_xlfn.CONCAT("(",$A452,",",F452,")")</f>
        <v>(450,146)</v>
      </c>
      <c r="H452" s="17">
        <f>COUNTIFS(Sheet1!$C:$C,Feuil1!H$1,Sheet1!$D:$D,Feuil1!$C452)</f>
        <v>0</v>
      </c>
      <c r="I452" s="6">
        <f t="shared" ref="I452:I515" si="84">I451+H452</f>
        <v>31</v>
      </c>
      <c r="J452" s="18" t="str">
        <f t="shared" si="79"/>
        <v>(450,31)</v>
      </c>
      <c r="K452" s="17">
        <f>COUNTIFS(Sheet1!$C:$C,Feuil1!K$1,Sheet1!$D:$D,Feuil1!$C452)</f>
        <v>0</v>
      </c>
      <c r="L452" s="6">
        <f t="shared" ref="L452:L515" si="85">L451+K452</f>
        <v>7</v>
      </c>
      <c r="M452" s="18" t="str">
        <f t="shared" si="80"/>
        <v>(450,7)</v>
      </c>
      <c r="N452" s="17">
        <f>COUNTIFS(Sheet1!$C:$C,Feuil1!N$1,Sheet1!$D:$D,Feuil1!$C452)</f>
        <v>0</v>
      </c>
      <c r="O452" s="6">
        <f t="shared" ref="O452:O515" si="86">O451+N452</f>
        <v>797</v>
      </c>
      <c r="P452" s="18" t="str">
        <f t="shared" si="81"/>
        <v>(450,797)</v>
      </c>
    </row>
    <row r="453" spans="1:16" hidden="1" x14ac:dyDescent="0.2">
      <c r="A453" s="4">
        <f t="shared" ref="A453:A516" si="87">A452+1</f>
        <v>451</v>
      </c>
      <c r="B453" s="4"/>
      <c r="C453" s="7">
        <f t="shared" ref="C453:C516" si="88">C452+1</f>
        <v>45681</v>
      </c>
      <c r="D453" s="11" t="str">
        <f t="shared" si="82"/>
        <v>{2025-01-24},</v>
      </c>
      <c r="E453" s="17">
        <f>COUNTIFS(Sheet1!$C:$C,Feuil1!E$1,Sheet1!$D:$D,Feuil1!$C453)</f>
        <v>0</v>
      </c>
      <c r="F453" s="6">
        <f t="shared" ref="F453:F516" si="89">F452+E453</f>
        <v>146</v>
      </c>
      <c r="G453" s="18" t="str">
        <f t="shared" si="83"/>
        <v>(451,146)</v>
      </c>
      <c r="H453" s="17">
        <f>COUNTIFS(Sheet1!$C:$C,Feuil1!H$1,Sheet1!$D:$D,Feuil1!$C453)</f>
        <v>0</v>
      </c>
      <c r="I453" s="6">
        <f t="shared" si="84"/>
        <v>31</v>
      </c>
      <c r="J453" s="18" t="str">
        <f t="shared" si="79"/>
        <v>(451,31)</v>
      </c>
      <c r="K453" s="17">
        <f>COUNTIFS(Sheet1!$C:$C,Feuil1!K$1,Sheet1!$D:$D,Feuil1!$C453)</f>
        <v>0</v>
      </c>
      <c r="L453" s="6">
        <f t="shared" si="85"/>
        <v>7</v>
      </c>
      <c r="M453" s="18" t="str">
        <f t="shared" si="80"/>
        <v>(451,7)</v>
      </c>
      <c r="N453" s="17">
        <f>COUNTIFS(Sheet1!$C:$C,Feuil1!N$1,Sheet1!$D:$D,Feuil1!$C453)</f>
        <v>0</v>
      </c>
      <c r="O453" s="6">
        <f t="shared" si="86"/>
        <v>797</v>
      </c>
      <c r="P453" s="18" t="str">
        <f t="shared" si="81"/>
        <v>(451,797)</v>
      </c>
    </row>
    <row r="454" spans="1:16" hidden="1" x14ac:dyDescent="0.2">
      <c r="A454" s="4">
        <f t="shared" si="87"/>
        <v>452</v>
      </c>
      <c r="B454" s="4"/>
      <c r="C454" s="7">
        <f t="shared" si="88"/>
        <v>45682</v>
      </c>
      <c r="D454" s="11" t="str">
        <f t="shared" si="82"/>
        <v>{2025-01-25},</v>
      </c>
      <c r="E454" s="17">
        <f>COUNTIFS(Sheet1!$C:$C,Feuil1!E$1,Sheet1!$D:$D,Feuil1!$C454)</f>
        <v>0</v>
      </c>
      <c r="F454" s="6">
        <f t="shared" si="89"/>
        <v>146</v>
      </c>
      <c r="G454" s="18" t="str">
        <f t="shared" si="83"/>
        <v>(452,146)</v>
      </c>
      <c r="H454" s="17">
        <f>COUNTIFS(Sheet1!$C:$C,Feuil1!H$1,Sheet1!$D:$D,Feuil1!$C454)</f>
        <v>0</v>
      </c>
      <c r="I454" s="6">
        <f t="shared" si="84"/>
        <v>31</v>
      </c>
      <c r="J454" s="18" t="str">
        <f t="shared" si="79"/>
        <v>(452,31)</v>
      </c>
      <c r="K454" s="17">
        <f>COUNTIFS(Sheet1!$C:$C,Feuil1!K$1,Sheet1!$D:$D,Feuil1!$C454)</f>
        <v>0</v>
      </c>
      <c r="L454" s="6">
        <f t="shared" si="85"/>
        <v>7</v>
      </c>
      <c r="M454" s="18" t="str">
        <f t="shared" si="80"/>
        <v>(452,7)</v>
      </c>
      <c r="N454" s="17">
        <f>COUNTIFS(Sheet1!$C:$C,Feuil1!N$1,Sheet1!$D:$D,Feuil1!$C454)</f>
        <v>0</v>
      </c>
      <c r="O454" s="6">
        <f t="shared" si="86"/>
        <v>797</v>
      </c>
      <c r="P454" s="18" t="str">
        <f t="shared" si="81"/>
        <v>(452,797)</v>
      </c>
    </row>
    <row r="455" spans="1:16" hidden="1" x14ac:dyDescent="0.2">
      <c r="A455" s="4">
        <f t="shared" si="87"/>
        <v>453</v>
      </c>
      <c r="B455" s="4"/>
      <c r="C455" s="7">
        <f t="shared" si="88"/>
        <v>45683</v>
      </c>
      <c r="D455" s="11" t="str">
        <f t="shared" si="82"/>
        <v>{2025-01-26},</v>
      </c>
      <c r="E455" s="17">
        <f>COUNTIFS(Sheet1!$C:$C,Feuil1!E$1,Sheet1!$D:$D,Feuil1!$C455)</f>
        <v>1</v>
      </c>
      <c r="F455" s="6">
        <f t="shared" si="89"/>
        <v>147</v>
      </c>
      <c r="G455" s="18" t="str">
        <f t="shared" si="83"/>
        <v>(453,147)</v>
      </c>
      <c r="H455" s="17">
        <f>COUNTIFS(Sheet1!$C:$C,Feuil1!H$1,Sheet1!$D:$D,Feuil1!$C455)</f>
        <v>0</v>
      </c>
      <c r="I455" s="6">
        <f t="shared" si="84"/>
        <v>31</v>
      </c>
      <c r="J455" s="18" t="str">
        <f t="shared" si="79"/>
        <v>(453,31)</v>
      </c>
      <c r="K455" s="17">
        <f>COUNTIFS(Sheet1!$C:$C,Feuil1!K$1,Sheet1!$D:$D,Feuil1!$C455)</f>
        <v>0</v>
      </c>
      <c r="L455" s="6">
        <f t="shared" si="85"/>
        <v>7</v>
      </c>
      <c r="M455" s="18" t="str">
        <f t="shared" si="80"/>
        <v>(453,7)</v>
      </c>
      <c r="N455" s="17">
        <f>COUNTIFS(Sheet1!$C:$C,Feuil1!N$1,Sheet1!$D:$D,Feuil1!$C455)</f>
        <v>0</v>
      </c>
      <c r="O455" s="6">
        <f t="shared" si="86"/>
        <v>797</v>
      </c>
      <c r="P455" s="18" t="str">
        <f t="shared" si="81"/>
        <v>(453,797)</v>
      </c>
    </row>
    <row r="456" spans="1:16" hidden="1" x14ac:dyDescent="0.2">
      <c r="A456" s="4">
        <f t="shared" si="87"/>
        <v>454</v>
      </c>
      <c r="B456" s="4"/>
      <c r="C456" s="7">
        <f t="shared" si="88"/>
        <v>45684</v>
      </c>
      <c r="D456" s="11" t="str">
        <f t="shared" si="82"/>
        <v>{2025-01-27},</v>
      </c>
      <c r="E456" s="17">
        <f>COUNTIFS(Sheet1!$C:$C,Feuil1!E$1,Sheet1!$D:$D,Feuil1!$C456)</f>
        <v>0</v>
      </c>
      <c r="F456" s="6">
        <f t="shared" si="89"/>
        <v>147</v>
      </c>
      <c r="G456" s="18" t="str">
        <f t="shared" si="83"/>
        <v>(454,147)</v>
      </c>
      <c r="H456" s="17">
        <f>COUNTIFS(Sheet1!$C:$C,Feuil1!H$1,Sheet1!$D:$D,Feuil1!$C456)</f>
        <v>0</v>
      </c>
      <c r="I456" s="6">
        <f t="shared" si="84"/>
        <v>31</v>
      </c>
      <c r="J456" s="18" t="str">
        <f t="shared" si="79"/>
        <v>(454,31)</v>
      </c>
      <c r="K456" s="17">
        <f>COUNTIFS(Sheet1!$C:$C,Feuil1!K$1,Sheet1!$D:$D,Feuil1!$C456)</f>
        <v>0</v>
      </c>
      <c r="L456" s="6">
        <f t="shared" si="85"/>
        <v>7</v>
      </c>
      <c r="M456" s="18" t="str">
        <f t="shared" si="80"/>
        <v>(454,7)</v>
      </c>
      <c r="N456" s="17">
        <f>COUNTIFS(Sheet1!$C:$C,Feuil1!N$1,Sheet1!$D:$D,Feuil1!$C456)</f>
        <v>0</v>
      </c>
      <c r="O456" s="6">
        <f t="shared" si="86"/>
        <v>797</v>
      </c>
      <c r="P456" s="18" t="str">
        <f t="shared" si="81"/>
        <v>(454,797)</v>
      </c>
    </row>
    <row r="457" spans="1:16" hidden="1" x14ac:dyDescent="0.2">
      <c r="A457" s="4">
        <f t="shared" si="87"/>
        <v>455</v>
      </c>
      <c r="B457" s="4"/>
      <c r="C457" s="7">
        <f t="shared" si="88"/>
        <v>45685</v>
      </c>
      <c r="D457" s="11" t="str">
        <f t="shared" si="82"/>
        <v>{2025-01-28},</v>
      </c>
      <c r="E457" s="17">
        <f>COUNTIFS(Sheet1!$C:$C,Feuil1!E$1,Sheet1!$D:$D,Feuil1!$C457)</f>
        <v>1</v>
      </c>
      <c r="F457" s="6">
        <f t="shared" si="89"/>
        <v>148</v>
      </c>
      <c r="G457" s="18" t="str">
        <f t="shared" si="83"/>
        <v>(455,148)</v>
      </c>
      <c r="H457" s="17">
        <f>COUNTIFS(Sheet1!$C:$C,Feuil1!H$1,Sheet1!$D:$D,Feuil1!$C457)</f>
        <v>0</v>
      </c>
      <c r="I457" s="6">
        <f t="shared" si="84"/>
        <v>31</v>
      </c>
      <c r="J457" s="18" t="str">
        <f t="shared" si="79"/>
        <v>(455,31)</v>
      </c>
      <c r="K457" s="17">
        <f>COUNTIFS(Sheet1!$C:$C,Feuil1!K$1,Sheet1!$D:$D,Feuil1!$C457)</f>
        <v>0</v>
      </c>
      <c r="L457" s="6">
        <f t="shared" si="85"/>
        <v>7</v>
      </c>
      <c r="M457" s="18" t="str">
        <f t="shared" si="80"/>
        <v>(455,7)</v>
      </c>
      <c r="N457" s="17">
        <f>COUNTIFS(Sheet1!$C:$C,Feuil1!N$1,Sheet1!$D:$D,Feuil1!$C457)</f>
        <v>0</v>
      </c>
      <c r="O457" s="6">
        <f t="shared" si="86"/>
        <v>797</v>
      </c>
      <c r="P457" s="18" t="str">
        <f t="shared" si="81"/>
        <v>(455,797)</v>
      </c>
    </row>
    <row r="458" spans="1:16" hidden="1" x14ac:dyDescent="0.2">
      <c r="A458" s="4">
        <f t="shared" si="87"/>
        <v>456</v>
      </c>
      <c r="B458" s="4"/>
      <c r="C458" s="7">
        <f t="shared" si="88"/>
        <v>45686</v>
      </c>
      <c r="D458" s="11" t="str">
        <f t="shared" si="82"/>
        <v>{2025-01-29},</v>
      </c>
      <c r="E458" s="17">
        <f>COUNTIFS(Sheet1!$C:$C,Feuil1!E$1,Sheet1!$D:$D,Feuil1!$C458)</f>
        <v>0</v>
      </c>
      <c r="F458" s="6">
        <f t="shared" si="89"/>
        <v>148</v>
      </c>
      <c r="G458" s="18" t="str">
        <f t="shared" si="83"/>
        <v>(456,148)</v>
      </c>
      <c r="H458" s="17">
        <f>COUNTIFS(Sheet1!$C:$C,Feuil1!H$1,Sheet1!$D:$D,Feuil1!$C458)</f>
        <v>0</v>
      </c>
      <c r="I458" s="6">
        <f t="shared" si="84"/>
        <v>31</v>
      </c>
      <c r="J458" s="18" t="str">
        <f t="shared" si="79"/>
        <v>(456,31)</v>
      </c>
      <c r="K458" s="17">
        <f>COUNTIFS(Sheet1!$C:$C,Feuil1!K$1,Sheet1!$D:$D,Feuil1!$C458)</f>
        <v>0</v>
      </c>
      <c r="L458" s="6">
        <f t="shared" si="85"/>
        <v>7</v>
      </c>
      <c r="M458" s="18" t="str">
        <f t="shared" si="80"/>
        <v>(456,7)</v>
      </c>
      <c r="N458" s="17">
        <f>COUNTIFS(Sheet1!$C:$C,Feuil1!N$1,Sheet1!$D:$D,Feuil1!$C458)</f>
        <v>0</v>
      </c>
      <c r="O458" s="6">
        <f t="shared" si="86"/>
        <v>797</v>
      </c>
      <c r="P458" s="18" t="str">
        <f t="shared" si="81"/>
        <v>(456,797)</v>
      </c>
    </row>
    <row r="459" spans="1:16" hidden="1" x14ac:dyDescent="0.2">
      <c r="A459" s="4">
        <f t="shared" si="87"/>
        <v>457</v>
      </c>
      <c r="B459" s="4"/>
      <c r="C459" s="7">
        <f t="shared" si="88"/>
        <v>45687</v>
      </c>
      <c r="D459" s="11" t="str">
        <f t="shared" si="82"/>
        <v>{2025-01-30},</v>
      </c>
      <c r="E459" s="17">
        <f>COUNTIFS(Sheet1!$C:$C,Feuil1!E$1,Sheet1!$D:$D,Feuil1!$C459)</f>
        <v>0</v>
      </c>
      <c r="F459" s="6">
        <f t="shared" si="89"/>
        <v>148</v>
      </c>
      <c r="G459" s="18" t="str">
        <f t="shared" si="83"/>
        <v>(457,148)</v>
      </c>
      <c r="H459" s="17">
        <f>COUNTIFS(Sheet1!$C:$C,Feuil1!H$1,Sheet1!$D:$D,Feuil1!$C459)</f>
        <v>1</v>
      </c>
      <c r="I459" s="6">
        <f t="shared" si="84"/>
        <v>32</v>
      </c>
      <c r="J459" s="18" t="str">
        <f t="shared" si="79"/>
        <v>(457,32)</v>
      </c>
      <c r="K459" s="17">
        <f>COUNTIFS(Sheet1!$C:$C,Feuil1!K$1,Sheet1!$D:$D,Feuil1!$C459)</f>
        <v>0</v>
      </c>
      <c r="L459" s="6">
        <f t="shared" si="85"/>
        <v>7</v>
      </c>
      <c r="M459" s="18" t="str">
        <f t="shared" si="80"/>
        <v>(457,7)</v>
      </c>
      <c r="N459" s="17">
        <f>COUNTIFS(Sheet1!$C:$C,Feuil1!N$1,Sheet1!$D:$D,Feuil1!$C459)</f>
        <v>0</v>
      </c>
      <c r="O459" s="6">
        <f t="shared" si="86"/>
        <v>797</v>
      </c>
      <c r="P459" s="18" t="str">
        <f t="shared" si="81"/>
        <v>(457,797)</v>
      </c>
    </row>
    <row r="460" spans="1:16" hidden="1" x14ac:dyDescent="0.2">
      <c r="A460" s="4">
        <f t="shared" si="87"/>
        <v>458</v>
      </c>
      <c r="B460" s="4"/>
      <c r="C460" s="7">
        <f t="shared" si="88"/>
        <v>45688</v>
      </c>
      <c r="D460" s="11" t="str">
        <f t="shared" si="82"/>
        <v>{2025-01-31},</v>
      </c>
      <c r="E460" s="17">
        <f>COUNTIFS(Sheet1!$C:$C,Feuil1!E$1,Sheet1!$D:$D,Feuil1!$C460)</f>
        <v>0</v>
      </c>
      <c r="F460" s="6">
        <f t="shared" si="89"/>
        <v>148</v>
      </c>
      <c r="G460" s="18" t="str">
        <f t="shared" si="83"/>
        <v>(458,148)</v>
      </c>
      <c r="H460" s="17">
        <f>COUNTIFS(Sheet1!$C:$C,Feuil1!H$1,Sheet1!$D:$D,Feuil1!$C460)</f>
        <v>0</v>
      </c>
      <c r="I460" s="6">
        <f t="shared" si="84"/>
        <v>32</v>
      </c>
      <c r="J460" s="18" t="str">
        <f t="shared" si="79"/>
        <v>(458,32)</v>
      </c>
      <c r="K460" s="17">
        <f>COUNTIFS(Sheet1!$C:$C,Feuil1!K$1,Sheet1!$D:$D,Feuil1!$C460)</f>
        <v>0</v>
      </c>
      <c r="L460" s="6">
        <f t="shared" si="85"/>
        <v>7</v>
      </c>
      <c r="M460" s="18" t="str">
        <f t="shared" si="80"/>
        <v>(458,7)</v>
      </c>
      <c r="N460" s="17">
        <f>COUNTIFS(Sheet1!$C:$C,Feuil1!N$1,Sheet1!$D:$D,Feuil1!$C460)</f>
        <v>0</v>
      </c>
      <c r="O460" s="6">
        <f t="shared" si="86"/>
        <v>797</v>
      </c>
      <c r="P460" s="18" t="str">
        <f t="shared" si="81"/>
        <v>(458,797)</v>
      </c>
    </row>
    <row r="461" spans="1:16" hidden="1" x14ac:dyDescent="0.2">
      <c r="A461" s="4">
        <f t="shared" si="87"/>
        <v>459</v>
      </c>
      <c r="B461" s="4"/>
      <c r="C461" s="5">
        <f t="shared" si="88"/>
        <v>45689</v>
      </c>
      <c r="D461" s="11" t="str">
        <f t="shared" si="82"/>
        <v>{2025-02-01},</v>
      </c>
      <c r="E461" s="17">
        <f>COUNTIFS(Sheet1!$C:$C,Feuil1!E$1,Sheet1!$D:$D,Feuil1!$C461)</f>
        <v>1</v>
      </c>
      <c r="F461" s="6">
        <f t="shared" si="89"/>
        <v>149</v>
      </c>
      <c r="G461" s="18" t="str">
        <f t="shared" si="83"/>
        <v>(459,149)</v>
      </c>
      <c r="H461" s="17">
        <f>COUNTIFS(Sheet1!$C:$C,Feuil1!H$1,Sheet1!$D:$D,Feuil1!$C461)</f>
        <v>0</v>
      </c>
      <c r="I461" s="6">
        <f t="shared" si="84"/>
        <v>32</v>
      </c>
      <c r="J461" s="18" t="str">
        <f t="shared" si="79"/>
        <v>(459,32)</v>
      </c>
      <c r="K461" s="17">
        <f>COUNTIFS(Sheet1!$C:$C,Feuil1!K$1,Sheet1!$D:$D,Feuil1!$C461)</f>
        <v>0</v>
      </c>
      <c r="L461" s="6">
        <f t="shared" si="85"/>
        <v>7</v>
      </c>
      <c r="M461" s="18" t="str">
        <f t="shared" si="80"/>
        <v>(459,7)</v>
      </c>
      <c r="N461" s="17">
        <f>COUNTIFS(Sheet1!$C:$C,Feuil1!N$1,Sheet1!$D:$D,Feuil1!$C461)</f>
        <v>0</v>
      </c>
      <c r="O461" s="6">
        <f t="shared" si="86"/>
        <v>797</v>
      </c>
      <c r="P461" s="18" t="str">
        <f t="shared" si="81"/>
        <v>(459,797)</v>
      </c>
    </row>
    <row r="462" spans="1:16" hidden="1" x14ac:dyDescent="0.2">
      <c r="A462" s="4">
        <f t="shared" si="87"/>
        <v>460</v>
      </c>
      <c r="B462" s="4"/>
      <c r="C462" s="7">
        <f t="shared" si="88"/>
        <v>45690</v>
      </c>
      <c r="D462" s="11" t="str">
        <f t="shared" si="82"/>
        <v>{2025-02-02},</v>
      </c>
      <c r="E462" s="17">
        <f>COUNTIFS(Sheet1!$C:$C,Feuil1!E$1,Sheet1!$D:$D,Feuil1!$C462)</f>
        <v>0</v>
      </c>
      <c r="F462" s="6">
        <f t="shared" si="89"/>
        <v>149</v>
      </c>
      <c r="G462" s="18" t="str">
        <f t="shared" si="83"/>
        <v>(460,149)</v>
      </c>
      <c r="H462" s="17">
        <f>COUNTIFS(Sheet1!$C:$C,Feuil1!H$1,Sheet1!$D:$D,Feuil1!$C462)</f>
        <v>0</v>
      </c>
      <c r="I462" s="6">
        <f t="shared" si="84"/>
        <v>32</v>
      </c>
      <c r="J462" s="18" t="str">
        <f t="shared" si="79"/>
        <v>(460,32)</v>
      </c>
      <c r="K462" s="17">
        <f>COUNTIFS(Sheet1!$C:$C,Feuil1!K$1,Sheet1!$D:$D,Feuil1!$C462)</f>
        <v>0</v>
      </c>
      <c r="L462" s="6">
        <f t="shared" si="85"/>
        <v>7</v>
      </c>
      <c r="M462" s="18" t="str">
        <f t="shared" si="80"/>
        <v>(460,7)</v>
      </c>
      <c r="N462" s="17">
        <f>COUNTIFS(Sheet1!$C:$C,Feuil1!N$1,Sheet1!$D:$D,Feuil1!$C462)</f>
        <v>0</v>
      </c>
      <c r="O462" s="6">
        <f t="shared" si="86"/>
        <v>797</v>
      </c>
      <c r="P462" s="18" t="str">
        <f t="shared" si="81"/>
        <v>(460,797)</v>
      </c>
    </row>
    <row r="463" spans="1:16" hidden="1" x14ac:dyDescent="0.2">
      <c r="A463" s="4">
        <f t="shared" si="87"/>
        <v>461</v>
      </c>
      <c r="B463" s="4"/>
      <c r="C463" s="7">
        <f t="shared" si="88"/>
        <v>45691</v>
      </c>
      <c r="D463" s="11" t="str">
        <f t="shared" si="82"/>
        <v>{2025-02-03},</v>
      </c>
      <c r="E463" s="17">
        <f>COUNTIFS(Sheet1!$C:$C,Feuil1!E$1,Sheet1!$D:$D,Feuil1!$C463)</f>
        <v>1</v>
      </c>
      <c r="F463" s="6">
        <f t="shared" si="89"/>
        <v>150</v>
      </c>
      <c r="G463" s="18" t="str">
        <f t="shared" si="83"/>
        <v>(461,150)</v>
      </c>
      <c r="H463" s="17">
        <f>COUNTIFS(Sheet1!$C:$C,Feuil1!H$1,Sheet1!$D:$D,Feuil1!$C463)</f>
        <v>0</v>
      </c>
      <c r="I463" s="6">
        <f t="shared" si="84"/>
        <v>32</v>
      </c>
      <c r="J463" s="18" t="str">
        <f t="shared" si="79"/>
        <v>(461,32)</v>
      </c>
      <c r="K463" s="17">
        <f>COUNTIFS(Sheet1!$C:$C,Feuil1!K$1,Sheet1!$D:$D,Feuil1!$C463)</f>
        <v>0</v>
      </c>
      <c r="L463" s="6">
        <f t="shared" si="85"/>
        <v>7</v>
      </c>
      <c r="M463" s="18" t="str">
        <f t="shared" si="80"/>
        <v>(461,7)</v>
      </c>
      <c r="N463" s="17">
        <f>COUNTIFS(Sheet1!$C:$C,Feuil1!N$1,Sheet1!$D:$D,Feuil1!$C463)</f>
        <v>0</v>
      </c>
      <c r="O463" s="6">
        <f t="shared" si="86"/>
        <v>797</v>
      </c>
      <c r="P463" s="18" t="str">
        <f t="shared" si="81"/>
        <v>(461,797)</v>
      </c>
    </row>
    <row r="464" spans="1:16" hidden="1" x14ac:dyDescent="0.2">
      <c r="A464" s="4">
        <f t="shared" si="87"/>
        <v>462</v>
      </c>
      <c r="B464" s="4"/>
      <c r="C464" s="7">
        <f t="shared" si="88"/>
        <v>45692</v>
      </c>
      <c r="D464" s="11" t="str">
        <f t="shared" si="82"/>
        <v>{2025-02-04},</v>
      </c>
      <c r="E464" s="17">
        <f>COUNTIFS(Sheet1!$C:$C,Feuil1!E$1,Sheet1!$D:$D,Feuil1!$C464)</f>
        <v>1</v>
      </c>
      <c r="F464" s="6">
        <f t="shared" si="89"/>
        <v>151</v>
      </c>
      <c r="G464" s="18" t="str">
        <f t="shared" si="83"/>
        <v>(462,151)</v>
      </c>
      <c r="H464" s="17">
        <f>COUNTIFS(Sheet1!$C:$C,Feuil1!H$1,Sheet1!$D:$D,Feuil1!$C464)</f>
        <v>0</v>
      </c>
      <c r="I464" s="6">
        <f t="shared" si="84"/>
        <v>32</v>
      </c>
      <c r="J464" s="18" t="str">
        <f t="shared" si="79"/>
        <v>(462,32)</v>
      </c>
      <c r="K464" s="17">
        <f>COUNTIFS(Sheet1!$C:$C,Feuil1!K$1,Sheet1!$D:$D,Feuil1!$C464)</f>
        <v>0</v>
      </c>
      <c r="L464" s="6">
        <f t="shared" si="85"/>
        <v>7</v>
      </c>
      <c r="M464" s="18" t="str">
        <f t="shared" si="80"/>
        <v>(462,7)</v>
      </c>
      <c r="N464" s="17">
        <f>COUNTIFS(Sheet1!$C:$C,Feuil1!N$1,Sheet1!$D:$D,Feuil1!$C464)</f>
        <v>0</v>
      </c>
      <c r="O464" s="6">
        <f t="shared" si="86"/>
        <v>797</v>
      </c>
      <c r="P464" s="18" t="str">
        <f t="shared" si="81"/>
        <v>(462,797)</v>
      </c>
    </row>
    <row r="465" spans="1:16" hidden="1" x14ac:dyDescent="0.2">
      <c r="A465" s="4">
        <f t="shared" si="87"/>
        <v>463</v>
      </c>
      <c r="B465" s="4"/>
      <c r="C465" s="7">
        <f t="shared" si="88"/>
        <v>45693</v>
      </c>
      <c r="D465" s="11" t="str">
        <f t="shared" si="82"/>
        <v>{2025-02-05},</v>
      </c>
      <c r="E465" s="17">
        <f>COUNTIFS(Sheet1!$C:$C,Feuil1!E$1,Sheet1!$D:$D,Feuil1!$C465)</f>
        <v>0</v>
      </c>
      <c r="F465" s="6">
        <f t="shared" si="89"/>
        <v>151</v>
      </c>
      <c r="G465" s="18" t="str">
        <f t="shared" si="83"/>
        <v>(463,151)</v>
      </c>
      <c r="H465" s="17">
        <f>COUNTIFS(Sheet1!$C:$C,Feuil1!H$1,Sheet1!$D:$D,Feuil1!$C465)</f>
        <v>0</v>
      </c>
      <c r="I465" s="6">
        <f t="shared" si="84"/>
        <v>32</v>
      </c>
      <c r="J465" s="18" t="str">
        <f t="shared" si="79"/>
        <v>(463,32)</v>
      </c>
      <c r="K465" s="17">
        <f>COUNTIFS(Sheet1!$C:$C,Feuil1!K$1,Sheet1!$D:$D,Feuil1!$C465)</f>
        <v>0</v>
      </c>
      <c r="L465" s="6">
        <f t="shared" si="85"/>
        <v>7</v>
      </c>
      <c r="M465" s="18" t="str">
        <f t="shared" si="80"/>
        <v>(463,7)</v>
      </c>
      <c r="N465" s="17">
        <f>COUNTIFS(Sheet1!$C:$C,Feuil1!N$1,Sheet1!$D:$D,Feuil1!$C465)</f>
        <v>0</v>
      </c>
      <c r="O465" s="6">
        <f t="shared" si="86"/>
        <v>797</v>
      </c>
      <c r="P465" s="18" t="str">
        <f t="shared" si="81"/>
        <v>(463,797)</v>
      </c>
    </row>
    <row r="466" spans="1:16" hidden="1" x14ac:dyDescent="0.2">
      <c r="A466" s="4">
        <f t="shared" si="87"/>
        <v>464</v>
      </c>
      <c r="B466" s="4"/>
      <c r="C466" s="7">
        <f t="shared" si="88"/>
        <v>45694</v>
      </c>
      <c r="D466" s="11" t="str">
        <f t="shared" si="82"/>
        <v>{2025-02-06},</v>
      </c>
      <c r="E466" s="17">
        <f>COUNTIFS(Sheet1!$C:$C,Feuil1!E$1,Sheet1!$D:$D,Feuil1!$C466)</f>
        <v>1</v>
      </c>
      <c r="F466" s="6">
        <f t="shared" si="89"/>
        <v>152</v>
      </c>
      <c r="G466" s="18" t="str">
        <f t="shared" si="83"/>
        <v>(464,152)</v>
      </c>
      <c r="H466" s="17">
        <f>COUNTIFS(Sheet1!$C:$C,Feuil1!H$1,Sheet1!$D:$D,Feuil1!$C466)</f>
        <v>0</v>
      </c>
      <c r="I466" s="6">
        <f t="shared" si="84"/>
        <v>32</v>
      </c>
      <c r="J466" s="18" t="str">
        <f t="shared" si="79"/>
        <v>(464,32)</v>
      </c>
      <c r="K466" s="17">
        <f>COUNTIFS(Sheet1!$C:$C,Feuil1!K$1,Sheet1!$D:$D,Feuil1!$C466)</f>
        <v>0</v>
      </c>
      <c r="L466" s="6">
        <f t="shared" si="85"/>
        <v>7</v>
      </c>
      <c r="M466" s="18" t="str">
        <f t="shared" si="80"/>
        <v>(464,7)</v>
      </c>
      <c r="N466" s="17">
        <f>COUNTIFS(Sheet1!$C:$C,Feuil1!N$1,Sheet1!$D:$D,Feuil1!$C466)</f>
        <v>0</v>
      </c>
      <c r="O466" s="6">
        <f t="shared" si="86"/>
        <v>797</v>
      </c>
      <c r="P466" s="18" t="str">
        <f t="shared" si="81"/>
        <v>(464,797)</v>
      </c>
    </row>
    <row r="467" spans="1:16" hidden="1" x14ac:dyDescent="0.2">
      <c r="A467" s="4">
        <f t="shared" si="87"/>
        <v>465</v>
      </c>
      <c r="B467" s="4"/>
      <c r="C467" s="7">
        <f t="shared" si="88"/>
        <v>45695</v>
      </c>
      <c r="D467" s="11" t="str">
        <f t="shared" si="82"/>
        <v>{2025-02-07},</v>
      </c>
      <c r="E467" s="17">
        <f>COUNTIFS(Sheet1!$C:$C,Feuil1!E$1,Sheet1!$D:$D,Feuil1!$C467)</f>
        <v>0</v>
      </c>
      <c r="F467" s="6">
        <f t="shared" si="89"/>
        <v>152</v>
      </c>
      <c r="G467" s="18" t="str">
        <f t="shared" si="83"/>
        <v>(465,152)</v>
      </c>
      <c r="H467" s="17">
        <f>COUNTIFS(Sheet1!$C:$C,Feuil1!H$1,Sheet1!$D:$D,Feuil1!$C467)</f>
        <v>0</v>
      </c>
      <c r="I467" s="6">
        <f t="shared" si="84"/>
        <v>32</v>
      </c>
      <c r="J467" s="18" t="str">
        <f t="shared" si="79"/>
        <v>(465,32)</v>
      </c>
      <c r="K467" s="17">
        <f>COUNTIFS(Sheet1!$C:$C,Feuil1!K$1,Sheet1!$D:$D,Feuil1!$C467)</f>
        <v>0</v>
      </c>
      <c r="L467" s="6">
        <f t="shared" si="85"/>
        <v>7</v>
      </c>
      <c r="M467" s="18" t="str">
        <f t="shared" si="80"/>
        <v>(465,7)</v>
      </c>
      <c r="N467" s="17">
        <f>COUNTIFS(Sheet1!$C:$C,Feuil1!N$1,Sheet1!$D:$D,Feuil1!$C467)</f>
        <v>0</v>
      </c>
      <c r="O467" s="6">
        <f t="shared" si="86"/>
        <v>797</v>
      </c>
      <c r="P467" s="18" t="str">
        <f t="shared" si="81"/>
        <v>(465,797)</v>
      </c>
    </row>
    <row r="468" spans="1:16" hidden="1" x14ac:dyDescent="0.2">
      <c r="A468" s="4">
        <f t="shared" si="87"/>
        <v>466</v>
      </c>
      <c r="B468" s="4"/>
      <c r="C468" s="7">
        <f t="shared" si="88"/>
        <v>45696</v>
      </c>
      <c r="D468" s="11" t="str">
        <f t="shared" si="82"/>
        <v>{2025-02-08},</v>
      </c>
      <c r="E468" s="17">
        <f>COUNTIFS(Sheet1!$C:$C,Feuil1!E$1,Sheet1!$D:$D,Feuil1!$C468)</f>
        <v>0</v>
      </c>
      <c r="F468" s="6">
        <f t="shared" si="89"/>
        <v>152</v>
      </c>
      <c r="G468" s="18" t="str">
        <f t="shared" si="83"/>
        <v>(466,152)</v>
      </c>
      <c r="H468" s="17">
        <f>COUNTIFS(Sheet1!$C:$C,Feuil1!H$1,Sheet1!$D:$D,Feuil1!$C468)</f>
        <v>0</v>
      </c>
      <c r="I468" s="6">
        <f t="shared" si="84"/>
        <v>32</v>
      </c>
      <c r="J468" s="18" t="str">
        <f t="shared" si="79"/>
        <v>(466,32)</v>
      </c>
      <c r="K468" s="17">
        <f>COUNTIFS(Sheet1!$C:$C,Feuil1!K$1,Sheet1!$D:$D,Feuil1!$C468)</f>
        <v>0</v>
      </c>
      <c r="L468" s="6">
        <f t="shared" si="85"/>
        <v>7</v>
      </c>
      <c r="M468" s="18" t="str">
        <f t="shared" si="80"/>
        <v>(466,7)</v>
      </c>
      <c r="N468" s="17">
        <f>COUNTIFS(Sheet1!$C:$C,Feuil1!N$1,Sheet1!$D:$D,Feuil1!$C468)</f>
        <v>0</v>
      </c>
      <c r="O468" s="6">
        <f t="shared" si="86"/>
        <v>797</v>
      </c>
      <c r="P468" s="18" t="str">
        <f t="shared" si="81"/>
        <v>(466,797)</v>
      </c>
    </row>
    <row r="469" spans="1:16" hidden="1" x14ac:dyDescent="0.2">
      <c r="A469" s="4">
        <f t="shared" si="87"/>
        <v>467</v>
      </c>
      <c r="B469" s="4"/>
      <c r="C469" s="7">
        <f t="shared" si="88"/>
        <v>45697</v>
      </c>
      <c r="D469" s="11" t="str">
        <f t="shared" si="82"/>
        <v>{2025-02-09},</v>
      </c>
      <c r="E469" s="17">
        <f>COUNTIFS(Sheet1!$C:$C,Feuil1!E$1,Sheet1!$D:$D,Feuil1!$C469)</f>
        <v>0</v>
      </c>
      <c r="F469" s="6">
        <f t="shared" si="89"/>
        <v>152</v>
      </c>
      <c r="G469" s="18" t="str">
        <f t="shared" si="83"/>
        <v>(467,152)</v>
      </c>
      <c r="H469" s="17">
        <f>COUNTIFS(Sheet1!$C:$C,Feuil1!H$1,Sheet1!$D:$D,Feuil1!$C469)</f>
        <v>0</v>
      </c>
      <c r="I469" s="6">
        <f t="shared" si="84"/>
        <v>32</v>
      </c>
      <c r="J469" s="18" t="str">
        <f t="shared" si="79"/>
        <v>(467,32)</v>
      </c>
      <c r="K469" s="17">
        <f>COUNTIFS(Sheet1!$C:$C,Feuil1!K$1,Sheet1!$D:$D,Feuil1!$C469)</f>
        <v>0</v>
      </c>
      <c r="L469" s="6">
        <f t="shared" si="85"/>
        <v>7</v>
      </c>
      <c r="M469" s="18" t="str">
        <f t="shared" si="80"/>
        <v>(467,7)</v>
      </c>
      <c r="N469" s="17">
        <f>COUNTIFS(Sheet1!$C:$C,Feuil1!N$1,Sheet1!$D:$D,Feuil1!$C469)</f>
        <v>0</v>
      </c>
      <c r="O469" s="6">
        <f t="shared" si="86"/>
        <v>797</v>
      </c>
      <c r="P469" s="18" t="str">
        <f t="shared" si="81"/>
        <v>(467,797)</v>
      </c>
    </row>
    <row r="470" spans="1:16" hidden="1" x14ac:dyDescent="0.2">
      <c r="A470" s="4">
        <f t="shared" si="87"/>
        <v>468</v>
      </c>
      <c r="B470" s="4"/>
      <c r="C470" s="7">
        <f t="shared" si="88"/>
        <v>45698</v>
      </c>
      <c r="D470" s="11" t="str">
        <f t="shared" si="82"/>
        <v>{2025-02-10},</v>
      </c>
      <c r="E470" s="17">
        <f>COUNTIFS(Sheet1!$C:$C,Feuil1!E$1,Sheet1!$D:$D,Feuil1!$C470)</f>
        <v>1</v>
      </c>
      <c r="F470" s="6">
        <f t="shared" si="89"/>
        <v>153</v>
      </c>
      <c r="G470" s="18" t="str">
        <f t="shared" si="83"/>
        <v>(468,153)</v>
      </c>
      <c r="H470" s="17">
        <f>COUNTIFS(Sheet1!$C:$C,Feuil1!H$1,Sheet1!$D:$D,Feuil1!$C470)</f>
        <v>0</v>
      </c>
      <c r="I470" s="6">
        <f t="shared" si="84"/>
        <v>32</v>
      </c>
      <c r="J470" s="18" t="str">
        <f t="shared" si="79"/>
        <v>(468,32)</v>
      </c>
      <c r="K470" s="17">
        <f>COUNTIFS(Sheet1!$C:$C,Feuil1!K$1,Sheet1!$D:$D,Feuil1!$C470)</f>
        <v>0</v>
      </c>
      <c r="L470" s="6">
        <f t="shared" si="85"/>
        <v>7</v>
      </c>
      <c r="M470" s="18" t="str">
        <f t="shared" si="80"/>
        <v>(468,7)</v>
      </c>
      <c r="N470" s="17">
        <f>COUNTIFS(Sheet1!$C:$C,Feuil1!N$1,Sheet1!$D:$D,Feuil1!$C470)</f>
        <v>0</v>
      </c>
      <c r="O470" s="6">
        <f t="shared" si="86"/>
        <v>797</v>
      </c>
      <c r="P470" s="18" t="str">
        <f t="shared" si="81"/>
        <v>(468,797)</v>
      </c>
    </row>
    <row r="471" spans="1:16" hidden="1" x14ac:dyDescent="0.2">
      <c r="A471" s="4">
        <f t="shared" si="87"/>
        <v>469</v>
      </c>
      <c r="B471" s="4"/>
      <c r="C471" s="7">
        <f t="shared" si="88"/>
        <v>45699</v>
      </c>
      <c r="D471" s="11" t="str">
        <f t="shared" si="82"/>
        <v>{2025-02-11},</v>
      </c>
      <c r="E471" s="17">
        <f>COUNTIFS(Sheet1!$C:$C,Feuil1!E$1,Sheet1!$D:$D,Feuil1!$C471)</f>
        <v>0</v>
      </c>
      <c r="F471" s="6">
        <f t="shared" si="89"/>
        <v>153</v>
      </c>
      <c r="G471" s="18" t="str">
        <f t="shared" si="83"/>
        <v>(469,153)</v>
      </c>
      <c r="H471" s="17">
        <f>COUNTIFS(Sheet1!$C:$C,Feuil1!H$1,Sheet1!$D:$D,Feuil1!$C471)</f>
        <v>0</v>
      </c>
      <c r="I471" s="6">
        <f t="shared" si="84"/>
        <v>32</v>
      </c>
      <c r="J471" s="18" t="str">
        <f t="shared" si="79"/>
        <v>(469,32)</v>
      </c>
      <c r="K471" s="17">
        <f>COUNTIFS(Sheet1!$C:$C,Feuil1!K$1,Sheet1!$D:$D,Feuil1!$C471)</f>
        <v>0</v>
      </c>
      <c r="L471" s="6">
        <f t="shared" si="85"/>
        <v>7</v>
      </c>
      <c r="M471" s="18" t="str">
        <f t="shared" si="80"/>
        <v>(469,7)</v>
      </c>
      <c r="N471" s="17">
        <f>COUNTIFS(Sheet1!$C:$C,Feuil1!N$1,Sheet1!$D:$D,Feuil1!$C471)</f>
        <v>0</v>
      </c>
      <c r="O471" s="6">
        <f t="shared" si="86"/>
        <v>797</v>
      </c>
      <c r="P471" s="18" t="str">
        <f t="shared" si="81"/>
        <v>(469,797)</v>
      </c>
    </row>
    <row r="472" spans="1:16" hidden="1" x14ac:dyDescent="0.2">
      <c r="A472" s="4">
        <f t="shared" si="87"/>
        <v>470</v>
      </c>
      <c r="B472" s="4"/>
      <c r="C472" s="7">
        <f t="shared" si="88"/>
        <v>45700</v>
      </c>
      <c r="D472" s="11" t="str">
        <f t="shared" si="82"/>
        <v>{2025-02-12},</v>
      </c>
      <c r="E472" s="17">
        <f>COUNTIFS(Sheet1!$C:$C,Feuil1!E$1,Sheet1!$D:$D,Feuil1!$C472)</f>
        <v>1</v>
      </c>
      <c r="F472" s="6">
        <f t="shared" si="89"/>
        <v>154</v>
      </c>
      <c r="G472" s="18" t="str">
        <f t="shared" si="83"/>
        <v>(470,154)</v>
      </c>
      <c r="H472" s="17">
        <f>COUNTIFS(Sheet1!$C:$C,Feuil1!H$1,Sheet1!$D:$D,Feuil1!$C472)</f>
        <v>0</v>
      </c>
      <c r="I472" s="6">
        <f t="shared" si="84"/>
        <v>32</v>
      </c>
      <c r="J472" s="18" t="str">
        <f t="shared" si="79"/>
        <v>(470,32)</v>
      </c>
      <c r="K472" s="17">
        <f>COUNTIFS(Sheet1!$C:$C,Feuil1!K$1,Sheet1!$D:$D,Feuil1!$C472)</f>
        <v>0</v>
      </c>
      <c r="L472" s="6">
        <f t="shared" si="85"/>
        <v>7</v>
      </c>
      <c r="M472" s="18" t="str">
        <f t="shared" si="80"/>
        <v>(470,7)</v>
      </c>
      <c r="N472" s="17">
        <f>COUNTIFS(Sheet1!$C:$C,Feuil1!N$1,Sheet1!$D:$D,Feuil1!$C472)</f>
        <v>0</v>
      </c>
      <c r="O472" s="6">
        <f t="shared" si="86"/>
        <v>797</v>
      </c>
      <c r="P472" s="18" t="str">
        <f t="shared" si="81"/>
        <v>(470,797)</v>
      </c>
    </row>
    <row r="473" spans="1:16" hidden="1" x14ac:dyDescent="0.2">
      <c r="A473" s="4">
        <f t="shared" si="87"/>
        <v>471</v>
      </c>
      <c r="B473" s="4"/>
      <c r="C473" s="7">
        <f t="shared" si="88"/>
        <v>45701</v>
      </c>
      <c r="D473" s="11" t="str">
        <f t="shared" si="82"/>
        <v>{2025-02-13},</v>
      </c>
      <c r="E473" s="17">
        <f>COUNTIFS(Sheet1!$C:$C,Feuil1!E$1,Sheet1!$D:$D,Feuil1!$C473)</f>
        <v>0</v>
      </c>
      <c r="F473" s="6">
        <f t="shared" si="89"/>
        <v>154</v>
      </c>
      <c r="G473" s="18" t="str">
        <f t="shared" si="83"/>
        <v>(471,154)</v>
      </c>
      <c r="H473" s="17">
        <f>COUNTIFS(Sheet1!$C:$C,Feuil1!H$1,Sheet1!$D:$D,Feuil1!$C473)</f>
        <v>0</v>
      </c>
      <c r="I473" s="6">
        <f t="shared" si="84"/>
        <v>32</v>
      </c>
      <c r="J473" s="18" t="str">
        <f t="shared" si="79"/>
        <v>(471,32)</v>
      </c>
      <c r="K473" s="17">
        <f>COUNTIFS(Sheet1!$C:$C,Feuil1!K$1,Sheet1!$D:$D,Feuil1!$C473)</f>
        <v>0</v>
      </c>
      <c r="L473" s="6">
        <f t="shared" si="85"/>
        <v>7</v>
      </c>
      <c r="M473" s="18" t="str">
        <f t="shared" si="80"/>
        <v>(471,7)</v>
      </c>
      <c r="N473" s="17">
        <f>COUNTIFS(Sheet1!$C:$C,Feuil1!N$1,Sheet1!$D:$D,Feuil1!$C473)</f>
        <v>0</v>
      </c>
      <c r="O473" s="6">
        <f t="shared" si="86"/>
        <v>797</v>
      </c>
      <c r="P473" s="18" t="str">
        <f t="shared" si="81"/>
        <v>(471,797)</v>
      </c>
    </row>
    <row r="474" spans="1:16" hidden="1" x14ac:dyDescent="0.2">
      <c r="A474" s="4">
        <f t="shared" si="87"/>
        <v>472</v>
      </c>
      <c r="B474" s="4"/>
      <c r="C474" s="7">
        <f t="shared" si="88"/>
        <v>45702</v>
      </c>
      <c r="D474" s="11" t="str">
        <f t="shared" si="82"/>
        <v>{2025-02-14},</v>
      </c>
      <c r="E474" s="17">
        <f>COUNTIFS(Sheet1!$C:$C,Feuil1!E$1,Sheet1!$D:$D,Feuil1!$C474)</f>
        <v>2</v>
      </c>
      <c r="F474" s="6">
        <f t="shared" si="89"/>
        <v>156</v>
      </c>
      <c r="G474" s="18" t="str">
        <f t="shared" si="83"/>
        <v>(472,156)</v>
      </c>
      <c r="H474" s="17">
        <f>COUNTIFS(Sheet1!$C:$C,Feuil1!H$1,Sheet1!$D:$D,Feuil1!$C474)</f>
        <v>0</v>
      </c>
      <c r="I474" s="6">
        <f t="shared" si="84"/>
        <v>32</v>
      </c>
      <c r="J474" s="18" t="str">
        <f t="shared" si="79"/>
        <v>(472,32)</v>
      </c>
      <c r="K474" s="17">
        <f>COUNTIFS(Sheet1!$C:$C,Feuil1!K$1,Sheet1!$D:$D,Feuil1!$C474)</f>
        <v>0</v>
      </c>
      <c r="L474" s="6">
        <f t="shared" si="85"/>
        <v>7</v>
      </c>
      <c r="M474" s="18" t="str">
        <f t="shared" si="80"/>
        <v>(472,7)</v>
      </c>
      <c r="N474" s="17">
        <f>COUNTIFS(Sheet1!$C:$C,Feuil1!N$1,Sheet1!$D:$D,Feuil1!$C474)</f>
        <v>0</v>
      </c>
      <c r="O474" s="6">
        <f t="shared" si="86"/>
        <v>797</v>
      </c>
      <c r="P474" s="18" t="str">
        <f t="shared" si="81"/>
        <v>(472,797)</v>
      </c>
    </row>
    <row r="475" spans="1:16" hidden="1" x14ac:dyDescent="0.2">
      <c r="A475" s="4">
        <f t="shared" si="87"/>
        <v>473</v>
      </c>
      <c r="B475" s="4"/>
      <c r="C475" s="7">
        <f t="shared" si="88"/>
        <v>45703</v>
      </c>
      <c r="D475" s="11" t="str">
        <f t="shared" si="82"/>
        <v>{2025-02-15},</v>
      </c>
      <c r="E475" s="17">
        <f>COUNTIFS(Sheet1!$C:$C,Feuil1!E$1,Sheet1!$D:$D,Feuil1!$C475)</f>
        <v>0</v>
      </c>
      <c r="F475" s="6">
        <f t="shared" si="89"/>
        <v>156</v>
      </c>
      <c r="G475" s="18" t="str">
        <f t="shared" si="83"/>
        <v>(473,156)</v>
      </c>
      <c r="H475" s="17">
        <f>COUNTIFS(Sheet1!$C:$C,Feuil1!H$1,Sheet1!$D:$D,Feuil1!$C475)</f>
        <v>0</v>
      </c>
      <c r="I475" s="6">
        <f t="shared" si="84"/>
        <v>32</v>
      </c>
      <c r="J475" s="18" t="str">
        <f t="shared" si="79"/>
        <v>(473,32)</v>
      </c>
      <c r="K475" s="17">
        <f>COUNTIFS(Sheet1!$C:$C,Feuil1!K$1,Sheet1!$D:$D,Feuil1!$C475)</f>
        <v>0</v>
      </c>
      <c r="L475" s="6">
        <f t="shared" si="85"/>
        <v>7</v>
      </c>
      <c r="M475" s="18" t="str">
        <f t="shared" si="80"/>
        <v>(473,7)</v>
      </c>
      <c r="N475" s="17">
        <f>COUNTIFS(Sheet1!$C:$C,Feuil1!N$1,Sheet1!$D:$D,Feuil1!$C475)</f>
        <v>0</v>
      </c>
      <c r="O475" s="6">
        <f t="shared" si="86"/>
        <v>797</v>
      </c>
      <c r="P475" s="18" t="str">
        <f t="shared" si="81"/>
        <v>(473,797)</v>
      </c>
    </row>
    <row r="476" spans="1:16" hidden="1" x14ac:dyDescent="0.2">
      <c r="A476" s="4">
        <f t="shared" si="87"/>
        <v>474</v>
      </c>
      <c r="B476" s="4"/>
      <c r="C476" s="7">
        <f t="shared" si="88"/>
        <v>45704</v>
      </c>
      <c r="D476" s="11" t="str">
        <f t="shared" si="82"/>
        <v>{2025-02-16},</v>
      </c>
      <c r="E476" s="17">
        <f>COUNTIFS(Sheet1!$C:$C,Feuil1!E$1,Sheet1!$D:$D,Feuil1!$C476)</f>
        <v>0</v>
      </c>
      <c r="F476" s="6">
        <f t="shared" si="89"/>
        <v>156</v>
      </c>
      <c r="G476" s="18" t="str">
        <f t="shared" si="83"/>
        <v>(474,156)</v>
      </c>
      <c r="H476" s="17">
        <f>COUNTIFS(Sheet1!$C:$C,Feuil1!H$1,Sheet1!$D:$D,Feuil1!$C476)</f>
        <v>0</v>
      </c>
      <c r="I476" s="6">
        <f t="shared" si="84"/>
        <v>32</v>
      </c>
      <c r="J476" s="18" t="str">
        <f t="shared" si="79"/>
        <v>(474,32)</v>
      </c>
      <c r="K476" s="17">
        <f>COUNTIFS(Sheet1!$C:$C,Feuil1!K$1,Sheet1!$D:$D,Feuil1!$C476)</f>
        <v>0</v>
      </c>
      <c r="L476" s="6">
        <f t="shared" si="85"/>
        <v>7</v>
      </c>
      <c r="M476" s="18" t="str">
        <f t="shared" si="80"/>
        <v>(474,7)</v>
      </c>
      <c r="N476" s="17">
        <f>COUNTIFS(Sheet1!$C:$C,Feuil1!N$1,Sheet1!$D:$D,Feuil1!$C476)</f>
        <v>0</v>
      </c>
      <c r="O476" s="6">
        <f t="shared" si="86"/>
        <v>797</v>
      </c>
      <c r="P476" s="18" t="str">
        <f t="shared" si="81"/>
        <v>(474,797)</v>
      </c>
    </row>
    <row r="477" spans="1:16" hidden="1" x14ac:dyDescent="0.2">
      <c r="A477" s="4">
        <f t="shared" si="87"/>
        <v>475</v>
      </c>
      <c r="B477" s="4"/>
      <c r="C477" s="7">
        <f t="shared" si="88"/>
        <v>45705</v>
      </c>
      <c r="D477" s="11" t="str">
        <f t="shared" si="82"/>
        <v>{2025-02-17},</v>
      </c>
      <c r="E477" s="17">
        <f>COUNTIFS(Sheet1!$C:$C,Feuil1!E$1,Sheet1!$D:$D,Feuil1!$C477)</f>
        <v>0</v>
      </c>
      <c r="F477" s="6">
        <f t="shared" si="89"/>
        <v>156</v>
      </c>
      <c r="G477" s="18" t="str">
        <f t="shared" si="83"/>
        <v>(475,156)</v>
      </c>
      <c r="H477" s="17">
        <f>COUNTIFS(Sheet1!$C:$C,Feuil1!H$1,Sheet1!$D:$D,Feuil1!$C477)</f>
        <v>0</v>
      </c>
      <c r="I477" s="6">
        <f t="shared" si="84"/>
        <v>32</v>
      </c>
      <c r="J477" s="18" t="str">
        <f t="shared" si="79"/>
        <v>(475,32)</v>
      </c>
      <c r="K477" s="17">
        <f>COUNTIFS(Sheet1!$C:$C,Feuil1!K$1,Sheet1!$D:$D,Feuil1!$C477)</f>
        <v>0</v>
      </c>
      <c r="L477" s="6">
        <f t="shared" si="85"/>
        <v>7</v>
      </c>
      <c r="M477" s="18" t="str">
        <f t="shared" si="80"/>
        <v>(475,7)</v>
      </c>
      <c r="N477" s="17">
        <f>COUNTIFS(Sheet1!$C:$C,Feuil1!N$1,Sheet1!$D:$D,Feuil1!$C477)</f>
        <v>0</v>
      </c>
      <c r="O477" s="6">
        <f t="shared" si="86"/>
        <v>797</v>
      </c>
      <c r="P477" s="18" t="str">
        <f t="shared" si="81"/>
        <v>(475,797)</v>
      </c>
    </row>
    <row r="478" spans="1:16" hidden="1" x14ac:dyDescent="0.2">
      <c r="A478" s="4">
        <f t="shared" si="87"/>
        <v>476</v>
      </c>
      <c r="B478" s="4"/>
      <c r="C478" s="7">
        <f t="shared" si="88"/>
        <v>45706</v>
      </c>
      <c r="D478" s="11" t="str">
        <f t="shared" si="82"/>
        <v>{2025-02-18},</v>
      </c>
      <c r="E478" s="17">
        <f>COUNTIFS(Sheet1!$C:$C,Feuil1!E$1,Sheet1!$D:$D,Feuil1!$C478)</f>
        <v>2</v>
      </c>
      <c r="F478" s="6">
        <f t="shared" si="89"/>
        <v>158</v>
      </c>
      <c r="G478" s="18" t="str">
        <f t="shared" si="83"/>
        <v>(476,158)</v>
      </c>
      <c r="H478" s="17">
        <f>COUNTIFS(Sheet1!$C:$C,Feuil1!H$1,Sheet1!$D:$D,Feuil1!$C478)</f>
        <v>0</v>
      </c>
      <c r="I478" s="6">
        <f t="shared" si="84"/>
        <v>32</v>
      </c>
      <c r="J478" s="18" t="str">
        <f t="shared" si="79"/>
        <v>(476,32)</v>
      </c>
      <c r="K478" s="17">
        <f>COUNTIFS(Sheet1!$C:$C,Feuil1!K$1,Sheet1!$D:$D,Feuil1!$C478)</f>
        <v>0</v>
      </c>
      <c r="L478" s="6">
        <f t="shared" si="85"/>
        <v>7</v>
      </c>
      <c r="M478" s="18" t="str">
        <f t="shared" si="80"/>
        <v>(476,7)</v>
      </c>
      <c r="N478" s="17">
        <f>COUNTIFS(Sheet1!$C:$C,Feuil1!N$1,Sheet1!$D:$D,Feuil1!$C478)</f>
        <v>0</v>
      </c>
      <c r="O478" s="6">
        <f t="shared" si="86"/>
        <v>797</v>
      </c>
      <c r="P478" s="18" t="str">
        <f t="shared" si="81"/>
        <v>(476,797)</v>
      </c>
    </row>
    <row r="479" spans="1:16" hidden="1" x14ac:dyDescent="0.2">
      <c r="A479" s="4">
        <f t="shared" si="87"/>
        <v>477</v>
      </c>
      <c r="B479" s="4"/>
      <c r="C479" s="7">
        <f t="shared" si="88"/>
        <v>45707</v>
      </c>
      <c r="D479" s="11" t="str">
        <f t="shared" si="82"/>
        <v>{2025-02-19},</v>
      </c>
      <c r="E479" s="17">
        <f>COUNTIFS(Sheet1!$C:$C,Feuil1!E$1,Sheet1!$D:$D,Feuil1!$C479)</f>
        <v>0</v>
      </c>
      <c r="F479" s="6">
        <f t="shared" si="89"/>
        <v>158</v>
      </c>
      <c r="G479" s="18" t="str">
        <f t="shared" si="83"/>
        <v>(477,158)</v>
      </c>
      <c r="H479" s="17">
        <f>COUNTIFS(Sheet1!$C:$C,Feuil1!H$1,Sheet1!$D:$D,Feuil1!$C479)</f>
        <v>0</v>
      </c>
      <c r="I479" s="6">
        <f t="shared" si="84"/>
        <v>32</v>
      </c>
      <c r="J479" s="18" t="str">
        <f t="shared" si="79"/>
        <v>(477,32)</v>
      </c>
      <c r="K479" s="17">
        <f>COUNTIFS(Sheet1!$C:$C,Feuil1!K$1,Sheet1!$D:$D,Feuil1!$C479)</f>
        <v>0</v>
      </c>
      <c r="L479" s="6">
        <f t="shared" si="85"/>
        <v>7</v>
      </c>
      <c r="M479" s="18" t="str">
        <f t="shared" si="80"/>
        <v>(477,7)</v>
      </c>
      <c r="N479" s="17">
        <f>COUNTIFS(Sheet1!$C:$C,Feuil1!N$1,Sheet1!$D:$D,Feuil1!$C479)</f>
        <v>0</v>
      </c>
      <c r="O479" s="6">
        <f t="shared" si="86"/>
        <v>797</v>
      </c>
      <c r="P479" s="18" t="str">
        <f t="shared" si="81"/>
        <v>(477,797)</v>
      </c>
    </row>
    <row r="480" spans="1:16" hidden="1" x14ac:dyDescent="0.2">
      <c r="A480" s="4">
        <f t="shared" si="87"/>
        <v>478</v>
      </c>
      <c r="B480" s="4"/>
      <c r="C480" s="7">
        <f t="shared" si="88"/>
        <v>45708</v>
      </c>
      <c r="D480" s="11" t="str">
        <f t="shared" si="82"/>
        <v>{2025-02-20},</v>
      </c>
      <c r="E480" s="17">
        <f>COUNTIFS(Sheet1!$C:$C,Feuil1!E$1,Sheet1!$D:$D,Feuil1!$C480)</f>
        <v>1</v>
      </c>
      <c r="F480" s="6">
        <f t="shared" si="89"/>
        <v>159</v>
      </c>
      <c r="G480" s="18" t="str">
        <f t="shared" si="83"/>
        <v>(478,159)</v>
      </c>
      <c r="H480" s="17">
        <f>COUNTIFS(Sheet1!$C:$C,Feuil1!H$1,Sheet1!$D:$D,Feuil1!$C480)</f>
        <v>0</v>
      </c>
      <c r="I480" s="6">
        <f t="shared" si="84"/>
        <v>32</v>
      </c>
      <c r="J480" s="18" t="str">
        <f t="shared" si="79"/>
        <v>(478,32)</v>
      </c>
      <c r="K480" s="17">
        <f>COUNTIFS(Sheet1!$C:$C,Feuil1!K$1,Sheet1!$D:$D,Feuil1!$C480)</f>
        <v>0</v>
      </c>
      <c r="L480" s="6">
        <f t="shared" si="85"/>
        <v>7</v>
      </c>
      <c r="M480" s="18" t="str">
        <f t="shared" si="80"/>
        <v>(478,7)</v>
      </c>
      <c r="N480" s="17">
        <f>COUNTIFS(Sheet1!$C:$C,Feuil1!N$1,Sheet1!$D:$D,Feuil1!$C480)</f>
        <v>0</v>
      </c>
      <c r="O480" s="6">
        <f t="shared" si="86"/>
        <v>797</v>
      </c>
      <c r="P480" s="18" t="str">
        <f t="shared" si="81"/>
        <v>(478,797)</v>
      </c>
    </row>
    <row r="481" spans="1:16" hidden="1" x14ac:dyDescent="0.2">
      <c r="A481" s="4">
        <f t="shared" si="87"/>
        <v>479</v>
      </c>
      <c r="B481" s="4"/>
      <c r="C481" s="7">
        <f t="shared" si="88"/>
        <v>45709</v>
      </c>
      <c r="D481" s="11" t="str">
        <f t="shared" si="82"/>
        <v>{2025-02-21},</v>
      </c>
      <c r="E481" s="17">
        <f>COUNTIFS(Sheet1!$C:$C,Feuil1!E$1,Sheet1!$D:$D,Feuil1!$C481)</f>
        <v>1</v>
      </c>
      <c r="F481" s="6">
        <f t="shared" si="89"/>
        <v>160</v>
      </c>
      <c r="G481" s="18" t="str">
        <f t="shared" si="83"/>
        <v>(479,160)</v>
      </c>
      <c r="H481" s="17">
        <f>COUNTIFS(Sheet1!$C:$C,Feuil1!H$1,Sheet1!$D:$D,Feuil1!$C481)</f>
        <v>0</v>
      </c>
      <c r="I481" s="6">
        <f t="shared" si="84"/>
        <v>32</v>
      </c>
      <c r="J481" s="18" t="str">
        <f t="shared" si="79"/>
        <v>(479,32)</v>
      </c>
      <c r="K481" s="17">
        <f>COUNTIFS(Sheet1!$C:$C,Feuil1!K$1,Sheet1!$D:$D,Feuil1!$C481)</f>
        <v>0</v>
      </c>
      <c r="L481" s="6">
        <f t="shared" si="85"/>
        <v>7</v>
      </c>
      <c r="M481" s="18" t="str">
        <f t="shared" si="80"/>
        <v>(479,7)</v>
      </c>
      <c r="N481" s="17">
        <f>COUNTIFS(Sheet1!$C:$C,Feuil1!N$1,Sheet1!$D:$D,Feuil1!$C481)</f>
        <v>0</v>
      </c>
      <c r="O481" s="6">
        <f t="shared" si="86"/>
        <v>797</v>
      </c>
      <c r="P481" s="18" t="str">
        <f t="shared" si="81"/>
        <v>(479,797)</v>
      </c>
    </row>
    <row r="482" spans="1:16" hidden="1" x14ac:dyDescent="0.2">
      <c r="A482" s="4">
        <f t="shared" si="87"/>
        <v>480</v>
      </c>
      <c r="B482" s="4"/>
      <c r="C482" s="7">
        <f t="shared" si="88"/>
        <v>45710</v>
      </c>
      <c r="D482" s="11" t="str">
        <f t="shared" si="82"/>
        <v>{2025-02-22},</v>
      </c>
      <c r="E482" s="17">
        <f>COUNTIFS(Sheet1!$C:$C,Feuil1!E$1,Sheet1!$D:$D,Feuil1!$C482)</f>
        <v>0</v>
      </c>
      <c r="F482" s="6">
        <f t="shared" si="89"/>
        <v>160</v>
      </c>
      <c r="G482" s="18" t="str">
        <f t="shared" si="83"/>
        <v>(480,160)</v>
      </c>
      <c r="H482" s="17">
        <f>COUNTIFS(Sheet1!$C:$C,Feuil1!H$1,Sheet1!$D:$D,Feuil1!$C482)</f>
        <v>0</v>
      </c>
      <c r="I482" s="6">
        <f t="shared" si="84"/>
        <v>32</v>
      </c>
      <c r="J482" s="18" t="str">
        <f t="shared" si="79"/>
        <v>(480,32)</v>
      </c>
      <c r="K482" s="17">
        <f>COUNTIFS(Sheet1!$C:$C,Feuil1!K$1,Sheet1!$D:$D,Feuil1!$C482)</f>
        <v>0</v>
      </c>
      <c r="L482" s="6">
        <f t="shared" si="85"/>
        <v>7</v>
      </c>
      <c r="M482" s="18" t="str">
        <f t="shared" si="80"/>
        <v>(480,7)</v>
      </c>
      <c r="N482" s="17">
        <f>COUNTIFS(Sheet1!$C:$C,Feuil1!N$1,Sheet1!$D:$D,Feuil1!$C482)</f>
        <v>0</v>
      </c>
      <c r="O482" s="6">
        <f t="shared" si="86"/>
        <v>797</v>
      </c>
      <c r="P482" s="18" t="str">
        <f t="shared" si="81"/>
        <v>(480,797)</v>
      </c>
    </row>
    <row r="483" spans="1:16" hidden="1" x14ac:dyDescent="0.2">
      <c r="A483" s="4">
        <f t="shared" si="87"/>
        <v>481</v>
      </c>
      <c r="B483" s="4"/>
      <c r="C483" s="7">
        <f t="shared" si="88"/>
        <v>45711</v>
      </c>
      <c r="D483" s="11" t="str">
        <f t="shared" si="82"/>
        <v>{2025-02-23},</v>
      </c>
      <c r="E483" s="17">
        <f>COUNTIFS(Sheet1!$C:$C,Feuil1!E$1,Sheet1!$D:$D,Feuil1!$C483)</f>
        <v>0</v>
      </c>
      <c r="F483" s="6">
        <f t="shared" si="89"/>
        <v>160</v>
      </c>
      <c r="G483" s="18" t="str">
        <f t="shared" si="83"/>
        <v>(481,160)</v>
      </c>
      <c r="H483" s="17">
        <f>COUNTIFS(Sheet1!$C:$C,Feuil1!H$1,Sheet1!$D:$D,Feuil1!$C483)</f>
        <v>0</v>
      </c>
      <c r="I483" s="6">
        <f t="shared" si="84"/>
        <v>32</v>
      </c>
      <c r="J483" s="18" t="str">
        <f t="shared" si="79"/>
        <v>(481,32)</v>
      </c>
      <c r="K483" s="17">
        <f>COUNTIFS(Sheet1!$C:$C,Feuil1!K$1,Sheet1!$D:$D,Feuil1!$C483)</f>
        <v>0</v>
      </c>
      <c r="L483" s="6">
        <f t="shared" si="85"/>
        <v>7</v>
      </c>
      <c r="M483" s="18" t="str">
        <f t="shared" si="80"/>
        <v>(481,7)</v>
      </c>
      <c r="N483" s="17">
        <f>COUNTIFS(Sheet1!$C:$C,Feuil1!N$1,Sheet1!$D:$D,Feuil1!$C483)</f>
        <v>0</v>
      </c>
      <c r="O483" s="6">
        <f t="shared" si="86"/>
        <v>797</v>
      </c>
      <c r="P483" s="18" t="str">
        <f t="shared" si="81"/>
        <v>(481,797)</v>
      </c>
    </row>
    <row r="484" spans="1:16" hidden="1" x14ac:dyDescent="0.2">
      <c r="A484" s="4">
        <f t="shared" si="87"/>
        <v>482</v>
      </c>
      <c r="B484" s="4"/>
      <c r="C484" s="7">
        <f t="shared" si="88"/>
        <v>45712</v>
      </c>
      <c r="D484" s="11" t="str">
        <f t="shared" si="82"/>
        <v>{2025-02-24},</v>
      </c>
      <c r="E484" s="17">
        <f>COUNTIFS(Sheet1!$C:$C,Feuil1!E$1,Sheet1!$D:$D,Feuil1!$C484)</f>
        <v>0</v>
      </c>
      <c r="F484" s="6">
        <f t="shared" si="89"/>
        <v>160</v>
      </c>
      <c r="G484" s="18" t="str">
        <f t="shared" si="83"/>
        <v>(482,160)</v>
      </c>
      <c r="H484" s="17">
        <f>COUNTIFS(Sheet1!$C:$C,Feuil1!H$1,Sheet1!$D:$D,Feuil1!$C484)</f>
        <v>0</v>
      </c>
      <c r="I484" s="6">
        <f t="shared" si="84"/>
        <v>32</v>
      </c>
      <c r="J484" s="18" t="str">
        <f t="shared" si="79"/>
        <v>(482,32)</v>
      </c>
      <c r="K484" s="17">
        <f>COUNTIFS(Sheet1!$C:$C,Feuil1!K$1,Sheet1!$D:$D,Feuil1!$C484)</f>
        <v>0</v>
      </c>
      <c r="L484" s="6">
        <f t="shared" si="85"/>
        <v>7</v>
      </c>
      <c r="M484" s="18" t="str">
        <f t="shared" si="80"/>
        <v>(482,7)</v>
      </c>
      <c r="N484" s="17">
        <f>COUNTIFS(Sheet1!$C:$C,Feuil1!N$1,Sheet1!$D:$D,Feuil1!$C484)</f>
        <v>0</v>
      </c>
      <c r="O484" s="6">
        <f t="shared" si="86"/>
        <v>797</v>
      </c>
      <c r="P484" s="18" t="str">
        <f t="shared" si="81"/>
        <v>(482,797)</v>
      </c>
    </row>
    <row r="485" spans="1:16" hidden="1" x14ac:dyDescent="0.2">
      <c r="A485" s="4">
        <f t="shared" si="87"/>
        <v>483</v>
      </c>
      <c r="B485" s="4"/>
      <c r="C485" s="7">
        <f t="shared" si="88"/>
        <v>45713</v>
      </c>
      <c r="D485" s="11" t="str">
        <f t="shared" si="82"/>
        <v>{2025-02-25},</v>
      </c>
      <c r="E485" s="17">
        <f>COUNTIFS(Sheet1!$C:$C,Feuil1!E$1,Sheet1!$D:$D,Feuil1!$C485)</f>
        <v>0</v>
      </c>
      <c r="F485" s="6">
        <f t="shared" si="89"/>
        <v>160</v>
      </c>
      <c r="G485" s="18" t="str">
        <f t="shared" si="83"/>
        <v>(483,160)</v>
      </c>
      <c r="H485" s="17">
        <f>COUNTIFS(Sheet1!$C:$C,Feuil1!H$1,Sheet1!$D:$D,Feuil1!$C485)</f>
        <v>0</v>
      </c>
      <c r="I485" s="6">
        <f t="shared" si="84"/>
        <v>32</v>
      </c>
      <c r="J485" s="18" t="str">
        <f t="shared" si="79"/>
        <v>(483,32)</v>
      </c>
      <c r="K485" s="17">
        <f>COUNTIFS(Sheet1!$C:$C,Feuil1!K$1,Sheet1!$D:$D,Feuil1!$C485)</f>
        <v>0</v>
      </c>
      <c r="L485" s="6">
        <f t="shared" si="85"/>
        <v>7</v>
      </c>
      <c r="M485" s="18" t="str">
        <f t="shared" si="80"/>
        <v>(483,7)</v>
      </c>
      <c r="N485" s="17">
        <f>COUNTIFS(Sheet1!$C:$C,Feuil1!N$1,Sheet1!$D:$D,Feuil1!$C485)</f>
        <v>0</v>
      </c>
      <c r="O485" s="6">
        <f t="shared" si="86"/>
        <v>797</v>
      </c>
      <c r="P485" s="18" t="str">
        <f t="shared" si="81"/>
        <v>(483,797)</v>
      </c>
    </row>
    <row r="486" spans="1:16" hidden="1" x14ac:dyDescent="0.2">
      <c r="A486" s="4">
        <f t="shared" si="87"/>
        <v>484</v>
      </c>
      <c r="B486" s="4"/>
      <c r="C486" s="7">
        <f t="shared" si="88"/>
        <v>45714</v>
      </c>
      <c r="D486" s="11" t="str">
        <f t="shared" si="82"/>
        <v>{2025-02-26},</v>
      </c>
      <c r="E486" s="17">
        <f>COUNTIFS(Sheet1!$C:$C,Feuil1!E$1,Sheet1!$D:$D,Feuil1!$C486)</f>
        <v>0</v>
      </c>
      <c r="F486" s="6">
        <f t="shared" si="89"/>
        <v>160</v>
      </c>
      <c r="G486" s="18" t="str">
        <f t="shared" si="83"/>
        <v>(484,160)</v>
      </c>
      <c r="H486" s="17">
        <f>COUNTIFS(Sheet1!$C:$C,Feuil1!H$1,Sheet1!$D:$D,Feuil1!$C486)</f>
        <v>0</v>
      </c>
      <c r="I486" s="6">
        <f t="shared" si="84"/>
        <v>32</v>
      </c>
      <c r="J486" s="18" t="str">
        <f t="shared" si="79"/>
        <v>(484,32)</v>
      </c>
      <c r="K486" s="17">
        <f>COUNTIFS(Sheet1!$C:$C,Feuil1!K$1,Sheet1!$D:$D,Feuil1!$C486)</f>
        <v>0</v>
      </c>
      <c r="L486" s="6">
        <f t="shared" si="85"/>
        <v>7</v>
      </c>
      <c r="M486" s="18" t="str">
        <f t="shared" si="80"/>
        <v>(484,7)</v>
      </c>
      <c r="N486" s="17">
        <f>COUNTIFS(Sheet1!$C:$C,Feuil1!N$1,Sheet1!$D:$D,Feuil1!$C486)</f>
        <v>0</v>
      </c>
      <c r="O486" s="6">
        <f t="shared" si="86"/>
        <v>797</v>
      </c>
      <c r="P486" s="18" t="str">
        <f t="shared" si="81"/>
        <v>(484,797)</v>
      </c>
    </row>
    <row r="487" spans="1:16" hidden="1" x14ac:dyDescent="0.2">
      <c r="A487" s="4">
        <f t="shared" si="87"/>
        <v>485</v>
      </c>
      <c r="B487" s="4"/>
      <c r="C487" s="7">
        <f t="shared" si="88"/>
        <v>45715</v>
      </c>
      <c r="D487" s="11" t="str">
        <f t="shared" si="82"/>
        <v>{2025-02-27},</v>
      </c>
      <c r="E487" s="17">
        <f>COUNTIFS(Sheet1!$C:$C,Feuil1!E$1,Sheet1!$D:$D,Feuil1!$C487)</f>
        <v>0</v>
      </c>
      <c r="F487" s="6">
        <f t="shared" si="89"/>
        <v>160</v>
      </c>
      <c r="G487" s="18" t="str">
        <f t="shared" si="83"/>
        <v>(485,160)</v>
      </c>
      <c r="H487" s="17">
        <f>COUNTIFS(Sheet1!$C:$C,Feuil1!H$1,Sheet1!$D:$D,Feuil1!$C487)</f>
        <v>0</v>
      </c>
      <c r="I487" s="6">
        <f t="shared" si="84"/>
        <v>32</v>
      </c>
      <c r="J487" s="18" t="str">
        <f t="shared" si="79"/>
        <v>(485,32)</v>
      </c>
      <c r="K487" s="17">
        <f>COUNTIFS(Sheet1!$C:$C,Feuil1!K$1,Sheet1!$D:$D,Feuil1!$C487)</f>
        <v>0</v>
      </c>
      <c r="L487" s="6">
        <f t="shared" si="85"/>
        <v>7</v>
      </c>
      <c r="M487" s="18" t="str">
        <f t="shared" si="80"/>
        <v>(485,7)</v>
      </c>
      <c r="N487" s="17">
        <f>COUNTIFS(Sheet1!$C:$C,Feuil1!N$1,Sheet1!$D:$D,Feuil1!$C487)</f>
        <v>0</v>
      </c>
      <c r="O487" s="6">
        <f t="shared" si="86"/>
        <v>797</v>
      </c>
      <c r="P487" s="18" t="str">
        <f t="shared" si="81"/>
        <v>(485,797)</v>
      </c>
    </row>
    <row r="488" spans="1:16" hidden="1" x14ac:dyDescent="0.2">
      <c r="A488" s="4">
        <f t="shared" si="87"/>
        <v>486</v>
      </c>
      <c r="B488" s="4"/>
      <c r="C488" s="7">
        <f t="shared" si="88"/>
        <v>45716</v>
      </c>
      <c r="D488" s="11" t="str">
        <f t="shared" si="82"/>
        <v>{2025-02-28},</v>
      </c>
      <c r="E488" s="17">
        <f>COUNTIFS(Sheet1!$C:$C,Feuil1!E$1,Sheet1!$D:$D,Feuil1!$C488)</f>
        <v>0</v>
      </c>
      <c r="F488" s="6">
        <f t="shared" si="89"/>
        <v>160</v>
      </c>
      <c r="G488" s="18" t="str">
        <f t="shared" si="83"/>
        <v>(486,160)</v>
      </c>
      <c r="H488" s="17">
        <f>COUNTIFS(Sheet1!$C:$C,Feuil1!H$1,Sheet1!$D:$D,Feuil1!$C488)</f>
        <v>0</v>
      </c>
      <c r="I488" s="6">
        <f t="shared" si="84"/>
        <v>32</v>
      </c>
      <c r="J488" s="18" t="str">
        <f t="shared" si="79"/>
        <v>(486,32)</v>
      </c>
      <c r="K488" s="17">
        <f>COUNTIFS(Sheet1!$C:$C,Feuil1!K$1,Sheet1!$D:$D,Feuil1!$C488)</f>
        <v>0</v>
      </c>
      <c r="L488" s="6">
        <f t="shared" si="85"/>
        <v>7</v>
      </c>
      <c r="M488" s="18" t="str">
        <f t="shared" si="80"/>
        <v>(486,7)</v>
      </c>
      <c r="N488" s="17">
        <f>COUNTIFS(Sheet1!$C:$C,Feuil1!N$1,Sheet1!$D:$D,Feuil1!$C488)</f>
        <v>0</v>
      </c>
      <c r="O488" s="6">
        <f t="shared" si="86"/>
        <v>797</v>
      </c>
      <c r="P488" s="18" t="str">
        <f t="shared" si="81"/>
        <v>(486,797)</v>
      </c>
    </row>
    <row r="489" spans="1:16" hidden="1" x14ac:dyDescent="0.2">
      <c r="A489" s="4">
        <f t="shared" si="87"/>
        <v>487</v>
      </c>
      <c r="B489" s="4"/>
      <c r="C489" s="5">
        <f t="shared" si="88"/>
        <v>45717</v>
      </c>
      <c r="D489" s="11" t="str">
        <f t="shared" si="82"/>
        <v>{2025-03-01},</v>
      </c>
      <c r="E489" s="17">
        <f>COUNTIFS(Sheet1!$C:$C,Feuil1!E$1,Sheet1!$D:$D,Feuil1!$C489)</f>
        <v>0</v>
      </c>
      <c r="F489" s="6">
        <f t="shared" si="89"/>
        <v>160</v>
      </c>
      <c r="G489" s="18" t="str">
        <f t="shared" si="83"/>
        <v>(487,160)</v>
      </c>
      <c r="H489" s="17">
        <f>COUNTIFS(Sheet1!$C:$C,Feuil1!H$1,Sheet1!$D:$D,Feuil1!$C489)</f>
        <v>0</v>
      </c>
      <c r="I489" s="6">
        <f t="shared" si="84"/>
        <v>32</v>
      </c>
      <c r="J489" s="18" t="str">
        <f t="shared" si="79"/>
        <v>(487,32)</v>
      </c>
      <c r="K489" s="17">
        <f>COUNTIFS(Sheet1!$C:$C,Feuil1!K$1,Sheet1!$D:$D,Feuil1!$C489)</f>
        <v>0</v>
      </c>
      <c r="L489" s="6">
        <f t="shared" si="85"/>
        <v>7</v>
      </c>
      <c r="M489" s="18" t="str">
        <f t="shared" si="80"/>
        <v>(487,7)</v>
      </c>
      <c r="N489" s="17">
        <f>COUNTIFS(Sheet1!$C:$C,Feuil1!N$1,Sheet1!$D:$D,Feuil1!$C489)</f>
        <v>0</v>
      </c>
      <c r="O489" s="6">
        <f t="shared" si="86"/>
        <v>797</v>
      </c>
      <c r="P489" s="18" t="str">
        <f t="shared" si="81"/>
        <v>(487,797)</v>
      </c>
    </row>
    <row r="490" spans="1:16" hidden="1" x14ac:dyDescent="0.2">
      <c r="A490" s="4">
        <f t="shared" si="87"/>
        <v>488</v>
      </c>
      <c r="B490" s="4"/>
      <c r="C490" s="7">
        <f t="shared" si="88"/>
        <v>45718</v>
      </c>
      <c r="D490" s="11" t="str">
        <f t="shared" si="82"/>
        <v>{2025-03-02},</v>
      </c>
      <c r="E490" s="17">
        <f>COUNTIFS(Sheet1!$C:$C,Feuil1!E$1,Sheet1!$D:$D,Feuil1!$C490)</f>
        <v>0</v>
      </c>
      <c r="F490" s="6">
        <f t="shared" si="89"/>
        <v>160</v>
      </c>
      <c r="G490" s="18" t="str">
        <f t="shared" si="83"/>
        <v>(488,160)</v>
      </c>
      <c r="H490" s="17">
        <f>COUNTIFS(Sheet1!$C:$C,Feuil1!H$1,Sheet1!$D:$D,Feuil1!$C490)</f>
        <v>0</v>
      </c>
      <c r="I490" s="6">
        <f t="shared" si="84"/>
        <v>32</v>
      </c>
      <c r="J490" s="18" t="str">
        <f t="shared" si="79"/>
        <v>(488,32)</v>
      </c>
      <c r="K490" s="17">
        <f>COUNTIFS(Sheet1!$C:$C,Feuil1!K$1,Sheet1!$D:$D,Feuil1!$C490)</f>
        <v>0</v>
      </c>
      <c r="L490" s="6">
        <f t="shared" si="85"/>
        <v>7</v>
      </c>
      <c r="M490" s="18" t="str">
        <f t="shared" si="80"/>
        <v>(488,7)</v>
      </c>
      <c r="N490" s="17">
        <f>COUNTIFS(Sheet1!$C:$C,Feuil1!N$1,Sheet1!$D:$D,Feuil1!$C490)</f>
        <v>0</v>
      </c>
      <c r="O490" s="6">
        <f t="shared" si="86"/>
        <v>797</v>
      </c>
      <c r="P490" s="18" t="str">
        <f t="shared" si="81"/>
        <v>(488,797)</v>
      </c>
    </row>
    <row r="491" spans="1:16" hidden="1" x14ac:dyDescent="0.2">
      <c r="A491" s="4">
        <f t="shared" si="87"/>
        <v>489</v>
      </c>
      <c r="B491" s="4"/>
      <c r="C491" s="7">
        <f t="shared" si="88"/>
        <v>45719</v>
      </c>
      <c r="D491" s="11" t="str">
        <f t="shared" si="82"/>
        <v>{2025-03-03},</v>
      </c>
      <c r="E491" s="17">
        <f>COUNTIFS(Sheet1!$C:$C,Feuil1!E$1,Sheet1!$D:$D,Feuil1!$C491)</f>
        <v>0</v>
      </c>
      <c r="F491" s="6">
        <f t="shared" si="89"/>
        <v>160</v>
      </c>
      <c r="G491" s="18" t="str">
        <f t="shared" si="83"/>
        <v>(489,160)</v>
      </c>
      <c r="H491" s="17">
        <f>COUNTIFS(Sheet1!$C:$C,Feuil1!H$1,Sheet1!$D:$D,Feuil1!$C491)</f>
        <v>0</v>
      </c>
      <c r="I491" s="6">
        <f t="shared" si="84"/>
        <v>32</v>
      </c>
      <c r="J491" s="18" t="str">
        <f t="shared" si="79"/>
        <v>(489,32)</v>
      </c>
      <c r="K491" s="17">
        <f>COUNTIFS(Sheet1!$C:$C,Feuil1!K$1,Sheet1!$D:$D,Feuil1!$C491)</f>
        <v>0</v>
      </c>
      <c r="L491" s="6">
        <f t="shared" si="85"/>
        <v>7</v>
      </c>
      <c r="M491" s="18" t="str">
        <f t="shared" si="80"/>
        <v>(489,7)</v>
      </c>
      <c r="N491" s="17">
        <f>COUNTIFS(Sheet1!$C:$C,Feuil1!N$1,Sheet1!$D:$D,Feuil1!$C491)</f>
        <v>0</v>
      </c>
      <c r="O491" s="6">
        <f t="shared" si="86"/>
        <v>797</v>
      </c>
      <c r="P491" s="18" t="str">
        <f t="shared" si="81"/>
        <v>(489,797)</v>
      </c>
    </row>
    <row r="492" spans="1:16" hidden="1" x14ac:dyDescent="0.2">
      <c r="A492" s="4">
        <f t="shared" si="87"/>
        <v>490</v>
      </c>
      <c r="B492" s="4"/>
      <c r="C492" s="7">
        <f t="shared" si="88"/>
        <v>45720</v>
      </c>
      <c r="D492" s="11" t="str">
        <f t="shared" si="82"/>
        <v>{2025-03-04},</v>
      </c>
      <c r="E492" s="17">
        <f>COUNTIFS(Sheet1!$C:$C,Feuil1!E$1,Sheet1!$D:$D,Feuil1!$C492)</f>
        <v>0</v>
      </c>
      <c r="F492" s="6">
        <f t="shared" si="89"/>
        <v>160</v>
      </c>
      <c r="G492" s="18" t="str">
        <f t="shared" si="83"/>
        <v>(490,160)</v>
      </c>
      <c r="H492" s="17">
        <f>COUNTIFS(Sheet1!$C:$C,Feuil1!H$1,Sheet1!$D:$D,Feuil1!$C492)</f>
        <v>0</v>
      </c>
      <c r="I492" s="6">
        <f t="shared" si="84"/>
        <v>32</v>
      </c>
      <c r="J492" s="18" t="str">
        <f t="shared" si="79"/>
        <v>(490,32)</v>
      </c>
      <c r="K492" s="17">
        <f>COUNTIFS(Sheet1!$C:$C,Feuil1!K$1,Sheet1!$D:$D,Feuil1!$C492)</f>
        <v>0</v>
      </c>
      <c r="L492" s="6">
        <f t="shared" si="85"/>
        <v>7</v>
      </c>
      <c r="M492" s="18" t="str">
        <f t="shared" si="80"/>
        <v>(490,7)</v>
      </c>
      <c r="N492" s="17">
        <f>COUNTIFS(Sheet1!$C:$C,Feuil1!N$1,Sheet1!$D:$D,Feuil1!$C492)</f>
        <v>0</v>
      </c>
      <c r="O492" s="6">
        <f t="shared" si="86"/>
        <v>797</v>
      </c>
      <c r="P492" s="18" t="str">
        <f t="shared" si="81"/>
        <v>(490,797)</v>
      </c>
    </row>
    <row r="493" spans="1:16" hidden="1" x14ac:dyDescent="0.2">
      <c r="A493" s="4">
        <f t="shared" si="87"/>
        <v>491</v>
      </c>
      <c r="B493" s="4"/>
      <c r="C493" s="7">
        <f t="shared" si="88"/>
        <v>45721</v>
      </c>
      <c r="D493" s="11" t="str">
        <f t="shared" si="82"/>
        <v>{2025-03-05},</v>
      </c>
      <c r="E493" s="17">
        <f>COUNTIFS(Sheet1!$C:$C,Feuil1!E$1,Sheet1!$D:$D,Feuil1!$C493)</f>
        <v>0</v>
      </c>
      <c r="F493" s="6">
        <f t="shared" si="89"/>
        <v>160</v>
      </c>
      <c r="G493" s="18" t="str">
        <f t="shared" si="83"/>
        <v>(491,160)</v>
      </c>
      <c r="H493" s="17">
        <f>COUNTIFS(Sheet1!$C:$C,Feuil1!H$1,Sheet1!$D:$D,Feuil1!$C493)</f>
        <v>0</v>
      </c>
      <c r="I493" s="6">
        <f t="shared" si="84"/>
        <v>32</v>
      </c>
      <c r="J493" s="18" t="str">
        <f t="shared" si="79"/>
        <v>(491,32)</v>
      </c>
      <c r="K493" s="17">
        <f>COUNTIFS(Sheet1!$C:$C,Feuil1!K$1,Sheet1!$D:$D,Feuil1!$C493)</f>
        <v>0</v>
      </c>
      <c r="L493" s="6">
        <f t="shared" si="85"/>
        <v>7</v>
      </c>
      <c r="M493" s="18" t="str">
        <f t="shared" si="80"/>
        <v>(491,7)</v>
      </c>
      <c r="N493" s="17">
        <f>COUNTIFS(Sheet1!$C:$C,Feuil1!N$1,Sheet1!$D:$D,Feuil1!$C493)</f>
        <v>0</v>
      </c>
      <c r="O493" s="6">
        <f t="shared" si="86"/>
        <v>797</v>
      </c>
      <c r="P493" s="18" t="str">
        <f t="shared" si="81"/>
        <v>(491,797)</v>
      </c>
    </row>
    <row r="494" spans="1:16" hidden="1" x14ac:dyDescent="0.2">
      <c r="A494" s="4">
        <f t="shared" si="87"/>
        <v>492</v>
      </c>
      <c r="B494" s="4"/>
      <c r="C494" s="7">
        <f t="shared" si="88"/>
        <v>45722</v>
      </c>
      <c r="D494" s="11" t="str">
        <f t="shared" si="82"/>
        <v>{2025-03-06},</v>
      </c>
      <c r="E494" s="17">
        <f>COUNTIFS(Sheet1!$C:$C,Feuil1!E$1,Sheet1!$D:$D,Feuil1!$C494)</f>
        <v>0</v>
      </c>
      <c r="F494" s="6">
        <f t="shared" si="89"/>
        <v>160</v>
      </c>
      <c r="G494" s="18" t="str">
        <f t="shared" si="83"/>
        <v>(492,160)</v>
      </c>
      <c r="H494" s="17">
        <f>COUNTIFS(Sheet1!$C:$C,Feuil1!H$1,Sheet1!$D:$D,Feuil1!$C494)</f>
        <v>0</v>
      </c>
      <c r="I494" s="6">
        <f t="shared" si="84"/>
        <v>32</v>
      </c>
      <c r="J494" s="18" t="str">
        <f t="shared" si="79"/>
        <v>(492,32)</v>
      </c>
      <c r="K494" s="17">
        <f>COUNTIFS(Sheet1!$C:$C,Feuil1!K$1,Sheet1!$D:$D,Feuil1!$C494)</f>
        <v>0</v>
      </c>
      <c r="L494" s="6">
        <f t="shared" si="85"/>
        <v>7</v>
      </c>
      <c r="M494" s="18" t="str">
        <f t="shared" si="80"/>
        <v>(492,7)</v>
      </c>
      <c r="N494" s="17">
        <f>COUNTIFS(Sheet1!$C:$C,Feuil1!N$1,Sheet1!$D:$D,Feuil1!$C494)</f>
        <v>0</v>
      </c>
      <c r="O494" s="6">
        <f t="shared" si="86"/>
        <v>797</v>
      </c>
      <c r="P494" s="18" t="str">
        <f t="shared" si="81"/>
        <v>(492,797)</v>
      </c>
    </row>
    <row r="495" spans="1:16" hidden="1" x14ac:dyDescent="0.2">
      <c r="A495" s="4">
        <f t="shared" si="87"/>
        <v>493</v>
      </c>
      <c r="B495" s="4"/>
      <c r="C495" s="7">
        <f t="shared" si="88"/>
        <v>45723</v>
      </c>
      <c r="D495" s="11" t="str">
        <f t="shared" si="82"/>
        <v>{2025-03-07},</v>
      </c>
      <c r="E495" s="17">
        <f>COUNTIFS(Sheet1!$C:$C,Feuil1!E$1,Sheet1!$D:$D,Feuil1!$C495)</f>
        <v>0</v>
      </c>
      <c r="F495" s="6">
        <f t="shared" si="89"/>
        <v>160</v>
      </c>
      <c r="G495" s="18" t="str">
        <f t="shared" si="83"/>
        <v>(493,160)</v>
      </c>
      <c r="H495" s="17">
        <f>COUNTIFS(Sheet1!$C:$C,Feuil1!H$1,Sheet1!$D:$D,Feuil1!$C495)</f>
        <v>0</v>
      </c>
      <c r="I495" s="6">
        <f t="shared" si="84"/>
        <v>32</v>
      </c>
      <c r="J495" s="18" t="str">
        <f t="shared" si="79"/>
        <v>(493,32)</v>
      </c>
      <c r="K495" s="17">
        <f>COUNTIFS(Sheet1!$C:$C,Feuil1!K$1,Sheet1!$D:$D,Feuil1!$C495)</f>
        <v>0</v>
      </c>
      <c r="L495" s="6">
        <f t="shared" si="85"/>
        <v>7</v>
      </c>
      <c r="M495" s="18" t="str">
        <f t="shared" si="80"/>
        <v>(493,7)</v>
      </c>
      <c r="N495" s="17">
        <f>COUNTIFS(Sheet1!$C:$C,Feuil1!N$1,Sheet1!$D:$D,Feuil1!$C495)</f>
        <v>0</v>
      </c>
      <c r="O495" s="6">
        <f t="shared" si="86"/>
        <v>797</v>
      </c>
      <c r="P495" s="18" t="str">
        <f t="shared" si="81"/>
        <v>(493,797)</v>
      </c>
    </row>
    <row r="496" spans="1:16" hidden="1" x14ac:dyDescent="0.2">
      <c r="A496" s="4">
        <f t="shared" si="87"/>
        <v>494</v>
      </c>
      <c r="B496" s="4"/>
      <c r="C496" s="7">
        <f t="shared" si="88"/>
        <v>45724</v>
      </c>
      <c r="D496" s="11" t="str">
        <f t="shared" si="82"/>
        <v>{2025-03-08},</v>
      </c>
      <c r="E496" s="17">
        <f>COUNTIFS(Sheet1!$C:$C,Feuil1!E$1,Sheet1!$D:$D,Feuil1!$C496)</f>
        <v>0</v>
      </c>
      <c r="F496" s="6">
        <f t="shared" si="89"/>
        <v>160</v>
      </c>
      <c r="G496" s="18" t="str">
        <f t="shared" si="83"/>
        <v>(494,160)</v>
      </c>
      <c r="H496" s="17">
        <f>COUNTIFS(Sheet1!$C:$C,Feuil1!H$1,Sheet1!$D:$D,Feuil1!$C496)</f>
        <v>0</v>
      </c>
      <c r="I496" s="6">
        <f t="shared" si="84"/>
        <v>32</v>
      </c>
      <c r="J496" s="18" t="str">
        <f t="shared" si="79"/>
        <v>(494,32)</v>
      </c>
      <c r="K496" s="17">
        <f>COUNTIFS(Sheet1!$C:$C,Feuil1!K$1,Sheet1!$D:$D,Feuil1!$C496)</f>
        <v>0</v>
      </c>
      <c r="L496" s="6">
        <f t="shared" si="85"/>
        <v>7</v>
      </c>
      <c r="M496" s="18" t="str">
        <f t="shared" si="80"/>
        <v>(494,7)</v>
      </c>
      <c r="N496" s="17">
        <f>COUNTIFS(Sheet1!$C:$C,Feuil1!N$1,Sheet1!$D:$D,Feuil1!$C496)</f>
        <v>0</v>
      </c>
      <c r="O496" s="6">
        <f t="shared" si="86"/>
        <v>797</v>
      </c>
      <c r="P496" s="18" t="str">
        <f t="shared" si="81"/>
        <v>(494,797)</v>
      </c>
    </row>
    <row r="497" spans="1:16" hidden="1" x14ac:dyDescent="0.2">
      <c r="A497" s="4">
        <f t="shared" si="87"/>
        <v>495</v>
      </c>
      <c r="B497" s="4"/>
      <c r="C497" s="7">
        <f t="shared" si="88"/>
        <v>45725</v>
      </c>
      <c r="D497" s="11" t="str">
        <f t="shared" si="82"/>
        <v>{2025-03-09},</v>
      </c>
      <c r="E497" s="17">
        <f>COUNTIFS(Sheet1!$C:$C,Feuil1!E$1,Sheet1!$D:$D,Feuil1!$C497)</f>
        <v>0</v>
      </c>
      <c r="F497" s="6">
        <f t="shared" si="89"/>
        <v>160</v>
      </c>
      <c r="G497" s="18" t="str">
        <f t="shared" si="83"/>
        <v>(495,160)</v>
      </c>
      <c r="H497" s="17">
        <f>COUNTIFS(Sheet1!$C:$C,Feuil1!H$1,Sheet1!$D:$D,Feuil1!$C497)</f>
        <v>0</v>
      </c>
      <c r="I497" s="6">
        <f t="shared" si="84"/>
        <v>32</v>
      </c>
      <c r="J497" s="18" t="str">
        <f t="shared" si="79"/>
        <v>(495,32)</v>
      </c>
      <c r="K497" s="17">
        <f>COUNTIFS(Sheet1!$C:$C,Feuil1!K$1,Sheet1!$D:$D,Feuil1!$C497)</f>
        <v>0</v>
      </c>
      <c r="L497" s="6">
        <f t="shared" si="85"/>
        <v>7</v>
      </c>
      <c r="M497" s="18" t="str">
        <f t="shared" si="80"/>
        <v>(495,7)</v>
      </c>
      <c r="N497" s="17">
        <f>COUNTIFS(Sheet1!$C:$C,Feuil1!N$1,Sheet1!$D:$D,Feuil1!$C497)</f>
        <v>0</v>
      </c>
      <c r="O497" s="6">
        <f t="shared" si="86"/>
        <v>797</v>
      </c>
      <c r="P497" s="18" t="str">
        <f t="shared" si="81"/>
        <v>(495,797)</v>
      </c>
    </row>
    <row r="498" spans="1:16" hidden="1" x14ac:dyDescent="0.2">
      <c r="A498" s="4">
        <f t="shared" si="87"/>
        <v>496</v>
      </c>
      <c r="B498" s="4"/>
      <c r="C498" s="7">
        <f t="shared" si="88"/>
        <v>45726</v>
      </c>
      <c r="D498" s="11" t="str">
        <f t="shared" si="82"/>
        <v>{2025-03-10},</v>
      </c>
      <c r="E498" s="17">
        <f>COUNTIFS(Sheet1!$C:$C,Feuil1!E$1,Sheet1!$D:$D,Feuil1!$C498)</f>
        <v>0</v>
      </c>
      <c r="F498" s="6">
        <f t="shared" si="89"/>
        <v>160</v>
      </c>
      <c r="G498" s="18" t="str">
        <f t="shared" si="83"/>
        <v>(496,160)</v>
      </c>
      <c r="H498" s="17">
        <f>COUNTIFS(Sheet1!$C:$C,Feuil1!H$1,Sheet1!$D:$D,Feuil1!$C498)</f>
        <v>0</v>
      </c>
      <c r="I498" s="6">
        <f t="shared" si="84"/>
        <v>32</v>
      </c>
      <c r="J498" s="18" t="str">
        <f t="shared" si="79"/>
        <v>(496,32)</v>
      </c>
      <c r="K498" s="17">
        <f>COUNTIFS(Sheet1!$C:$C,Feuil1!K$1,Sheet1!$D:$D,Feuil1!$C498)</f>
        <v>0</v>
      </c>
      <c r="L498" s="6">
        <f t="shared" si="85"/>
        <v>7</v>
      </c>
      <c r="M498" s="18" t="str">
        <f t="shared" si="80"/>
        <v>(496,7)</v>
      </c>
      <c r="N498" s="17">
        <f>COUNTIFS(Sheet1!$C:$C,Feuil1!N$1,Sheet1!$D:$D,Feuil1!$C498)</f>
        <v>0</v>
      </c>
      <c r="O498" s="6">
        <f t="shared" si="86"/>
        <v>797</v>
      </c>
      <c r="P498" s="18" t="str">
        <f t="shared" si="81"/>
        <v>(496,797)</v>
      </c>
    </row>
    <row r="499" spans="1:16" hidden="1" x14ac:dyDescent="0.2">
      <c r="A499" s="4">
        <f t="shared" si="87"/>
        <v>497</v>
      </c>
      <c r="B499" s="4"/>
      <c r="C499" s="7">
        <f t="shared" si="88"/>
        <v>45727</v>
      </c>
      <c r="D499" s="11" t="str">
        <f t="shared" si="82"/>
        <v>{2025-03-11},</v>
      </c>
      <c r="E499" s="17">
        <f>COUNTIFS(Sheet1!$C:$C,Feuil1!E$1,Sheet1!$D:$D,Feuil1!$C499)</f>
        <v>0</v>
      </c>
      <c r="F499" s="6">
        <f t="shared" si="89"/>
        <v>160</v>
      </c>
      <c r="G499" s="18" t="str">
        <f t="shared" si="83"/>
        <v>(497,160)</v>
      </c>
      <c r="H499" s="17">
        <f>COUNTIFS(Sheet1!$C:$C,Feuil1!H$1,Sheet1!$D:$D,Feuil1!$C499)</f>
        <v>0</v>
      </c>
      <c r="I499" s="6">
        <f t="shared" si="84"/>
        <v>32</v>
      </c>
      <c r="J499" s="18" t="str">
        <f t="shared" si="79"/>
        <v>(497,32)</v>
      </c>
      <c r="K499" s="17">
        <f>COUNTIFS(Sheet1!$C:$C,Feuil1!K$1,Sheet1!$D:$D,Feuil1!$C499)</f>
        <v>0</v>
      </c>
      <c r="L499" s="6">
        <f t="shared" si="85"/>
        <v>7</v>
      </c>
      <c r="M499" s="18" t="str">
        <f t="shared" si="80"/>
        <v>(497,7)</v>
      </c>
      <c r="N499" s="17">
        <f>COUNTIFS(Sheet1!$C:$C,Feuil1!N$1,Sheet1!$D:$D,Feuil1!$C499)</f>
        <v>0</v>
      </c>
      <c r="O499" s="6">
        <f t="shared" si="86"/>
        <v>797</v>
      </c>
      <c r="P499" s="18" t="str">
        <f t="shared" si="81"/>
        <v>(497,797)</v>
      </c>
    </row>
    <row r="500" spans="1:16" hidden="1" x14ac:dyDescent="0.2">
      <c r="A500" s="4">
        <f t="shared" si="87"/>
        <v>498</v>
      </c>
      <c r="B500" s="4"/>
      <c r="C500" s="7">
        <f t="shared" si="88"/>
        <v>45728</v>
      </c>
      <c r="D500" s="11" t="str">
        <f t="shared" si="82"/>
        <v>{2025-03-12},</v>
      </c>
      <c r="E500" s="17">
        <f>COUNTIFS(Sheet1!$C:$C,Feuil1!E$1,Sheet1!$D:$D,Feuil1!$C500)</f>
        <v>0</v>
      </c>
      <c r="F500" s="6">
        <f t="shared" si="89"/>
        <v>160</v>
      </c>
      <c r="G500" s="18" t="str">
        <f t="shared" si="83"/>
        <v>(498,160)</v>
      </c>
      <c r="H500" s="17">
        <f>COUNTIFS(Sheet1!$C:$C,Feuil1!H$1,Sheet1!$D:$D,Feuil1!$C500)</f>
        <v>0</v>
      </c>
      <c r="I500" s="6">
        <f t="shared" si="84"/>
        <v>32</v>
      </c>
      <c r="J500" s="18" t="str">
        <f t="shared" si="79"/>
        <v>(498,32)</v>
      </c>
      <c r="K500" s="17">
        <f>COUNTIFS(Sheet1!$C:$C,Feuil1!K$1,Sheet1!$D:$D,Feuil1!$C500)</f>
        <v>0</v>
      </c>
      <c r="L500" s="6">
        <f t="shared" si="85"/>
        <v>7</v>
      </c>
      <c r="M500" s="18" t="str">
        <f t="shared" si="80"/>
        <v>(498,7)</v>
      </c>
      <c r="N500" s="17">
        <f>COUNTIFS(Sheet1!$C:$C,Feuil1!N$1,Sheet1!$D:$D,Feuil1!$C500)</f>
        <v>0</v>
      </c>
      <c r="O500" s="6">
        <f t="shared" si="86"/>
        <v>797</v>
      </c>
      <c r="P500" s="18" t="str">
        <f t="shared" si="81"/>
        <v>(498,797)</v>
      </c>
    </row>
    <row r="501" spans="1:16" hidden="1" x14ac:dyDescent="0.2">
      <c r="A501" s="4">
        <f t="shared" si="87"/>
        <v>499</v>
      </c>
      <c r="B501" s="4"/>
      <c r="C501" s="7">
        <f t="shared" si="88"/>
        <v>45729</v>
      </c>
      <c r="D501" s="11" t="str">
        <f t="shared" si="82"/>
        <v>{2025-03-13},</v>
      </c>
      <c r="E501" s="17">
        <f>COUNTIFS(Sheet1!$C:$C,Feuil1!E$1,Sheet1!$D:$D,Feuil1!$C501)</f>
        <v>0</v>
      </c>
      <c r="F501" s="6">
        <f t="shared" si="89"/>
        <v>160</v>
      </c>
      <c r="G501" s="18" t="str">
        <f t="shared" si="83"/>
        <v>(499,160)</v>
      </c>
      <c r="H501" s="17">
        <f>COUNTIFS(Sheet1!$C:$C,Feuil1!H$1,Sheet1!$D:$D,Feuil1!$C501)</f>
        <v>0</v>
      </c>
      <c r="I501" s="6">
        <f t="shared" si="84"/>
        <v>32</v>
      </c>
      <c r="J501" s="18" t="str">
        <f t="shared" si="79"/>
        <v>(499,32)</v>
      </c>
      <c r="K501" s="17">
        <f>COUNTIFS(Sheet1!$C:$C,Feuil1!K$1,Sheet1!$D:$D,Feuil1!$C501)</f>
        <v>0</v>
      </c>
      <c r="L501" s="6">
        <f t="shared" si="85"/>
        <v>7</v>
      </c>
      <c r="M501" s="18" t="str">
        <f t="shared" si="80"/>
        <v>(499,7)</v>
      </c>
      <c r="N501" s="17">
        <f>COUNTIFS(Sheet1!$C:$C,Feuil1!N$1,Sheet1!$D:$D,Feuil1!$C501)</f>
        <v>0</v>
      </c>
      <c r="O501" s="6">
        <f t="shared" si="86"/>
        <v>797</v>
      </c>
      <c r="P501" s="18" t="str">
        <f t="shared" si="81"/>
        <v>(499,797)</v>
      </c>
    </row>
    <row r="502" spans="1:16" hidden="1" x14ac:dyDescent="0.2">
      <c r="A502" s="4">
        <f t="shared" si="87"/>
        <v>500</v>
      </c>
      <c r="B502" s="4"/>
      <c r="C502" s="7">
        <f t="shared" si="88"/>
        <v>45730</v>
      </c>
      <c r="D502" s="11" t="str">
        <f t="shared" si="82"/>
        <v>{2025-03-14},</v>
      </c>
      <c r="E502" s="17">
        <f>COUNTIFS(Sheet1!$C:$C,Feuil1!E$1,Sheet1!$D:$D,Feuil1!$C502)</f>
        <v>0</v>
      </c>
      <c r="F502" s="6">
        <f t="shared" si="89"/>
        <v>160</v>
      </c>
      <c r="G502" s="18" t="str">
        <f t="shared" si="83"/>
        <v>(500,160)</v>
      </c>
      <c r="H502" s="17">
        <f>COUNTIFS(Sheet1!$C:$C,Feuil1!H$1,Sheet1!$D:$D,Feuil1!$C502)</f>
        <v>0</v>
      </c>
      <c r="I502" s="6">
        <f t="shared" si="84"/>
        <v>32</v>
      </c>
      <c r="J502" s="18" t="str">
        <f t="shared" si="79"/>
        <v>(500,32)</v>
      </c>
      <c r="K502" s="17">
        <f>COUNTIFS(Sheet1!$C:$C,Feuil1!K$1,Sheet1!$D:$D,Feuil1!$C502)</f>
        <v>0</v>
      </c>
      <c r="L502" s="6">
        <f t="shared" si="85"/>
        <v>7</v>
      </c>
      <c r="M502" s="18" t="str">
        <f t="shared" si="80"/>
        <v>(500,7)</v>
      </c>
      <c r="N502" s="17">
        <f>COUNTIFS(Sheet1!$C:$C,Feuil1!N$1,Sheet1!$D:$D,Feuil1!$C502)</f>
        <v>0</v>
      </c>
      <c r="O502" s="6">
        <f t="shared" si="86"/>
        <v>797</v>
      </c>
      <c r="P502" s="18" t="str">
        <f t="shared" si="81"/>
        <v>(500,797)</v>
      </c>
    </row>
    <row r="503" spans="1:16" hidden="1" x14ac:dyDescent="0.2">
      <c r="A503" s="4">
        <f t="shared" si="87"/>
        <v>501</v>
      </c>
      <c r="B503" s="4"/>
      <c r="C503" s="7">
        <f t="shared" si="88"/>
        <v>45731</v>
      </c>
      <c r="D503" s="11" t="str">
        <f t="shared" si="82"/>
        <v>{2025-03-15},</v>
      </c>
      <c r="E503" s="17">
        <f>COUNTIFS(Sheet1!$C:$C,Feuil1!E$1,Sheet1!$D:$D,Feuil1!$C503)</f>
        <v>0</v>
      </c>
      <c r="F503" s="6">
        <f t="shared" si="89"/>
        <v>160</v>
      </c>
      <c r="G503" s="18" t="str">
        <f t="shared" si="83"/>
        <v>(501,160)</v>
      </c>
      <c r="H503" s="17">
        <f>COUNTIFS(Sheet1!$C:$C,Feuil1!H$1,Sheet1!$D:$D,Feuil1!$C503)</f>
        <v>0</v>
      </c>
      <c r="I503" s="6">
        <f t="shared" si="84"/>
        <v>32</v>
      </c>
      <c r="J503" s="18" t="str">
        <f t="shared" si="79"/>
        <v>(501,32)</v>
      </c>
      <c r="K503" s="17">
        <f>COUNTIFS(Sheet1!$C:$C,Feuil1!K$1,Sheet1!$D:$D,Feuil1!$C503)</f>
        <v>0</v>
      </c>
      <c r="L503" s="6">
        <f t="shared" si="85"/>
        <v>7</v>
      </c>
      <c r="M503" s="18" t="str">
        <f t="shared" si="80"/>
        <v>(501,7)</v>
      </c>
      <c r="N503" s="17">
        <f>COUNTIFS(Sheet1!$C:$C,Feuil1!N$1,Sheet1!$D:$D,Feuil1!$C503)</f>
        <v>0</v>
      </c>
      <c r="O503" s="6">
        <f t="shared" si="86"/>
        <v>797</v>
      </c>
      <c r="P503" s="18" t="str">
        <f t="shared" si="81"/>
        <v>(501,797)</v>
      </c>
    </row>
    <row r="504" spans="1:16" hidden="1" x14ac:dyDescent="0.2">
      <c r="A504" s="4">
        <f t="shared" si="87"/>
        <v>502</v>
      </c>
      <c r="B504" s="4"/>
      <c r="C504" s="7">
        <f t="shared" si="88"/>
        <v>45732</v>
      </c>
      <c r="D504" s="11" t="str">
        <f t="shared" si="82"/>
        <v>{2025-03-16},</v>
      </c>
      <c r="E504" s="17">
        <f>COUNTIFS(Sheet1!$C:$C,Feuil1!E$1,Sheet1!$D:$D,Feuil1!$C504)</f>
        <v>1</v>
      </c>
      <c r="F504" s="6">
        <f t="shared" si="89"/>
        <v>161</v>
      </c>
      <c r="G504" s="18" t="str">
        <f t="shared" si="83"/>
        <v>(502,161)</v>
      </c>
      <c r="H504" s="17">
        <f>COUNTIFS(Sheet1!$C:$C,Feuil1!H$1,Sheet1!$D:$D,Feuil1!$C504)</f>
        <v>0</v>
      </c>
      <c r="I504" s="6">
        <f t="shared" si="84"/>
        <v>32</v>
      </c>
      <c r="J504" s="18" t="str">
        <f t="shared" si="79"/>
        <v>(502,32)</v>
      </c>
      <c r="K504" s="17">
        <f>COUNTIFS(Sheet1!$C:$C,Feuil1!K$1,Sheet1!$D:$D,Feuil1!$C504)</f>
        <v>0</v>
      </c>
      <c r="L504" s="6">
        <f t="shared" si="85"/>
        <v>7</v>
      </c>
      <c r="M504" s="18" t="str">
        <f t="shared" si="80"/>
        <v>(502,7)</v>
      </c>
      <c r="N504" s="17">
        <f>COUNTIFS(Sheet1!$C:$C,Feuil1!N$1,Sheet1!$D:$D,Feuil1!$C504)</f>
        <v>0</v>
      </c>
      <c r="O504" s="6">
        <f t="shared" si="86"/>
        <v>797</v>
      </c>
      <c r="P504" s="18" t="str">
        <f t="shared" si="81"/>
        <v>(502,797)</v>
      </c>
    </row>
    <row r="505" spans="1:16" hidden="1" x14ac:dyDescent="0.2">
      <c r="A505" s="4">
        <f t="shared" si="87"/>
        <v>503</v>
      </c>
      <c r="B505" s="4"/>
      <c r="C505" s="7">
        <f t="shared" si="88"/>
        <v>45733</v>
      </c>
      <c r="D505" s="11" t="str">
        <f t="shared" si="82"/>
        <v>{2025-03-17},</v>
      </c>
      <c r="E505" s="17">
        <f>COUNTIFS(Sheet1!$C:$C,Feuil1!E$1,Sheet1!$D:$D,Feuil1!$C505)</f>
        <v>0</v>
      </c>
      <c r="F505" s="6">
        <f t="shared" si="89"/>
        <v>161</v>
      </c>
      <c r="G505" s="18" t="str">
        <f t="shared" si="83"/>
        <v>(503,161)</v>
      </c>
      <c r="H505" s="17">
        <f>COUNTIFS(Sheet1!$C:$C,Feuil1!H$1,Sheet1!$D:$D,Feuil1!$C505)</f>
        <v>0</v>
      </c>
      <c r="I505" s="6">
        <f t="shared" si="84"/>
        <v>32</v>
      </c>
      <c r="J505" s="18" t="str">
        <f t="shared" si="79"/>
        <v>(503,32)</v>
      </c>
      <c r="K505" s="17">
        <f>COUNTIFS(Sheet1!$C:$C,Feuil1!K$1,Sheet1!$D:$D,Feuil1!$C505)</f>
        <v>0</v>
      </c>
      <c r="L505" s="6">
        <f t="shared" si="85"/>
        <v>7</v>
      </c>
      <c r="M505" s="18" t="str">
        <f t="shared" si="80"/>
        <v>(503,7)</v>
      </c>
      <c r="N505" s="17">
        <f>COUNTIFS(Sheet1!$C:$C,Feuil1!N$1,Sheet1!$D:$D,Feuil1!$C505)</f>
        <v>0</v>
      </c>
      <c r="O505" s="6">
        <f t="shared" si="86"/>
        <v>797</v>
      </c>
      <c r="P505" s="18" t="str">
        <f t="shared" si="81"/>
        <v>(503,797)</v>
      </c>
    </row>
    <row r="506" spans="1:16" hidden="1" x14ac:dyDescent="0.2">
      <c r="A506" s="4">
        <f t="shared" si="87"/>
        <v>504</v>
      </c>
      <c r="B506" s="4"/>
      <c r="C506" s="7">
        <f t="shared" si="88"/>
        <v>45734</v>
      </c>
      <c r="D506" s="11" t="str">
        <f t="shared" si="82"/>
        <v>{2025-03-18},</v>
      </c>
      <c r="E506" s="17">
        <f>COUNTIFS(Sheet1!$C:$C,Feuil1!E$1,Sheet1!$D:$D,Feuil1!$C506)</f>
        <v>0</v>
      </c>
      <c r="F506" s="6">
        <f t="shared" si="89"/>
        <v>161</v>
      </c>
      <c r="G506" s="18" t="str">
        <f t="shared" si="83"/>
        <v>(504,161)</v>
      </c>
      <c r="H506" s="17">
        <f>COUNTIFS(Sheet1!$C:$C,Feuil1!H$1,Sheet1!$D:$D,Feuil1!$C506)</f>
        <v>0</v>
      </c>
      <c r="I506" s="6">
        <f t="shared" si="84"/>
        <v>32</v>
      </c>
      <c r="J506" s="18" t="str">
        <f t="shared" si="79"/>
        <v>(504,32)</v>
      </c>
      <c r="K506" s="17">
        <f>COUNTIFS(Sheet1!$C:$C,Feuil1!K$1,Sheet1!$D:$D,Feuil1!$C506)</f>
        <v>0</v>
      </c>
      <c r="L506" s="6">
        <f t="shared" si="85"/>
        <v>7</v>
      </c>
      <c r="M506" s="18" t="str">
        <f t="shared" si="80"/>
        <v>(504,7)</v>
      </c>
      <c r="N506" s="17">
        <f>COUNTIFS(Sheet1!$C:$C,Feuil1!N$1,Sheet1!$D:$D,Feuil1!$C506)</f>
        <v>0</v>
      </c>
      <c r="O506" s="6">
        <f t="shared" si="86"/>
        <v>797</v>
      </c>
      <c r="P506" s="18" t="str">
        <f t="shared" si="81"/>
        <v>(504,797)</v>
      </c>
    </row>
    <row r="507" spans="1:16" hidden="1" x14ac:dyDescent="0.2">
      <c r="A507" s="4">
        <f t="shared" si="87"/>
        <v>505</v>
      </c>
      <c r="B507" s="4"/>
      <c r="C507" s="7">
        <f t="shared" si="88"/>
        <v>45735</v>
      </c>
      <c r="D507" s="11" t="str">
        <f t="shared" si="82"/>
        <v>{2025-03-19},</v>
      </c>
      <c r="E507" s="17">
        <f>COUNTIFS(Sheet1!$C:$C,Feuil1!E$1,Sheet1!$D:$D,Feuil1!$C507)</f>
        <v>0</v>
      </c>
      <c r="F507" s="6">
        <f t="shared" si="89"/>
        <v>161</v>
      </c>
      <c r="G507" s="18" t="str">
        <f t="shared" si="83"/>
        <v>(505,161)</v>
      </c>
      <c r="H507" s="17">
        <f>COUNTIFS(Sheet1!$C:$C,Feuil1!H$1,Sheet1!$D:$D,Feuil1!$C507)</f>
        <v>0</v>
      </c>
      <c r="I507" s="6">
        <f t="shared" si="84"/>
        <v>32</v>
      </c>
      <c r="J507" s="18" t="str">
        <f t="shared" si="79"/>
        <v>(505,32)</v>
      </c>
      <c r="K507" s="17">
        <f>COUNTIFS(Sheet1!$C:$C,Feuil1!K$1,Sheet1!$D:$D,Feuil1!$C507)</f>
        <v>0</v>
      </c>
      <c r="L507" s="6">
        <f t="shared" si="85"/>
        <v>7</v>
      </c>
      <c r="M507" s="18" t="str">
        <f t="shared" si="80"/>
        <v>(505,7)</v>
      </c>
      <c r="N507" s="17">
        <f>COUNTIFS(Sheet1!$C:$C,Feuil1!N$1,Sheet1!$D:$D,Feuil1!$C507)</f>
        <v>0</v>
      </c>
      <c r="O507" s="6">
        <f t="shared" si="86"/>
        <v>797</v>
      </c>
      <c r="P507" s="18" t="str">
        <f t="shared" si="81"/>
        <v>(505,797)</v>
      </c>
    </row>
    <row r="508" spans="1:16" hidden="1" x14ac:dyDescent="0.2">
      <c r="A508" s="4">
        <f t="shared" si="87"/>
        <v>506</v>
      </c>
      <c r="B508" s="4"/>
      <c r="C508" s="7">
        <f t="shared" si="88"/>
        <v>45736</v>
      </c>
      <c r="D508" s="11" t="str">
        <f t="shared" si="82"/>
        <v>{2025-03-20},</v>
      </c>
      <c r="E508" s="17">
        <f>COUNTIFS(Sheet1!$C:$C,Feuil1!E$1,Sheet1!$D:$D,Feuil1!$C508)</f>
        <v>0</v>
      </c>
      <c r="F508" s="6">
        <f t="shared" si="89"/>
        <v>161</v>
      </c>
      <c r="G508" s="18" t="str">
        <f t="shared" si="83"/>
        <v>(506,161)</v>
      </c>
      <c r="H508" s="17">
        <f>COUNTIFS(Sheet1!$C:$C,Feuil1!H$1,Sheet1!$D:$D,Feuil1!$C508)</f>
        <v>0</v>
      </c>
      <c r="I508" s="6">
        <f t="shared" si="84"/>
        <v>32</v>
      </c>
      <c r="J508" s="18" t="str">
        <f t="shared" si="79"/>
        <v>(506,32)</v>
      </c>
      <c r="K508" s="17">
        <f>COUNTIFS(Sheet1!$C:$C,Feuil1!K$1,Sheet1!$D:$D,Feuil1!$C508)</f>
        <v>0</v>
      </c>
      <c r="L508" s="6">
        <f t="shared" si="85"/>
        <v>7</v>
      </c>
      <c r="M508" s="18" t="str">
        <f t="shared" si="80"/>
        <v>(506,7)</v>
      </c>
      <c r="N508" s="17">
        <f>COUNTIFS(Sheet1!$C:$C,Feuil1!N$1,Sheet1!$D:$D,Feuil1!$C508)</f>
        <v>0</v>
      </c>
      <c r="O508" s="6">
        <f t="shared" si="86"/>
        <v>797</v>
      </c>
      <c r="P508" s="18" t="str">
        <f t="shared" si="81"/>
        <v>(506,797)</v>
      </c>
    </row>
    <row r="509" spans="1:16" hidden="1" x14ac:dyDescent="0.2">
      <c r="A509" s="4">
        <f t="shared" si="87"/>
        <v>507</v>
      </c>
      <c r="B509" s="4"/>
      <c r="C509" s="7">
        <f t="shared" si="88"/>
        <v>45737</v>
      </c>
      <c r="D509" s="11" t="str">
        <f t="shared" si="82"/>
        <v>{2025-03-21},</v>
      </c>
      <c r="E509" s="17">
        <f>COUNTIFS(Sheet1!$C:$C,Feuil1!E$1,Sheet1!$D:$D,Feuil1!$C509)</f>
        <v>0</v>
      </c>
      <c r="F509" s="6">
        <f t="shared" si="89"/>
        <v>161</v>
      </c>
      <c r="G509" s="18" t="str">
        <f t="shared" si="83"/>
        <v>(507,161)</v>
      </c>
      <c r="H509" s="17">
        <f>COUNTIFS(Sheet1!$C:$C,Feuil1!H$1,Sheet1!$D:$D,Feuil1!$C509)</f>
        <v>0</v>
      </c>
      <c r="I509" s="6">
        <f t="shared" si="84"/>
        <v>32</v>
      </c>
      <c r="J509" s="18" t="str">
        <f t="shared" si="79"/>
        <v>(507,32)</v>
      </c>
      <c r="K509" s="17">
        <f>COUNTIFS(Sheet1!$C:$C,Feuil1!K$1,Sheet1!$D:$D,Feuil1!$C509)</f>
        <v>0</v>
      </c>
      <c r="L509" s="6">
        <f t="shared" si="85"/>
        <v>7</v>
      </c>
      <c r="M509" s="18" t="str">
        <f t="shared" si="80"/>
        <v>(507,7)</v>
      </c>
      <c r="N509" s="17">
        <f>COUNTIFS(Sheet1!$C:$C,Feuil1!N$1,Sheet1!$D:$D,Feuil1!$C509)</f>
        <v>0</v>
      </c>
      <c r="O509" s="6">
        <f t="shared" si="86"/>
        <v>797</v>
      </c>
      <c r="P509" s="18" t="str">
        <f t="shared" si="81"/>
        <v>(507,797)</v>
      </c>
    </row>
    <row r="510" spans="1:16" hidden="1" x14ac:dyDescent="0.2">
      <c r="A510" s="4">
        <f t="shared" si="87"/>
        <v>508</v>
      </c>
      <c r="B510" s="4"/>
      <c r="C510" s="7">
        <f t="shared" si="88"/>
        <v>45738</v>
      </c>
      <c r="D510" s="11" t="str">
        <f t="shared" si="82"/>
        <v>{2025-03-22},</v>
      </c>
      <c r="E510" s="17">
        <f>COUNTIFS(Sheet1!$C:$C,Feuil1!E$1,Sheet1!$D:$D,Feuil1!$C510)</f>
        <v>1</v>
      </c>
      <c r="F510" s="6">
        <f t="shared" si="89"/>
        <v>162</v>
      </c>
      <c r="G510" s="18" t="str">
        <f t="shared" si="83"/>
        <v>(508,162)</v>
      </c>
      <c r="H510" s="17">
        <f>COUNTIFS(Sheet1!$C:$C,Feuil1!H$1,Sheet1!$D:$D,Feuil1!$C510)</f>
        <v>0</v>
      </c>
      <c r="I510" s="6">
        <f t="shared" si="84"/>
        <v>32</v>
      </c>
      <c r="J510" s="18" t="str">
        <f t="shared" si="79"/>
        <v>(508,32)</v>
      </c>
      <c r="K510" s="17">
        <f>COUNTIFS(Sheet1!$C:$C,Feuil1!K$1,Sheet1!$D:$D,Feuil1!$C510)</f>
        <v>0</v>
      </c>
      <c r="L510" s="6">
        <f t="shared" si="85"/>
        <v>7</v>
      </c>
      <c r="M510" s="18" t="str">
        <f t="shared" si="80"/>
        <v>(508,7)</v>
      </c>
      <c r="N510" s="17">
        <f>COUNTIFS(Sheet1!$C:$C,Feuil1!N$1,Sheet1!$D:$D,Feuil1!$C510)</f>
        <v>0</v>
      </c>
      <c r="O510" s="6">
        <f t="shared" si="86"/>
        <v>797</v>
      </c>
      <c r="P510" s="18" t="str">
        <f t="shared" si="81"/>
        <v>(508,797)</v>
      </c>
    </row>
    <row r="511" spans="1:16" hidden="1" x14ac:dyDescent="0.2">
      <c r="A511" s="4">
        <f t="shared" si="87"/>
        <v>509</v>
      </c>
      <c r="B511" s="4"/>
      <c r="C511" s="7">
        <f t="shared" si="88"/>
        <v>45739</v>
      </c>
      <c r="D511" s="11" t="str">
        <f t="shared" si="82"/>
        <v>{2025-03-23},</v>
      </c>
      <c r="E511" s="17">
        <f>COUNTIFS(Sheet1!$C:$C,Feuil1!E$1,Sheet1!$D:$D,Feuil1!$C511)</f>
        <v>0</v>
      </c>
      <c r="F511" s="6">
        <f t="shared" si="89"/>
        <v>162</v>
      </c>
      <c r="G511" s="18" t="str">
        <f t="shared" si="83"/>
        <v>(509,162)</v>
      </c>
      <c r="H511" s="17">
        <f>COUNTIFS(Sheet1!$C:$C,Feuil1!H$1,Sheet1!$D:$D,Feuil1!$C511)</f>
        <v>0</v>
      </c>
      <c r="I511" s="6">
        <f t="shared" si="84"/>
        <v>32</v>
      </c>
      <c r="J511" s="18" t="str">
        <f t="shared" si="79"/>
        <v>(509,32)</v>
      </c>
      <c r="K511" s="17">
        <f>COUNTIFS(Sheet1!$C:$C,Feuil1!K$1,Sheet1!$D:$D,Feuil1!$C511)</f>
        <v>0</v>
      </c>
      <c r="L511" s="6">
        <f t="shared" si="85"/>
        <v>7</v>
      </c>
      <c r="M511" s="18" t="str">
        <f t="shared" si="80"/>
        <v>(509,7)</v>
      </c>
      <c r="N511" s="17">
        <f>COUNTIFS(Sheet1!$C:$C,Feuil1!N$1,Sheet1!$D:$D,Feuil1!$C511)</f>
        <v>0</v>
      </c>
      <c r="O511" s="6">
        <f t="shared" si="86"/>
        <v>797</v>
      </c>
      <c r="P511" s="18" t="str">
        <f t="shared" si="81"/>
        <v>(509,797)</v>
      </c>
    </row>
    <row r="512" spans="1:16" hidden="1" x14ac:dyDescent="0.2">
      <c r="A512" s="4">
        <f t="shared" si="87"/>
        <v>510</v>
      </c>
      <c r="B512" s="4"/>
      <c r="C512" s="7">
        <f t="shared" si="88"/>
        <v>45740</v>
      </c>
      <c r="D512" s="11" t="str">
        <f t="shared" si="82"/>
        <v>{2025-03-24},</v>
      </c>
      <c r="E512" s="17">
        <f>COUNTIFS(Sheet1!$C:$C,Feuil1!E$1,Sheet1!$D:$D,Feuil1!$C512)</f>
        <v>0</v>
      </c>
      <c r="F512" s="6">
        <f t="shared" si="89"/>
        <v>162</v>
      </c>
      <c r="G512" s="18" t="str">
        <f t="shared" si="83"/>
        <v>(510,162)</v>
      </c>
      <c r="H512" s="17">
        <f>COUNTIFS(Sheet1!$C:$C,Feuil1!H$1,Sheet1!$D:$D,Feuil1!$C512)</f>
        <v>0</v>
      </c>
      <c r="I512" s="6">
        <f t="shared" si="84"/>
        <v>32</v>
      </c>
      <c r="J512" s="18" t="str">
        <f t="shared" si="79"/>
        <v>(510,32)</v>
      </c>
      <c r="K512" s="17">
        <f>COUNTIFS(Sheet1!$C:$C,Feuil1!K$1,Sheet1!$D:$D,Feuil1!$C512)</f>
        <v>0</v>
      </c>
      <c r="L512" s="6">
        <f t="shared" si="85"/>
        <v>7</v>
      </c>
      <c r="M512" s="18" t="str">
        <f t="shared" si="80"/>
        <v>(510,7)</v>
      </c>
      <c r="N512" s="17">
        <f>COUNTIFS(Sheet1!$C:$C,Feuil1!N$1,Sheet1!$D:$D,Feuil1!$C512)</f>
        <v>0</v>
      </c>
      <c r="O512" s="6">
        <f t="shared" si="86"/>
        <v>797</v>
      </c>
      <c r="P512" s="18" t="str">
        <f t="shared" si="81"/>
        <v>(510,797)</v>
      </c>
    </row>
    <row r="513" spans="1:16" hidden="1" x14ac:dyDescent="0.2">
      <c r="A513" s="4">
        <f t="shared" si="87"/>
        <v>511</v>
      </c>
      <c r="B513" s="4"/>
      <c r="C513" s="7">
        <f t="shared" si="88"/>
        <v>45741</v>
      </c>
      <c r="D513" s="11" t="str">
        <f t="shared" si="82"/>
        <v>{2025-03-25},</v>
      </c>
      <c r="E513" s="17">
        <f>COUNTIFS(Sheet1!$C:$C,Feuil1!E$1,Sheet1!$D:$D,Feuil1!$C513)</f>
        <v>0</v>
      </c>
      <c r="F513" s="6">
        <f t="shared" si="89"/>
        <v>162</v>
      </c>
      <c r="G513" s="18" t="str">
        <f t="shared" si="83"/>
        <v>(511,162)</v>
      </c>
      <c r="H513" s="17">
        <f>COUNTIFS(Sheet1!$C:$C,Feuil1!H$1,Sheet1!$D:$D,Feuil1!$C513)</f>
        <v>0</v>
      </c>
      <c r="I513" s="6">
        <f t="shared" si="84"/>
        <v>32</v>
      </c>
      <c r="J513" s="18" t="str">
        <f t="shared" si="79"/>
        <v>(511,32)</v>
      </c>
      <c r="K513" s="17">
        <f>COUNTIFS(Sheet1!$C:$C,Feuil1!K$1,Sheet1!$D:$D,Feuil1!$C513)</f>
        <v>0</v>
      </c>
      <c r="L513" s="6">
        <f t="shared" si="85"/>
        <v>7</v>
      </c>
      <c r="M513" s="18" t="str">
        <f t="shared" si="80"/>
        <v>(511,7)</v>
      </c>
      <c r="N513" s="17">
        <f>COUNTIFS(Sheet1!$C:$C,Feuil1!N$1,Sheet1!$D:$D,Feuil1!$C513)</f>
        <v>0</v>
      </c>
      <c r="O513" s="6">
        <f t="shared" si="86"/>
        <v>797</v>
      </c>
      <c r="P513" s="18" t="str">
        <f t="shared" si="81"/>
        <v>(511,797)</v>
      </c>
    </row>
    <row r="514" spans="1:16" hidden="1" x14ac:dyDescent="0.2">
      <c r="A514" s="4">
        <f t="shared" si="87"/>
        <v>512</v>
      </c>
      <c r="B514" s="4"/>
      <c r="C514" s="7">
        <f t="shared" si="88"/>
        <v>45742</v>
      </c>
      <c r="D514" s="11" t="str">
        <f t="shared" si="82"/>
        <v>{2025-03-26},</v>
      </c>
      <c r="E514" s="17">
        <f>COUNTIFS(Sheet1!$C:$C,Feuil1!E$1,Sheet1!$D:$D,Feuil1!$C514)</f>
        <v>0</v>
      </c>
      <c r="F514" s="6">
        <f t="shared" si="89"/>
        <v>162</v>
      </c>
      <c r="G514" s="18" t="str">
        <f t="shared" si="83"/>
        <v>(512,162)</v>
      </c>
      <c r="H514" s="17">
        <f>COUNTIFS(Sheet1!$C:$C,Feuil1!H$1,Sheet1!$D:$D,Feuil1!$C514)</f>
        <v>0</v>
      </c>
      <c r="I514" s="6">
        <f t="shared" si="84"/>
        <v>32</v>
      </c>
      <c r="J514" s="18" t="str">
        <f t="shared" si="79"/>
        <v>(512,32)</v>
      </c>
      <c r="K514" s="17">
        <f>COUNTIFS(Sheet1!$C:$C,Feuil1!K$1,Sheet1!$D:$D,Feuil1!$C514)</f>
        <v>0</v>
      </c>
      <c r="L514" s="6">
        <f t="shared" si="85"/>
        <v>7</v>
      </c>
      <c r="M514" s="18" t="str">
        <f t="shared" si="80"/>
        <v>(512,7)</v>
      </c>
      <c r="N514" s="17">
        <f>COUNTIFS(Sheet1!$C:$C,Feuil1!N$1,Sheet1!$D:$D,Feuil1!$C514)</f>
        <v>0</v>
      </c>
      <c r="O514" s="6">
        <f t="shared" si="86"/>
        <v>797</v>
      </c>
      <c r="P514" s="18" t="str">
        <f t="shared" si="81"/>
        <v>(512,797)</v>
      </c>
    </row>
    <row r="515" spans="1:16" hidden="1" x14ac:dyDescent="0.2">
      <c r="A515" s="4">
        <f t="shared" si="87"/>
        <v>513</v>
      </c>
      <c r="B515" s="4"/>
      <c r="C515" s="7">
        <f t="shared" si="88"/>
        <v>45743</v>
      </c>
      <c r="D515" s="11" t="str">
        <f t="shared" si="82"/>
        <v>{2025-03-27},</v>
      </c>
      <c r="E515" s="17">
        <f>COUNTIFS(Sheet1!$C:$C,Feuil1!E$1,Sheet1!$D:$D,Feuil1!$C515)</f>
        <v>0</v>
      </c>
      <c r="F515" s="6">
        <f t="shared" si="89"/>
        <v>162</v>
      </c>
      <c r="G515" s="18" t="str">
        <f t="shared" si="83"/>
        <v>(513,162)</v>
      </c>
      <c r="H515" s="17">
        <f>COUNTIFS(Sheet1!$C:$C,Feuil1!H$1,Sheet1!$D:$D,Feuil1!$C515)</f>
        <v>0</v>
      </c>
      <c r="I515" s="6">
        <f t="shared" si="84"/>
        <v>32</v>
      </c>
      <c r="J515" s="18" t="str">
        <f t="shared" ref="J515:J550" si="90">_xlfn.CONCAT("(",$A515,",",I515,")")</f>
        <v>(513,32)</v>
      </c>
      <c r="K515" s="17">
        <f>COUNTIFS(Sheet1!$C:$C,Feuil1!K$1,Sheet1!$D:$D,Feuil1!$C515)</f>
        <v>0</v>
      </c>
      <c r="L515" s="6">
        <f t="shared" si="85"/>
        <v>7</v>
      </c>
      <c r="M515" s="18" t="str">
        <f t="shared" ref="M515:M550" si="91">_xlfn.CONCAT("(",$A515,",",L515,")")</f>
        <v>(513,7)</v>
      </c>
      <c r="N515" s="17">
        <f>COUNTIFS(Sheet1!$C:$C,Feuil1!N$1,Sheet1!$D:$D,Feuil1!$C515)</f>
        <v>0</v>
      </c>
      <c r="O515" s="6">
        <f t="shared" si="86"/>
        <v>797</v>
      </c>
      <c r="P515" s="18" t="str">
        <f t="shared" ref="P515:P550" si="92">_xlfn.CONCAT("(",$A515,",",O515,")")</f>
        <v>(513,797)</v>
      </c>
    </row>
    <row r="516" spans="1:16" hidden="1" x14ac:dyDescent="0.2">
      <c r="A516" s="4">
        <f t="shared" si="87"/>
        <v>514</v>
      </c>
      <c r="B516" s="4"/>
      <c r="C516" s="7">
        <f t="shared" si="88"/>
        <v>45744</v>
      </c>
      <c r="D516" s="11" t="str">
        <f t="shared" ref="D516:D550" si="93">_xlfn.CONCAT("{",TEXT(C516,"aaaa-mm-dd"),"},")</f>
        <v>{2025-03-28},</v>
      </c>
      <c r="E516" s="17">
        <f>COUNTIFS(Sheet1!$C:$C,Feuil1!E$1,Sheet1!$D:$D,Feuil1!$C516)</f>
        <v>0</v>
      </c>
      <c r="F516" s="6">
        <f t="shared" si="89"/>
        <v>162</v>
      </c>
      <c r="G516" s="18" t="str">
        <f t="shared" ref="G516:G550" si="94">_xlfn.CONCAT("(",$A516,",",F516,")")</f>
        <v>(514,162)</v>
      </c>
      <c r="H516" s="17">
        <f>COUNTIFS(Sheet1!$C:$C,Feuil1!H$1,Sheet1!$D:$D,Feuil1!$C516)</f>
        <v>0</v>
      </c>
      <c r="I516" s="6">
        <f t="shared" ref="I516:I550" si="95">I515+H516</f>
        <v>32</v>
      </c>
      <c r="J516" s="18" t="str">
        <f t="shared" si="90"/>
        <v>(514,32)</v>
      </c>
      <c r="K516" s="17">
        <f>COUNTIFS(Sheet1!$C:$C,Feuil1!K$1,Sheet1!$D:$D,Feuil1!$C516)</f>
        <v>0</v>
      </c>
      <c r="L516" s="6">
        <f t="shared" ref="L516:L550" si="96">L515+K516</f>
        <v>7</v>
      </c>
      <c r="M516" s="18" t="str">
        <f t="shared" si="91"/>
        <v>(514,7)</v>
      </c>
      <c r="N516" s="17">
        <f>COUNTIFS(Sheet1!$C:$C,Feuil1!N$1,Sheet1!$D:$D,Feuil1!$C516)</f>
        <v>0</v>
      </c>
      <c r="O516" s="6">
        <f t="shared" ref="O516:O550" si="97">O515+N516</f>
        <v>797</v>
      </c>
      <c r="P516" s="18" t="str">
        <f t="shared" si="92"/>
        <v>(514,797)</v>
      </c>
    </row>
    <row r="517" spans="1:16" hidden="1" x14ac:dyDescent="0.2">
      <c r="A517" s="4">
        <f t="shared" ref="A517:A550" si="98">A516+1</f>
        <v>515</v>
      </c>
      <c r="B517" s="4"/>
      <c r="C517" s="7">
        <f t="shared" ref="C517:C550" si="99">C516+1</f>
        <v>45745</v>
      </c>
      <c r="D517" s="11" t="str">
        <f t="shared" si="93"/>
        <v>{2025-03-29},</v>
      </c>
      <c r="E517" s="17">
        <f>COUNTIFS(Sheet1!$C:$C,Feuil1!E$1,Sheet1!$D:$D,Feuil1!$C517)</f>
        <v>0</v>
      </c>
      <c r="F517" s="6">
        <f t="shared" ref="F517:F550" si="100">F516+E517</f>
        <v>162</v>
      </c>
      <c r="G517" s="18" t="str">
        <f t="shared" si="94"/>
        <v>(515,162)</v>
      </c>
      <c r="H517" s="17">
        <f>COUNTIFS(Sheet1!$C:$C,Feuil1!H$1,Sheet1!$D:$D,Feuil1!$C517)</f>
        <v>0</v>
      </c>
      <c r="I517" s="6">
        <f t="shared" si="95"/>
        <v>32</v>
      </c>
      <c r="J517" s="18" t="str">
        <f t="shared" si="90"/>
        <v>(515,32)</v>
      </c>
      <c r="K517" s="17">
        <f>COUNTIFS(Sheet1!$C:$C,Feuil1!K$1,Sheet1!$D:$D,Feuil1!$C517)</f>
        <v>0</v>
      </c>
      <c r="L517" s="6">
        <f t="shared" si="96"/>
        <v>7</v>
      </c>
      <c r="M517" s="18" t="str">
        <f t="shared" si="91"/>
        <v>(515,7)</v>
      </c>
      <c r="N517" s="17">
        <f>COUNTIFS(Sheet1!$C:$C,Feuil1!N$1,Sheet1!$D:$D,Feuil1!$C517)</f>
        <v>0</v>
      </c>
      <c r="O517" s="6">
        <f t="shared" si="97"/>
        <v>797</v>
      </c>
      <c r="P517" s="18" t="str">
        <f t="shared" si="92"/>
        <v>(515,797)</v>
      </c>
    </row>
    <row r="518" spans="1:16" hidden="1" x14ac:dyDescent="0.2">
      <c r="A518" s="4">
        <f t="shared" si="98"/>
        <v>516</v>
      </c>
      <c r="B518" s="4"/>
      <c r="C518" s="7">
        <f t="shared" si="99"/>
        <v>45746</v>
      </c>
      <c r="D518" s="11" t="str">
        <f t="shared" si="93"/>
        <v>{2025-03-30},</v>
      </c>
      <c r="E518" s="17">
        <f>COUNTIFS(Sheet1!$C:$C,Feuil1!E$1,Sheet1!$D:$D,Feuil1!$C518)</f>
        <v>1</v>
      </c>
      <c r="F518" s="6">
        <f t="shared" si="100"/>
        <v>163</v>
      </c>
      <c r="G518" s="18" t="str">
        <f t="shared" si="94"/>
        <v>(516,163)</v>
      </c>
      <c r="H518" s="17">
        <f>COUNTIFS(Sheet1!$C:$C,Feuil1!H$1,Sheet1!$D:$D,Feuil1!$C518)</f>
        <v>0</v>
      </c>
      <c r="I518" s="6">
        <f t="shared" si="95"/>
        <v>32</v>
      </c>
      <c r="J518" s="18" t="str">
        <f t="shared" si="90"/>
        <v>(516,32)</v>
      </c>
      <c r="K518" s="17">
        <f>COUNTIFS(Sheet1!$C:$C,Feuil1!K$1,Sheet1!$D:$D,Feuil1!$C518)</f>
        <v>0</v>
      </c>
      <c r="L518" s="6">
        <f t="shared" si="96"/>
        <v>7</v>
      </c>
      <c r="M518" s="18" t="str">
        <f t="shared" si="91"/>
        <v>(516,7)</v>
      </c>
      <c r="N518" s="17">
        <f>COUNTIFS(Sheet1!$C:$C,Feuil1!N$1,Sheet1!$D:$D,Feuil1!$C518)</f>
        <v>0</v>
      </c>
      <c r="O518" s="6">
        <f t="shared" si="97"/>
        <v>797</v>
      </c>
      <c r="P518" s="18" t="str">
        <f t="shared" si="92"/>
        <v>(516,797)</v>
      </c>
    </row>
    <row r="519" spans="1:16" hidden="1" x14ac:dyDescent="0.2">
      <c r="A519" s="4">
        <f t="shared" si="98"/>
        <v>517</v>
      </c>
      <c r="B519" s="4"/>
      <c r="C519" s="7">
        <f t="shared" si="99"/>
        <v>45747</v>
      </c>
      <c r="D519" s="11" t="str">
        <f t="shared" si="93"/>
        <v>{2025-03-31},</v>
      </c>
      <c r="E519" s="17">
        <f>COUNTIFS(Sheet1!$C:$C,Feuil1!E$1,Sheet1!$D:$D,Feuil1!$C519)</f>
        <v>0</v>
      </c>
      <c r="F519" s="6">
        <f t="shared" si="100"/>
        <v>163</v>
      </c>
      <c r="G519" s="18" t="str">
        <f t="shared" si="94"/>
        <v>(517,163)</v>
      </c>
      <c r="H519" s="17">
        <f>COUNTIFS(Sheet1!$C:$C,Feuil1!H$1,Sheet1!$D:$D,Feuil1!$C519)</f>
        <v>0</v>
      </c>
      <c r="I519" s="6">
        <f t="shared" si="95"/>
        <v>32</v>
      </c>
      <c r="J519" s="18" t="str">
        <f t="shared" si="90"/>
        <v>(517,32)</v>
      </c>
      <c r="K519" s="17">
        <f>COUNTIFS(Sheet1!$C:$C,Feuil1!K$1,Sheet1!$D:$D,Feuil1!$C519)</f>
        <v>0</v>
      </c>
      <c r="L519" s="6">
        <f t="shared" si="96"/>
        <v>7</v>
      </c>
      <c r="M519" s="18" t="str">
        <f t="shared" si="91"/>
        <v>(517,7)</v>
      </c>
      <c r="N519" s="17">
        <f>COUNTIFS(Sheet1!$C:$C,Feuil1!N$1,Sheet1!$D:$D,Feuil1!$C519)</f>
        <v>0</v>
      </c>
      <c r="O519" s="6">
        <f t="shared" si="97"/>
        <v>797</v>
      </c>
      <c r="P519" s="18" t="str">
        <f t="shared" si="92"/>
        <v>(517,797)</v>
      </c>
    </row>
    <row r="520" spans="1:16" hidden="1" x14ac:dyDescent="0.2">
      <c r="A520" s="4">
        <f t="shared" si="98"/>
        <v>518</v>
      </c>
      <c r="B520" s="4"/>
      <c r="C520" s="5">
        <f t="shared" si="99"/>
        <v>45748</v>
      </c>
      <c r="D520" s="11" t="str">
        <f t="shared" si="93"/>
        <v>{2025-04-01},</v>
      </c>
      <c r="E520" s="17">
        <f>COUNTIFS(Sheet1!$C:$C,Feuil1!E$1,Sheet1!$D:$D,Feuil1!$C520)</f>
        <v>0</v>
      </c>
      <c r="F520" s="6">
        <f t="shared" si="100"/>
        <v>163</v>
      </c>
      <c r="G520" s="18" t="str">
        <f t="shared" si="94"/>
        <v>(518,163)</v>
      </c>
      <c r="H520" s="17">
        <f>COUNTIFS(Sheet1!$C:$C,Feuil1!H$1,Sheet1!$D:$D,Feuil1!$C520)</f>
        <v>0</v>
      </c>
      <c r="I520" s="6">
        <f t="shared" si="95"/>
        <v>32</v>
      </c>
      <c r="J520" s="18" t="str">
        <f t="shared" si="90"/>
        <v>(518,32)</v>
      </c>
      <c r="K520" s="17">
        <f>COUNTIFS(Sheet1!$C:$C,Feuil1!K$1,Sheet1!$D:$D,Feuil1!$C520)</f>
        <v>0</v>
      </c>
      <c r="L520" s="6">
        <f t="shared" si="96"/>
        <v>7</v>
      </c>
      <c r="M520" s="18" t="str">
        <f t="shared" si="91"/>
        <v>(518,7)</v>
      </c>
      <c r="N520" s="17">
        <f>COUNTIFS(Sheet1!$C:$C,Feuil1!N$1,Sheet1!$D:$D,Feuil1!$C520)</f>
        <v>0</v>
      </c>
      <c r="O520" s="6">
        <f t="shared" si="97"/>
        <v>797</v>
      </c>
      <c r="P520" s="18" t="str">
        <f t="shared" si="92"/>
        <v>(518,797)</v>
      </c>
    </row>
    <row r="521" spans="1:16" hidden="1" x14ac:dyDescent="0.2">
      <c r="A521" s="4">
        <f t="shared" si="98"/>
        <v>519</v>
      </c>
      <c r="B521" s="4"/>
      <c r="C521" s="7">
        <f t="shared" si="99"/>
        <v>45749</v>
      </c>
      <c r="D521" s="11" t="str">
        <f t="shared" si="93"/>
        <v>{2025-04-02},</v>
      </c>
      <c r="E521" s="17">
        <f>COUNTIFS(Sheet1!$C:$C,Feuil1!E$1,Sheet1!$D:$D,Feuil1!$C521)</f>
        <v>0</v>
      </c>
      <c r="F521" s="6">
        <f t="shared" si="100"/>
        <v>163</v>
      </c>
      <c r="G521" s="18" t="str">
        <f t="shared" si="94"/>
        <v>(519,163)</v>
      </c>
      <c r="H521" s="17">
        <f>COUNTIFS(Sheet1!$C:$C,Feuil1!H$1,Sheet1!$D:$D,Feuil1!$C521)</f>
        <v>0</v>
      </c>
      <c r="I521" s="6">
        <f t="shared" si="95"/>
        <v>32</v>
      </c>
      <c r="J521" s="18" t="str">
        <f t="shared" si="90"/>
        <v>(519,32)</v>
      </c>
      <c r="K521" s="17">
        <f>COUNTIFS(Sheet1!$C:$C,Feuil1!K$1,Sheet1!$D:$D,Feuil1!$C521)</f>
        <v>0</v>
      </c>
      <c r="L521" s="6">
        <f t="shared" si="96"/>
        <v>7</v>
      </c>
      <c r="M521" s="18" t="str">
        <f t="shared" si="91"/>
        <v>(519,7)</v>
      </c>
      <c r="N521" s="17">
        <f>COUNTIFS(Sheet1!$C:$C,Feuil1!N$1,Sheet1!$D:$D,Feuil1!$C521)</f>
        <v>0</v>
      </c>
      <c r="O521" s="6">
        <f t="shared" si="97"/>
        <v>797</v>
      </c>
      <c r="P521" s="18" t="str">
        <f t="shared" si="92"/>
        <v>(519,797)</v>
      </c>
    </row>
    <row r="522" spans="1:16" hidden="1" x14ac:dyDescent="0.2">
      <c r="A522" s="4">
        <f t="shared" si="98"/>
        <v>520</v>
      </c>
      <c r="B522" s="4"/>
      <c r="C522" s="7">
        <f t="shared" si="99"/>
        <v>45750</v>
      </c>
      <c r="D522" s="11" t="str">
        <f t="shared" si="93"/>
        <v>{2025-04-03},</v>
      </c>
      <c r="E522" s="17">
        <f>COUNTIFS(Sheet1!$C:$C,Feuil1!E$1,Sheet1!$D:$D,Feuil1!$C522)</f>
        <v>0</v>
      </c>
      <c r="F522" s="6">
        <f t="shared" si="100"/>
        <v>163</v>
      </c>
      <c r="G522" s="18" t="str">
        <f t="shared" si="94"/>
        <v>(520,163)</v>
      </c>
      <c r="H522" s="17">
        <f>COUNTIFS(Sheet1!$C:$C,Feuil1!H$1,Sheet1!$D:$D,Feuil1!$C522)</f>
        <v>0</v>
      </c>
      <c r="I522" s="6">
        <f t="shared" si="95"/>
        <v>32</v>
      </c>
      <c r="J522" s="18" t="str">
        <f t="shared" si="90"/>
        <v>(520,32)</v>
      </c>
      <c r="K522" s="17">
        <f>COUNTIFS(Sheet1!$C:$C,Feuil1!K$1,Sheet1!$D:$D,Feuil1!$C522)</f>
        <v>0</v>
      </c>
      <c r="L522" s="6">
        <f t="shared" si="96"/>
        <v>7</v>
      </c>
      <c r="M522" s="18" t="str">
        <f t="shared" si="91"/>
        <v>(520,7)</v>
      </c>
      <c r="N522" s="17">
        <f>COUNTIFS(Sheet1!$C:$C,Feuil1!N$1,Sheet1!$D:$D,Feuil1!$C522)</f>
        <v>0</v>
      </c>
      <c r="O522" s="6">
        <f t="shared" si="97"/>
        <v>797</v>
      </c>
      <c r="P522" s="18" t="str">
        <f t="shared" si="92"/>
        <v>(520,797)</v>
      </c>
    </row>
    <row r="523" spans="1:16" hidden="1" x14ac:dyDescent="0.2">
      <c r="A523" s="4">
        <f t="shared" si="98"/>
        <v>521</v>
      </c>
      <c r="B523" s="4"/>
      <c r="C523" s="7">
        <f t="shared" si="99"/>
        <v>45751</v>
      </c>
      <c r="D523" s="11" t="str">
        <f t="shared" si="93"/>
        <v>{2025-04-04},</v>
      </c>
      <c r="E523" s="17">
        <f>COUNTIFS(Sheet1!$C:$C,Feuil1!E$1,Sheet1!$D:$D,Feuil1!$C523)</f>
        <v>0</v>
      </c>
      <c r="F523" s="6">
        <f t="shared" si="100"/>
        <v>163</v>
      </c>
      <c r="G523" s="18" t="str">
        <f t="shared" si="94"/>
        <v>(521,163)</v>
      </c>
      <c r="H523" s="17">
        <f>COUNTIFS(Sheet1!$C:$C,Feuil1!H$1,Sheet1!$D:$D,Feuil1!$C523)</f>
        <v>0</v>
      </c>
      <c r="I523" s="6">
        <f t="shared" si="95"/>
        <v>32</v>
      </c>
      <c r="J523" s="18" t="str">
        <f t="shared" si="90"/>
        <v>(521,32)</v>
      </c>
      <c r="K523" s="17">
        <f>COUNTIFS(Sheet1!$C:$C,Feuil1!K$1,Sheet1!$D:$D,Feuil1!$C523)</f>
        <v>0</v>
      </c>
      <c r="L523" s="6">
        <f t="shared" si="96"/>
        <v>7</v>
      </c>
      <c r="M523" s="18" t="str">
        <f t="shared" si="91"/>
        <v>(521,7)</v>
      </c>
      <c r="N523" s="17">
        <f>COUNTIFS(Sheet1!$C:$C,Feuil1!N$1,Sheet1!$D:$D,Feuil1!$C523)</f>
        <v>0</v>
      </c>
      <c r="O523" s="6">
        <f t="shared" si="97"/>
        <v>797</v>
      </c>
      <c r="P523" s="18" t="str">
        <f t="shared" si="92"/>
        <v>(521,797)</v>
      </c>
    </row>
    <row r="524" spans="1:16" hidden="1" x14ac:dyDescent="0.2">
      <c r="A524" s="4">
        <f t="shared" si="98"/>
        <v>522</v>
      </c>
      <c r="B524" s="4"/>
      <c r="C524" s="7">
        <f t="shared" si="99"/>
        <v>45752</v>
      </c>
      <c r="D524" s="11" t="str">
        <f t="shared" si="93"/>
        <v>{2025-04-05},</v>
      </c>
      <c r="E524" s="17">
        <f>COUNTIFS(Sheet1!$C:$C,Feuil1!E$1,Sheet1!$D:$D,Feuil1!$C524)</f>
        <v>0</v>
      </c>
      <c r="F524" s="6">
        <f t="shared" si="100"/>
        <v>163</v>
      </c>
      <c r="G524" s="18" t="str">
        <f t="shared" si="94"/>
        <v>(522,163)</v>
      </c>
      <c r="H524" s="17">
        <f>COUNTIFS(Sheet1!$C:$C,Feuil1!H$1,Sheet1!$D:$D,Feuil1!$C524)</f>
        <v>0</v>
      </c>
      <c r="I524" s="6">
        <f t="shared" si="95"/>
        <v>32</v>
      </c>
      <c r="J524" s="18" t="str">
        <f t="shared" si="90"/>
        <v>(522,32)</v>
      </c>
      <c r="K524" s="17">
        <f>COUNTIFS(Sheet1!$C:$C,Feuil1!K$1,Sheet1!$D:$D,Feuil1!$C524)</f>
        <v>0</v>
      </c>
      <c r="L524" s="6">
        <f t="shared" si="96"/>
        <v>7</v>
      </c>
      <c r="M524" s="18" t="str">
        <f t="shared" si="91"/>
        <v>(522,7)</v>
      </c>
      <c r="N524" s="17">
        <f>COUNTIFS(Sheet1!$C:$C,Feuil1!N$1,Sheet1!$D:$D,Feuil1!$C524)</f>
        <v>0</v>
      </c>
      <c r="O524" s="6">
        <f t="shared" si="97"/>
        <v>797</v>
      </c>
      <c r="P524" s="18" t="str">
        <f t="shared" si="92"/>
        <v>(522,797)</v>
      </c>
    </row>
    <row r="525" spans="1:16" hidden="1" x14ac:dyDescent="0.2">
      <c r="A525" s="4">
        <f t="shared" si="98"/>
        <v>523</v>
      </c>
      <c r="B525" s="4"/>
      <c r="C525" s="7">
        <f t="shared" si="99"/>
        <v>45753</v>
      </c>
      <c r="D525" s="11" t="str">
        <f t="shared" si="93"/>
        <v>{2025-04-06},</v>
      </c>
      <c r="E525" s="17">
        <f>COUNTIFS(Sheet1!$C:$C,Feuil1!E$1,Sheet1!$D:$D,Feuil1!$C525)</f>
        <v>0</v>
      </c>
      <c r="F525" s="6">
        <f t="shared" si="100"/>
        <v>163</v>
      </c>
      <c r="G525" s="18" t="str">
        <f t="shared" si="94"/>
        <v>(523,163)</v>
      </c>
      <c r="H525" s="17">
        <f>COUNTIFS(Sheet1!$C:$C,Feuil1!H$1,Sheet1!$D:$D,Feuil1!$C525)</f>
        <v>0</v>
      </c>
      <c r="I525" s="6">
        <f t="shared" si="95"/>
        <v>32</v>
      </c>
      <c r="J525" s="18" t="str">
        <f t="shared" si="90"/>
        <v>(523,32)</v>
      </c>
      <c r="K525" s="17">
        <f>COUNTIFS(Sheet1!$C:$C,Feuil1!K$1,Sheet1!$D:$D,Feuil1!$C525)</f>
        <v>0</v>
      </c>
      <c r="L525" s="6">
        <f t="shared" si="96"/>
        <v>7</v>
      </c>
      <c r="M525" s="18" t="str">
        <f t="shared" si="91"/>
        <v>(523,7)</v>
      </c>
      <c r="N525" s="17">
        <f>COUNTIFS(Sheet1!$C:$C,Feuil1!N$1,Sheet1!$D:$D,Feuil1!$C525)</f>
        <v>0</v>
      </c>
      <c r="O525" s="6">
        <f t="shared" si="97"/>
        <v>797</v>
      </c>
      <c r="P525" s="18" t="str">
        <f t="shared" si="92"/>
        <v>(523,797)</v>
      </c>
    </row>
    <row r="526" spans="1:16" hidden="1" x14ac:dyDescent="0.2">
      <c r="A526" s="4">
        <f t="shared" si="98"/>
        <v>524</v>
      </c>
      <c r="B526" s="4"/>
      <c r="C526" s="7">
        <f t="shared" si="99"/>
        <v>45754</v>
      </c>
      <c r="D526" s="11" t="str">
        <f t="shared" si="93"/>
        <v>{2025-04-07},</v>
      </c>
      <c r="E526" s="17">
        <f>COUNTIFS(Sheet1!$C:$C,Feuil1!E$1,Sheet1!$D:$D,Feuil1!$C526)</f>
        <v>0</v>
      </c>
      <c r="F526" s="6">
        <f t="shared" si="100"/>
        <v>163</v>
      </c>
      <c r="G526" s="18" t="str">
        <f t="shared" si="94"/>
        <v>(524,163)</v>
      </c>
      <c r="H526" s="17">
        <f>COUNTIFS(Sheet1!$C:$C,Feuil1!H$1,Sheet1!$D:$D,Feuil1!$C526)</f>
        <v>0</v>
      </c>
      <c r="I526" s="6">
        <f t="shared" si="95"/>
        <v>32</v>
      </c>
      <c r="J526" s="18" t="str">
        <f t="shared" si="90"/>
        <v>(524,32)</v>
      </c>
      <c r="K526" s="17">
        <f>COUNTIFS(Sheet1!$C:$C,Feuil1!K$1,Sheet1!$D:$D,Feuil1!$C526)</f>
        <v>0</v>
      </c>
      <c r="L526" s="6">
        <f t="shared" si="96"/>
        <v>7</v>
      </c>
      <c r="M526" s="18" t="str">
        <f t="shared" si="91"/>
        <v>(524,7)</v>
      </c>
      <c r="N526" s="17">
        <f>COUNTIFS(Sheet1!$C:$C,Feuil1!N$1,Sheet1!$D:$D,Feuil1!$C526)</f>
        <v>0</v>
      </c>
      <c r="O526" s="6">
        <f t="shared" si="97"/>
        <v>797</v>
      </c>
      <c r="P526" s="18" t="str">
        <f t="shared" si="92"/>
        <v>(524,797)</v>
      </c>
    </row>
    <row r="527" spans="1:16" hidden="1" x14ac:dyDescent="0.2">
      <c r="A527" s="4">
        <f t="shared" si="98"/>
        <v>525</v>
      </c>
      <c r="B527" s="4"/>
      <c r="C527" s="7">
        <f t="shared" si="99"/>
        <v>45755</v>
      </c>
      <c r="D527" s="11" t="str">
        <f t="shared" si="93"/>
        <v>{2025-04-08},</v>
      </c>
      <c r="E527" s="17">
        <f>COUNTIFS(Sheet1!$C:$C,Feuil1!E$1,Sheet1!$D:$D,Feuil1!$C527)</f>
        <v>0</v>
      </c>
      <c r="F527" s="6">
        <f t="shared" si="100"/>
        <v>163</v>
      </c>
      <c r="G527" s="18" t="str">
        <f t="shared" si="94"/>
        <v>(525,163)</v>
      </c>
      <c r="H527" s="17">
        <f>COUNTIFS(Sheet1!$C:$C,Feuil1!H$1,Sheet1!$D:$D,Feuil1!$C527)</f>
        <v>0</v>
      </c>
      <c r="I527" s="6">
        <f t="shared" si="95"/>
        <v>32</v>
      </c>
      <c r="J527" s="18" t="str">
        <f t="shared" si="90"/>
        <v>(525,32)</v>
      </c>
      <c r="K527" s="17">
        <f>COUNTIFS(Sheet1!$C:$C,Feuil1!K$1,Sheet1!$D:$D,Feuil1!$C527)</f>
        <v>0</v>
      </c>
      <c r="L527" s="6">
        <f t="shared" si="96"/>
        <v>7</v>
      </c>
      <c r="M527" s="18" t="str">
        <f t="shared" si="91"/>
        <v>(525,7)</v>
      </c>
      <c r="N527" s="17">
        <f>COUNTIFS(Sheet1!$C:$C,Feuil1!N$1,Sheet1!$D:$D,Feuil1!$C527)</f>
        <v>0</v>
      </c>
      <c r="O527" s="6">
        <f t="shared" si="97"/>
        <v>797</v>
      </c>
      <c r="P527" s="18" t="str">
        <f t="shared" si="92"/>
        <v>(525,797)</v>
      </c>
    </row>
    <row r="528" spans="1:16" hidden="1" x14ac:dyDescent="0.2">
      <c r="A528" s="4">
        <f t="shared" si="98"/>
        <v>526</v>
      </c>
      <c r="B528" s="4"/>
      <c r="C528" s="7">
        <f t="shared" si="99"/>
        <v>45756</v>
      </c>
      <c r="D528" s="11" t="str">
        <f t="shared" si="93"/>
        <v>{2025-04-09},</v>
      </c>
      <c r="E528" s="17">
        <f>COUNTIFS(Sheet1!$C:$C,Feuil1!E$1,Sheet1!$D:$D,Feuil1!$C528)</f>
        <v>0</v>
      </c>
      <c r="F528" s="6">
        <f t="shared" si="100"/>
        <v>163</v>
      </c>
      <c r="G528" s="18" t="str">
        <f t="shared" si="94"/>
        <v>(526,163)</v>
      </c>
      <c r="H528" s="17">
        <f>COUNTIFS(Sheet1!$C:$C,Feuil1!H$1,Sheet1!$D:$D,Feuil1!$C528)</f>
        <v>0</v>
      </c>
      <c r="I528" s="6">
        <f t="shared" si="95"/>
        <v>32</v>
      </c>
      <c r="J528" s="18" t="str">
        <f t="shared" si="90"/>
        <v>(526,32)</v>
      </c>
      <c r="K528" s="17">
        <f>COUNTIFS(Sheet1!$C:$C,Feuil1!K$1,Sheet1!$D:$D,Feuil1!$C528)</f>
        <v>0</v>
      </c>
      <c r="L528" s="6">
        <f t="shared" si="96"/>
        <v>7</v>
      </c>
      <c r="M528" s="18" t="str">
        <f t="shared" si="91"/>
        <v>(526,7)</v>
      </c>
      <c r="N528" s="17">
        <f>COUNTIFS(Sheet1!$C:$C,Feuil1!N$1,Sheet1!$D:$D,Feuil1!$C528)</f>
        <v>0</v>
      </c>
      <c r="O528" s="6">
        <f t="shared" si="97"/>
        <v>797</v>
      </c>
      <c r="P528" s="18" t="str">
        <f t="shared" si="92"/>
        <v>(526,797)</v>
      </c>
    </row>
    <row r="529" spans="1:16" hidden="1" x14ac:dyDescent="0.2">
      <c r="A529" s="4">
        <f t="shared" si="98"/>
        <v>527</v>
      </c>
      <c r="B529" s="4"/>
      <c r="C529" s="7">
        <f t="shared" si="99"/>
        <v>45757</v>
      </c>
      <c r="D529" s="11" t="str">
        <f t="shared" si="93"/>
        <v>{2025-04-10},</v>
      </c>
      <c r="E529" s="17">
        <f>COUNTIFS(Sheet1!$C:$C,Feuil1!E$1,Sheet1!$D:$D,Feuil1!$C529)</f>
        <v>0</v>
      </c>
      <c r="F529" s="6">
        <f t="shared" si="100"/>
        <v>163</v>
      </c>
      <c r="G529" s="18" t="str">
        <f t="shared" si="94"/>
        <v>(527,163)</v>
      </c>
      <c r="H529" s="17">
        <f>COUNTIFS(Sheet1!$C:$C,Feuil1!H$1,Sheet1!$D:$D,Feuil1!$C529)</f>
        <v>0</v>
      </c>
      <c r="I529" s="6">
        <f t="shared" si="95"/>
        <v>32</v>
      </c>
      <c r="J529" s="18" t="str">
        <f t="shared" si="90"/>
        <v>(527,32)</v>
      </c>
      <c r="K529" s="17">
        <f>COUNTIFS(Sheet1!$C:$C,Feuil1!K$1,Sheet1!$D:$D,Feuil1!$C529)</f>
        <v>0</v>
      </c>
      <c r="L529" s="6">
        <f t="shared" si="96"/>
        <v>7</v>
      </c>
      <c r="M529" s="18" t="str">
        <f t="shared" si="91"/>
        <v>(527,7)</v>
      </c>
      <c r="N529" s="17">
        <f>COUNTIFS(Sheet1!$C:$C,Feuil1!N$1,Sheet1!$D:$D,Feuil1!$C529)</f>
        <v>0</v>
      </c>
      <c r="O529" s="6">
        <f t="shared" si="97"/>
        <v>797</v>
      </c>
      <c r="P529" s="18" t="str">
        <f t="shared" si="92"/>
        <v>(527,797)</v>
      </c>
    </row>
    <row r="530" spans="1:16" hidden="1" x14ac:dyDescent="0.2">
      <c r="A530" s="4">
        <f t="shared" si="98"/>
        <v>528</v>
      </c>
      <c r="B530" s="4"/>
      <c r="C530" s="7">
        <f t="shared" si="99"/>
        <v>45758</v>
      </c>
      <c r="D530" s="11" t="str">
        <f t="shared" si="93"/>
        <v>{2025-04-11},</v>
      </c>
      <c r="E530" s="17">
        <f>COUNTIFS(Sheet1!$C:$C,Feuil1!E$1,Sheet1!$D:$D,Feuil1!$C530)</f>
        <v>0</v>
      </c>
      <c r="F530" s="6">
        <f t="shared" si="100"/>
        <v>163</v>
      </c>
      <c r="G530" s="18" t="str">
        <f t="shared" si="94"/>
        <v>(528,163)</v>
      </c>
      <c r="H530" s="17">
        <f>COUNTIFS(Sheet1!$C:$C,Feuil1!H$1,Sheet1!$D:$D,Feuil1!$C530)</f>
        <v>0</v>
      </c>
      <c r="I530" s="6">
        <f t="shared" si="95"/>
        <v>32</v>
      </c>
      <c r="J530" s="18" t="str">
        <f t="shared" si="90"/>
        <v>(528,32)</v>
      </c>
      <c r="K530" s="17">
        <f>COUNTIFS(Sheet1!$C:$C,Feuil1!K$1,Sheet1!$D:$D,Feuil1!$C530)</f>
        <v>0</v>
      </c>
      <c r="L530" s="6">
        <f t="shared" si="96"/>
        <v>7</v>
      </c>
      <c r="M530" s="18" t="str">
        <f t="shared" si="91"/>
        <v>(528,7)</v>
      </c>
      <c r="N530" s="17">
        <f>COUNTIFS(Sheet1!$C:$C,Feuil1!N$1,Sheet1!$D:$D,Feuil1!$C530)</f>
        <v>0</v>
      </c>
      <c r="O530" s="6">
        <f t="shared" si="97"/>
        <v>797</v>
      </c>
      <c r="P530" s="18" t="str">
        <f t="shared" si="92"/>
        <v>(528,797)</v>
      </c>
    </row>
    <row r="531" spans="1:16" hidden="1" x14ac:dyDescent="0.2">
      <c r="A531" s="4">
        <f t="shared" si="98"/>
        <v>529</v>
      </c>
      <c r="B531" s="4"/>
      <c r="C531" s="7">
        <f t="shared" si="99"/>
        <v>45759</v>
      </c>
      <c r="D531" s="11" t="str">
        <f t="shared" si="93"/>
        <v>{2025-04-12},</v>
      </c>
      <c r="E531" s="17">
        <f>COUNTIFS(Sheet1!$C:$C,Feuil1!E$1,Sheet1!$D:$D,Feuil1!$C531)</f>
        <v>0</v>
      </c>
      <c r="F531" s="6">
        <f t="shared" si="100"/>
        <v>163</v>
      </c>
      <c r="G531" s="18" t="str">
        <f t="shared" si="94"/>
        <v>(529,163)</v>
      </c>
      <c r="H531" s="17">
        <f>COUNTIFS(Sheet1!$C:$C,Feuil1!H$1,Sheet1!$D:$D,Feuil1!$C531)</f>
        <v>0</v>
      </c>
      <c r="I531" s="6">
        <f t="shared" si="95"/>
        <v>32</v>
      </c>
      <c r="J531" s="18" t="str">
        <f t="shared" si="90"/>
        <v>(529,32)</v>
      </c>
      <c r="K531" s="17">
        <f>COUNTIFS(Sheet1!$C:$C,Feuil1!K$1,Sheet1!$D:$D,Feuil1!$C531)</f>
        <v>0</v>
      </c>
      <c r="L531" s="6">
        <f t="shared" si="96"/>
        <v>7</v>
      </c>
      <c r="M531" s="18" t="str">
        <f t="shared" si="91"/>
        <v>(529,7)</v>
      </c>
      <c r="N531" s="17">
        <f>COUNTIFS(Sheet1!$C:$C,Feuil1!N$1,Sheet1!$D:$D,Feuil1!$C531)</f>
        <v>0</v>
      </c>
      <c r="O531" s="6">
        <f t="shared" si="97"/>
        <v>797</v>
      </c>
      <c r="P531" s="18" t="str">
        <f t="shared" si="92"/>
        <v>(529,797)</v>
      </c>
    </row>
    <row r="532" spans="1:16" hidden="1" x14ac:dyDescent="0.2">
      <c r="A532" s="4">
        <f t="shared" si="98"/>
        <v>530</v>
      </c>
      <c r="B532" s="4"/>
      <c r="C532" s="7">
        <f t="shared" si="99"/>
        <v>45760</v>
      </c>
      <c r="D532" s="11" t="str">
        <f t="shared" si="93"/>
        <v>{2025-04-13},</v>
      </c>
      <c r="E532" s="17">
        <f>COUNTIFS(Sheet1!$C:$C,Feuil1!E$1,Sheet1!$D:$D,Feuil1!$C532)</f>
        <v>0</v>
      </c>
      <c r="F532" s="6">
        <f t="shared" si="100"/>
        <v>163</v>
      </c>
      <c r="G532" s="18" t="str">
        <f t="shared" si="94"/>
        <v>(530,163)</v>
      </c>
      <c r="H532" s="17">
        <f>COUNTIFS(Sheet1!$C:$C,Feuil1!H$1,Sheet1!$D:$D,Feuil1!$C532)</f>
        <v>0</v>
      </c>
      <c r="I532" s="6">
        <f t="shared" si="95"/>
        <v>32</v>
      </c>
      <c r="J532" s="18" t="str">
        <f t="shared" si="90"/>
        <v>(530,32)</v>
      </c>
      <c r="K532" s="17">
        <f>COUNTIFS(Sheet1!$C:$C,Feuil1!K$1,Sheet1!$D:$D,Feuil1!$C532)</f>
        <v>0</v>
      </c>
      <c r="L532" s="6">
        <f t="shared" si="96"/>
        <v>7</v>
      </c>
      <c r="M532" s="18" t="str">
        <f t="shared" si="91"/>
        <v>(530,7)</v>
      </c>
      <c r="N532" s="17">
        <f>COUNTIFS(Sheet1!$C:$C,Feuil1!N$1,Sheet1!$D:$D,Feuil1!$C532)</f>
        <v>0</v>
      </c>
      <c r="O532" s="6">
        <f t="shared" si="97"/>
        <v>797</v>
      </c>
      <c r="P532" s="18" t="str">
        <f t="shared" si="92"/>
        <v>(530,797)</v>
      </c>
    </row>
    <row r="533" spans="1:16" hidden="1" x14ac:dyDescent="0.2">
      <c r="A533" s="4">
        <f t="shared" si="98"/>
        <v>531</v>
      </c>
      <c r="B533" s="4"/>
      <c r="C533" s="7">
        <f t="shared" si="99"/>
        <v>45761</v>
      </c>
      <c r="D533" s="11" t="str">
        <f t="shared" si="93"/>
        <v>{2025-04-14},</v>
      </c>
      <c r="E533" s="17">
        <f>COUNTIFS(Sheet1!$C:$C,Feuil1!E$1,Sheet1!$D:$D,Feuil1!$C533)</f>
        <v>0</v>
      </c>
      <c r="F533" s="6">
        <f t="shared" si="100"/>
        <v>163</v>
      </c>
      <c r="G533" s="18" t="str">
        <f t="shared" si="94"/>
        <v>(531,163)</v>
      </c>
      <c r="H533" s="17">
        <f>COUNTIFS(Sheet1!$C:$C,Feuil1!H$1,Sheet1!$D:$D,Feuil1!$C533)</f>
        <v>0</v>
      </c>
      <c r="I533" s="6">
        <f t="shared" si="95"/>
        <v>32</v>
      </c>
      <c r="J533" s="18" t="str">
        <f t="shared" si="90"/>
        <v>(531,32)</v>
      </c>
      <c r="K533" s="17">
        <f>COUNTIFS(Sheet1!$C:$C,Feuil1!K$1,Sheet1!$D:$D,Feuil1!$C533)</f>
        <v>0</v>
      </c>
      <c r="L533" s="6">
        <f t="shared" si="96"/>
        <v>7</v>
      </c>
      <c r="M533" s="18" t="str">
        <f t="shared" si="91"/>
        <v>(531,7)</v>
      </c>
      <c r="N533" s="17">
        <f>COUNTIFS(Sheet1!$C:$C,Feuil1!N$1,Sheet1!$D:$D,Feuil1!$C533)</f>
        <v>0</v>
      </c>
      <c r="O533" s="6">
        <f t="shared" si="97"/>
        <v>797</v>
      </c>
      <c r="P533" s="18" t="str">
        <f t="shared" si="92"/>
        <v>(531,797)</v>
      </c>
    </row>
    <row r="534" spans="1:16" hidden="1" x14ac:dyDescent="0.2">
      <c r="A534" s="4">
        <f t="shared" si="98"/>
        <v>532</v>
      </c>
      <c r="B534" s="4"/>
      <c r="C534" s="7">
        <f t="shared" si="99"/>
        <v>45762</v>
      </c>
      <c r="D534" s="11" t="str">
        <f t="shared" si="93"/>
        <v>{2025-04-15},</v>
      </c>
      <c r="E534" s="17">
        <f>COUNTIFS(Sheet1!$C:$C,Feuil1!E$1,Sheet1!$D:$D,Feuil1!$C534)</f>
        <v>0</v>
      </c>
      <c r="F534" s="6">
        <f t="shared" si="100"/>
        <v>163</v>
      </c>
      <c r="G534" s="18" t="str">
        <f t="shared" si="94"/>
        <v>(532,163)</v>
      </c>
      <c r="H534" s="17">
        <f>COUNTIFS(Sheet1!$C:$C,Feuil1!H$1,Sheet1!$D:$D,Feuil1!$C534)</f>
        <v>0</v>
      </c>
      <c r="I534" s="6">
        <f t="shared" si="95"/>
        <v>32</v>
      </c>
      <c r="J534" s="18" t="str">
        <f t="shared" si="90"/>
        <v>(532,32)</v>
      </c>
      <c r="K534" s="17">
        <f>COUNTIFS(Sheet1!$C:$C,Feuil1!K$1,Sheet1!$D:$D,Feuil1!$C534)</f>
        <v>0</v>
      </c>
      <c r="L534" s="6">
        <f t="shared" si="96"/>
        <v>7</v>
      </c>
      <c r="M534" s="18" t="str">
        <f t="shared" si="91"/>
        <v>(532,7)</v>
      </c>
      <c r="N534" s="17">
        <f>COUNTIFS(Sheet1!$C:$C,Feuil1!N$1,Sheet1!$D:$D,Feuil1!$C534)</f>
        <v>0</v>
      </c>
      <c r="O534" s="6">
        <f t="shared" si="97"/>
        <v>797</v>
      </c>
      <c r="P534" s="18" t="str">
        <f t="shared" si="92"/>
        <v>(532,797)</v>
      </c>
    </row>
    <row r="535" spans="1:16" hidden="1" x14ac:dyDescent="0.2">
      <c r="A535" s="4">
        <f t="shared" si="98"/>
        <v>533</v>
      </c>
      <c r="B535" s="4"/>
      <c r="C535" s="7">
        <f t="shared" si="99"/>
        <v>45763</v>
      </c>
      <c r="D535" s="11" t="str">
        <f t="shared" si="93"/>
        <v>{2025-04-16},</v>
      </c>
      <c r="E535" s="17">
        <f>COUNTIFS(Sheet1!$C:$C,Feuil1!E$1,Sheet1!$D:$D,Feuil1!$C535)</f>
        <v>0</v>
      </c>
      <c r="F535" s="6">
        <f t="shared" si="100"/>
        <v>163</v>
      </c>
      <c r="G535" s="18" t="str">
        <f t="shared" si="94"/>
        <v>(533,163)</v>
      </c>
      <c r="H535" s="17">
        <f>COUNTIFS(Sheet1!$C:$C,Feuil1!H$1,Sheet1!$D:$D,Feuil1!$C535)</f>
        <v>0</v>
      </c>
      <c r="I535" s="6">
        <f t="shared" si="95"/>
        <v>32</v>
      </c>
      <c r="J535" s="18" t="str">
        <f t="shared" si="90"/>
        <v>(533,32)</v>
      </c>
      <c r="K535" s="17">
        <f>COUNTIFS(Sheet1!$C:$C,Feuil1!K$1,Sheet1!$D:$D,Feuil1!$C535)</f>
        <v>0</v>
      </c>
      <c r="L535" s="6">
        <f t="shared" si="96"/>
        <v>7</v>
      </c>
      <c r="M535" s="18" t="str">
        <f t="shared" si="91"/>
        <v>(533,7)</v>
      </c>
      <c r="N535" s="17">
        <f>COUNTIFS(Sheet1!$C:$C,Feuil1!N$1,Sheet1!$D:$D,Feuil1!$C535)</f>
        <v>0</v>
      </c>
      <c r="O535" s="6">
        <f t="shared" si="97"/>
        <v>797</v>
      </c>
      <c r="P535" s="18" t="str">
        <f t="shared" si="92"/>
        <v>(533,797)</v>
      </c>
    </row>
    <row r="536" spans="1:16" hidden="1" x14ac:dyDescent="0.2">
      <c r="A536" s="4">
        <f t="shared" si="98"/>
        <v>534</v>
      </c>
      <c r="B536" s="4"/>
      <c r="C536" s="7">
        <f t="shared" si="99"/>
        <v>45764</v>
      </c>
      <c r="D536" s="11" t="str">
        <f t="shared" si="93"/>
        <v>{2025-04-17},</v>
      </c>
      <c r="E536" s="17">
        <f>COUNTIFS(Sheet1!$C:$C,Feuil1!E$1,Sheet1!$D:$D,Feuil1!$C536)</f>
        <v>0</v>
      </c>
      <c r="F536" s="6">
        <f t="shared" si="100"/>
        <v>163</v>
      </c>
      <c r="G536" s="18" t="str">
        <f t="shared" si="94"/>
        <v>(534,163)</v>
      </c>
      <c r="H536" s="17">
        <f>COUNTIFS(Sheet1!$C:$C,Feuil1!H$1,Sheet1!$D:$D,Feuil1!$C536)</f>
        <v>0</v>
      </c>
      <c r="I536" s="6">
        <f t="shared" si="95"/>
        <v>32</v>
      </c>
      <c r="J536" s="18" t="str">
        <f t="shared" si="90"/>
        <v>(534,32)</v>
      </c>
      <c r="K536" s="17">
        <f>COUNTIFS(Sheet1!$C:$C,Feuil1!K$1,Sheet1!$D:$D,Feuil1!$C536)</f>
        <v>0</v>
      </c>
      <c r="L536" s="6">
        <f t="shared" si="96"/>
        <v>7</v>
      </c>
      <c r="M536" s="18" t="str">
        <f t="shared" si="91"/>
        <v>(534,7)</v>
      </c>
      <c r="N536" s="17">
        <f>COUNTIFS(Sheet1!$C:$C,Feuil1!N$1,Sheet1!$D:$D,Feuil1!$C536)</f>
        <v>0</v>
      </c>
      <c r="O536" s="6">
        <f t="shared" si="97"/>
        <v>797</v>
      </c>
      <c r="P536" s="18" t="str">
        <f t="shared" si="92"/>
        <v>(534,797)</v>
      </c>
    </row>
    <row r="537" spans="1:16" hidden="1" x14ac:dyDescent="0.2">
      <c r="A537" s="4">
        <f t="shared" si="98"/>
        <v>535</v>
      </c>
      <c r="B537" s="4"/>
      <c r="C537" s="7">
        <f t="shared" si="99"/>
        <v>45765</v>
      </c>
      <c r="D537" s="11" t="str">
        <f t="shared" si="93"/>
        <v>{2025-04-18},</v>
      </c>
      <c r="E537" s="17">
        <f>COUNTIFS(Sheet1!$C:$C,Feuil1!E$1,Sheet1!$D:$D,Feuil1!$C537)</f>
        <v>0</v>
      </c>
      <c r="F537" s="6">
        <f t="shared" si="100"/>
        <v>163</v>
      </c>
      <c r="G537" s="18" t="str">
        <f t="shared" si="94"/>
        <v>(535,163)</v>
      </c>
      <c r="H537" s="17">
        <f>COUNTIFS(Sheet1!$C:$C,Feuil1!H$1,Sheet1!$D:$D,Feuil1!$C537)</f>
        <v>0</v>
      </c>
      <c r="I537" s="6">
        <f t="shared" si="95"/>
        <v>32</v>
      </c>
      <c r="J537" s="18" t="str">
        <f t="shared" si="90"/>
        <v>(535,32)</v>
      </c>
      <c r="K537" s="17">
        <f>COUNTIFS(Sheet1!$C:$C,Feuil1!K$1,Sheet1!$D:$D,Feuil1!$C537)</f>
        <v>0</v>
      </c>
      <c r="L537" s="6">
        <f t="shared" si="96"/>
        <v>7</v>
      </c>
      <c r="M537" s="18" t="str">
        <f t="shared" si="91"/>
        <v>(535,7)</v>
      </c>
      <c r="N537" s="17">
        <f>COUNTIFS(Sheet1!$C:$C,Feuil1!N$1,Sheet1!$D:$D,Feuil1!$C537)</f>
        <v>0</v>
      </c>
      <c r="O537" s="6">
        <f t="shared" si="97"/>
        <v>797</v>
      </c>
      <c r="P537" s="18" t="str">
        <f t="shared" si="92"/>
        <v>(535,797)</v>
      </c>
    </row>
    <row r="538" spans="1:16" hidden="1" x14ac:dyDescent="0.2">
      <c r="A538" s="4">
        <f t="shared" si="98"/>
        <v>536</v>
      </c>
      <c r="B538" s="4"/>
      <c r="C538" s="7">
        <f t="shared" si="99"/>
        <v>45766</v>
      </c>
      <c r="D538" s="11" t="str">
        <f t="shared" si="93"/>
        <v>{2025-04-19},</v>
      </c>
      <c r="E538" s="17">
        <f>COUNTIFS(Sheet1!$C:$C,Feuil1!E$1,Sheet1!$D:$D,Feuil1!$C538)</f>
        <v>0</v>
      </c>
      <c r="F538" s="6">
        <f t="shared" si="100"/>
        <v>163</v>
      </c>
      <c r="G538" s="18" t="str">
        <f t="shared" si="94"/>
        <v>(536,163)</v>
      </c>
      <c r="H538" s="17">
        <f>COUNTIFS(Sheet1!$C:$C,Feuil1!H$1,Sheet1!$D:$D,Feuil1!$C538)</f>
        <v>0</v>
      </c>
      <c r="I538" s="6">
        <f t="shared" si="95"/>
        <v>32</v>
      </c>
      <c r="J538" s="18" t="str">
        <f t="shared" si="90"/>
        <v>(536,32)</v>
      </c>
      <c r="K538" s="17">
        <f>COUNTIFS(Sheet1!$C:$C,Feuil1!K$1,Sheet1!$D:$D,Feuil1!$C538)</f>
        <v>0</v>
      </c>
      <c r="L538" s="6">
        <f t="shared" si="96"/>
        <v>7</v>
      </c>
      <c r="M538" s="18" t="str">
        <f t="shared" si="91"/>
        <v>(536,7)</v>
      </c>
      <c r="N538" s="17">
        <f>COUNTIFS(Sheet1!$C:$C,Feuil1!N$1,Sheet1!$D:$D,Feuil1!$C538)</f>
        <v>0</v>
      </c>
      <c r="O538" s="6">
        <f t="shared" si="97"/>
        <v>797</v>
      </c>
      <c r="P538" s="18" t="str">
        <f t="shared" si="92"/>
        <v>(536,797)</v>
      </c>
    </row>
    <row r="539" spans="1:16" hidden="1" x14ac:dyDescent="0.2">
      <c r="A539" s="4">
        <f t="shared" si="98"/>
        <v>537</v>
      </c>
      <c r="B539" s="4"/>
      <c r="C539" s="7">
        <f t="shared" si="99"/>
        <v>45767</v>
      </c>
      <c r="D539" s="11" t="str">
        <f t="shared" si="93"/>
        <v>{2025-04-20},</v>
      </c>
      <c r="E539" s="17">
        <f>COUNTIFS(Sheet1!$C:$C,Feuil1!E$1,Sheet1!$D:$D,Feuil1!$C539)</f>
        <v>0</v>
      </c>
      <c r="F539" s="6">
        <f t="shared" si="100"/>
        <v>163</v>
      </c>
      <c r="G539" s="18" t="str">
        <f t="shared" si="94"/>
        <v>(537,163)</v>
      </c>
      <c r="H539" s="17">
        <f>COUNTIFS(Sheet1!$C:$C,Feuil1!H$1,Sheet1!$D:$D,Feuil1!$C539)</f>
        <v>0</v>
      </c>
      <c r="I539" s="6">
        <f t="shared" si="95"/>
        <v>32</v>
      </c>
      <c r="J539" s="18" t="str">
        <f t="shared" si="90"/>
        <v>(537,32)</v>
      </c>
      <c r="K539" s="17">
        <f>COUNTIFS(Sheet1!$C:$C,Feuil1!K$1,Sheet1!$D:$D,Feuil1!$C539)</f>
        <v>0</v>
      </c>
      <c r="L539" s="6">
        <f t="shared" si="96"/>
        <v>7</v>
      </c>
      <c r="M539" s="18" t="str">
        <f t="shared" si="91"/>
        <v>(537,7)</v>
      </c>
      <c r="N539" s="17">
        <f>COUNTIFS(Sheet1!$C:$C,Feuil1!N$1,Sheet1!$D:$D,Feuil1!$C539)</f>
        <v>0</v>
      </c>
      <c r="O539" s="6">
        <f t="shared" si="97"/>
        <v>797</v>
      </c>
      <c r="P539" s="18" t="str">
        <f t="shared" si="92"/>
        <v>(537,797)</v>
      </c>
    </row>
    <row r="540" spans="1:16" hidden="1" x14ac:dyDescent="0.2">
      <c r="A540" s="4">
        <f t="shared" si="98"/>
        <v>538</v>
      </c>
      <c r="B540" s="4"/>
      <c r="C540" s="7">
        <f t="shared" si="99"/>
        <v>45768</v>
      </c>
      <c r="D540" s="11" t="str">
        <f t="shared" si="93"/>
        <v>{2025-04-21},</v>
      </c>
      <c r="E540" s="17">
        <f>COUNTIFS(Sheet1!$C:$C,Feuil1!E$1,Sheet1!$D:$D,Feuil1!$C540)</f>
        <v>0</v>
      </c>
      <c r="F540" s="6">
        <f t="shared" si="100"/>
        <v>163</v>
      </c>
      <c r="G540" s="18" t="str">
        <f t="shared" si="94"/>
        <v>(538,163)</v>
      </c>
      <c r="H540" s="17">
        <f>COUNTIFS(Sheet1!$C:$C,Feuil1!H$1,Sheet1!$D:$D,Feuil1!$C540)</f>
        <v>0</v>
      </c>
      <c r="I540" s="6">
        <f t="shared" si="95"/>
        <v>32</v>
      </c>
      <c r="J540" s="18" t="str">
        <f t="shared" si="90"/>
        <v>(538,32)</v>
      </c>
      <c r="K540" s="17">
        <f>COUNTIFS(Sheet1!$C:$C,Feuil1!K$1,Sheet1!$D:$D,Feuil1!$C540)</f>
        <v>0</v>
      </c>
      <c r="L540" s="6">
        <f t="shared" si="96"/>
        <v>7</v>
      </c>
      <c r="M540" s="18" t="str">
        <f t="shared" si="91"/>
        <v>(538,7)</v>
      </c>
      <c r="N540" s="17">
        <f>COUNTIFS(Sheet1!$C:$C,Feuil1!N$1,Sheet1!$D:$D,Feuil1!$C540)</f>
        <v>0</v>
      </c>
      <c r="O540" s="6">
        <f t="shared" si="97"/>
        <v>797</v>
      </c>
      <c r="P540" s="18" t="str">
        <f t="shared" si="92"/>
        <v>(538,797)</v>
      </c>
    </row>
    <row r="541" spans="1:16" hidden="1" x14ac:dyDescent="0.2">
      <c r="A541" s="4">
        <f t="shared" si="98"/>
        <v>539</v>
      </c>
      <c r="B541" s="4"/>
      <c r="C541" s="7">
        <f t="shared" si="99"/>
        <v>45769</v>
      </c>
      <c r="D541" s="11" t="str">
        <f t="shared" si="93"/>
        <v>{2025-04-22},</v>
      </c>
      <c r="E541" s="17">
        <f>COUNTIFS(Sheet1!$C:$C,Feuil1!E$1,Sheet1!$D:$D,Feuil1!$C541)</f>
        <v>0</v>
      </c>
      <c r="F541" s="6">
        <f t="shared" si="100"/>
        <v>163</v>
      </c>
      <c r="G541" s="18" t="str">
        <f t="shared" si="94"/>
        <v>(539,163)</v>
      </c>
      <c r="H541" s="17">
        <f>COUNTIFS(Sheet1!$C:$C,Feuil1!H$1,Sheet1!$D:$D,Feuil1!$C541)</f>
        <v>0</v>
      </c>
      <c r="I541" s="6">
        <f t="shared" si="95"/>
        <v>32</v>
      </c>
      <c r="J541" s="18" t="str">
        <f t="shared" si="90"/>
        <v>(539,32)</v>
      </c>
      <c r="K541" s="17">
        <f>COUNTIFS(Sheet1!$C:$C,Feuil1!K$1,Sheet1!$D:$D,Feuil1!$C541)</f>
        <v>0</v>
      </c>
      <c r="L541" s="6">
        <f t="shared" si="96"/>
        <v>7</v>
      </c>
      <c r="M541" s="18" t="str">
        <f t="shared" si="91"/>
        <v>(539,7)</v>
      </c>
      <c r="N541" s="17">
        <f>COUNTIFS(Sheet1!$C:$C,Feuil1!N$1,Sheet1!$D:$D,Feuil1!$C541)</f>
        <v>0</v>
      </c>
      <c r="O541" s="6">
        <f t="shared" si="97"/>
        <v>797</v>
      </c>
      <c r="P541" s="18" t="str">
        <f t="shared" si="92"/>
        <v>(539,797)</v>
      </c>
    </row>
    <row r="542" spans="1:16" hidden="1" x14ac:dyDescent="0.2">
      <c r="A542" s="4">
        <f t="shared" si="98"/>
        <v>540</v>
      </c>
      <c r="B542" s="4"/>
      <c r="C542" s="7">
        <f t="shared" si="99"/>
        <v>45770</v>
      </c>
      <c r="D542" s="11" t="str">
        <f t="shared" si="93"/>
        <v>{2025-04-23},</v>
      </c>
      <c r="E542" s="17">
        <f>COUNTIFS(Sheet1!$C:$C,Feuil1!E$1,Sheet1!$D:$D,Feuil1!$C542)</f>
        <v>0</v>
      </c>
      <c r="F542" s="6">
        <f t="shared" si="100"/>
        <v>163</v>
      </c>
      <c r="G542" s="18" t="str">
        <f t="shared" si="94"/>
        <v>(540,163)</v>
      </c>
      <c r="H542" s="17">
        <f>COUNTIFS(Sheet1!$C:$C,Feuil1!H$1,Sheet1!$D:$D,Feuil1!$C542)</f>
        <v>0</v>
      </c>
      <c r="I542" s="6">
        <f t="shared" si="95"/>
        <v>32</v>
      </c>
      <c r="J542" s="18" t="str">
        <f t="shared" si="90"/>
        <v>(540,32)</v>
      </c>
      <c r="K542" s="17">
        <f>COUNTIFS(Sheet1!$C:$C,Feuil1!K$1,Sheet1!$D:$D,Feuil1!$C542)</f>
        <v>0</v>
      </c>
      <c r="L542" s="6">
        <f t="shared" si="96"/>
        <v>7</v>
      </c>
      <c r="M542" s="18" t="str">
        <f t="shared" si="91"/>
        <v>(540,7)</v>
      </c>
      <c r="N542" s="17">
        <f>COUNTIFS(Sheet1!$C:$C,Feuil1!N$1,Sheet1!$D:$D,Feuil1!$C542)</f>
        <v>0</v>
      </c>
      <c r="O542" s="6">
        <f t="shared" si="97"/>
        <v>797</v>
      </c>
      <c r="P542" s="18" t="str">
        <f t="shared" si="92"/>
        <v>(540,797)</v>
      </c>
    </row>
    <row r="543" spans="1:16" hidden="1" x14ac:dyDescent="0.2">
      <c r="A543" s="4">
        <f t="shared" si="98"/>
        <v>541</v>
      </c>
      <c r="B543" s="4"/>
      <c r="C543" s="7">
        <f t="shared" si="99"/>
        <v>45771</v>
      </c>
      <c r="D543" s="11" t="str">
        <f t="shared" si="93"/>
        <v>{2025-04-24},</v>
      </c>
      <c r="E543" s="17">
        <f>COUNTIFS(Sheet1!$C:$C,Feuil1!E$1,Sheet1!$D:$D,Feuil1!$C543)</f>
        <v>0</v>
      </c>
      <c r="F543" s="6">
        <f t="shared" si="100"/>
        <v>163</v>
      </c>
      <c r="G543" s="18" t="str">
        <f t="shared" si="94"/>
        <v>(541,163)</v>
      </c>
      <c r="H543" s="17">
        <f>COUNTIFS(Sheet1!$C:$C,Feuil1!H$1,Sheet1!$D:$D,Feuil1!$C543)</f>
        <v>0</v>
      </c>
      <c r="I543" s="6">
        <f t="shared" si="95"/>
        <v>32</v>
      </c>
      <c r="J543" s="18" t="str">
        <f t="shared" si="90"/>
        <v>(541,32)</v>
      </c>
      <c r="K543" s="17">
        <f>COUNTIFS(Sheet1!$C:$C,Feuil1!K$1,Sheet1!$D:$D,Feuil1!$C543)</f>
        <v>0</v>
      </c>
      <c r="L543" s="6">
        <f t="shared" si="96"/>
        <v>7</v>
      </c>
      <c r="M543" s="18" t="str">
        <f t="shared" si="91"/>
        <v>(541,7)</v>
      </c>
      <c r="N543" s="17">
        <f>COUNTIFS(Sheet1!$C:$C,Feuil1!N$1,Sheet1!$D:$D,Feuil1!$C543)</f>
        <v>0</v>
      </c>
      <c r="O543" s="6">
        <f t="shared" si="97"/>
        <v>797</v>
      </c>
      <c r="P543" s="18" t="str">
        <f t="shared" si="92"/>
        <v>(541,797)</v>
      </c>
    </row>
    <row r="544" spans="1:16" hidden="1" x14ac:dyDescent="0.2">
      <c r="A544" s="4">
        <f t="shared" si="98"/>
        <v>542</v>
      </c>
      <c r="B544" s="4"/>
      <c r="C544" s="7">
        <f t="shared" si="99"/>
        <v>45772</v>
      </c>
      <c r="D544" s="11" t="str">
        <f t="shared" si="93"/>
        <v>{2025-04-25},</v>
      </c>
      <c r="E544" s="17">
        <f>COUNTIFS(Sheet1!$C:$C,Feuil1!E$1,Sheet1!$D:$D,Feuil1!$C544)</f>
        <v>1</v>
      </c>
      <c r="F544" s="6">
        <f t="shared" si="100"/>
        <v>164</v>
      </c>
      <c r="G544" s="18" t="str">
        <f t="shared" si="94"/>
        <v>(542,164)</v>
      </c>
      <c r="H544" s="17">
        <f>COUNTIFS(Sheet1!$C:$C,Feuil1!H$1,Sheet1!$D:$D,Feuil1!$C544)</f>
        <v>0</v>
      </c>
      <c r="I544" s="6">
        <f t="shared" si="95"/>
        <v>32</v>
      </c>
      <c r="J544" s="18" t="str">
        <f t="shared" si="90"/>
        <v>(542,32)</v>
      </c>
      <c r="K544" s="17">
        <f>COUNTIFS(Sheet1!$C:$C,Feuil1!K$1,Sheet1!$D:$D,Feuil1!$C544)</f>
        <v>0</v>
      </c>
      <c r="L544" s="6">
        <f t="shared" si="96"/>
        <v>7</v>
      </c>
      <c r="M544" s="18" t="str">
        <f t="shared" si="91"/>
        <v>(542,7)</v>
      </c>
      <c r="N544" s="17">
        <f>COUNTIFS(Sheet1!$C:$C,Feuil1!N$1,Sheet1!$D:$D,Feuil1!$C544)</f>
        <v>0</v>
      </c>
      <c r="O544" s="6">
        <f t="shared" si="97"/>
        <v>797</v>
      </c>
      <c r="P544" s="18" t="str">
        <f t="shared" si="92"/>
        <v>(542,797)</v>
      </c>
    </row>
    <row r="545" spans="1:16" hidden="1" x14ac:dyDescent="0.2">
      <c r="A545" s="4">
        <f t="shared" si="98"/>
        <v>543</v>
      </c>
      <c r="B545" s="4"/>
      <c r="C545" s="7">
        <f t="shared" si="99"/>
        <v>45773</v>
      </c>
      <c r="D545" s="11" t="str">
        <f t="shared" si="93"/>
        <v>{2025-04-26},</v>
      </c>
      <c r="E545" s="17">
        <f>COUNTIFS(Sheet1!$C:$C,Feuil1!E$1,Sheet1!$D:$D,Feuil1!$C545)</f>
        <v>0</v>
      </c>
      <c r="F545" s="6">
        <f t="shared" si="100"/>
        <v>164</v>
      </c>
      <c r="G545" s="18" t="str">
        <f t="shared" si="94"/>
        <v>(543,164)</v>
      </c>
      <c r="H545" s="17">
        <f>COUNTIFS(Sheet1!$C:$C,Feuil1!H$1,Sheet1!$D:$D,Feuil1!$C545)</f>
        <v>0</v>
      </c>
      <c r="I545" s="6">
        <f t="shared" si="95"/>
        <v>32</v>
      </c>
      <c r="J545" s="18" t="str">
        <f t="shared" si="90"/>
        <v>(543,32)</v>
      </c>
      <c r="K545" s="17">
        <f>COUNTIFS(Sheet1!$C:$C,Feuil1!K$1,Sheet1!$D:$D,Feuil1!$C545)</f>
        <v>0</v>
      </c>
      <c r="L545" s="6">
        <f t="shared" si="96"/>
        <v>7</v>
      </c>
      <c r="M545" s="18" t="str">
        <f t="shared" si="91"/>
        <v>(543,7)</v>
      </c>
      <c r="N545" s="17">
        <f>COUNTIFS(Sheet1!$C:$C,Feuil1!N$1,Sheet1!$D:$D,Feuil1!$C545)</f>
        <v>0</v>
      </c>
      <c r="O545" s="6">
        <f t="shared" si="97"/>
        <v>797</v>
      </c>
      <c r="P545" s="18" t="str">
        <f t="shared" si="92"/>
        <v>(543,797)</v>
      </c>
    </row>
    <row r="546" spans="1:16" hidden="1" x14ac:dyDescent="0.2">
      <c r="A546" s="4">
        <f t="shared" si="98"/>
        <v>544</v>
      </c>
      <c r="B546" s="4"/>
      <c r="C546" s="7">
        <f t="shared" si="99"/>
        <v>45774</v>
      </c>
      <c r="D546" s="11" t="str">
        <f t="shared" si="93"/>
        <v>{2025-04-27},</v>
      </c>
      <c r="E546" s="17">
        <f>COUNTIFS(Sheet1!$C:$C,Feuil1!E$1,Sheet1!$D:$D,Feuil1!$C546)</f>
        <v>0</v>
      </c>
      <c r="F546" s="6">
        <f t="shared" si="100"/>
        <v>164</v>
      </c>
      <c r="G546" s="18" t="str">
        <f t="shared" si="94"/>
        <v>(544,164)</v>
      </c>
      <c r="H546" s="17">
        <f>COUNTIFS(Sheet1!$C:$C,Feuil1!H$1,Sheet1!$D:$D,Feuil1!$C546)</f>
        <v>0</v>
      </c>
      <c r="I546" s="6">
        <f t="shared" si="95"/>
        <v>32</v>
      </c>
      <c r="J546" s="18" t="str">
        <f t="shared" si="90"/>
        <v>(544,32)</v>
      </c>
      <c r="K546" s="17">
        <f>COUNTIFS(Sheet1!$C:$C,Feuil1!K$1,Sheet1!$D:$D,Feuil1!$C546)</f>
        <v>0</v>
      </c>
      <c r="L546" s="6">
        <f t="shared" si="96"/>
        <v>7</v>
      </c>
      <c r="M546" s="18" t="str">
        <f t="shared" si="91"/>
        <v>(544,7)</v>
      </c>
      <c r="N546" s="17">
        <f>COUNTIFS(Sheet1!$C:$C,Feuil1!N$1,Sheet1!$D:$D,Feuil1!$C546)</f>
        <v>0</v>
      </c>
      <c r="O546" s="6">
        <f t="shared" si="97"/>
        <v>797</v>
      </c>
      <c r="P546" s="18" t="str">
        <f t="shared" si="92"/>
        <v>(544,797)</v>
      </c>
    </row>
    <row r="547" spans="1:16" hidden="1" x14ac:dyDescent="0.2">
      <c r="A547" s="4">
        <f t="shared" si="98"/>
        <v>545</v>
      </c>
      <c r="B547" s="4"/>
      <c r="C547" s="7">
        <f t="shared" si="99"/>
        <v>45775</v>
      </c>
      <c r="D547" s="11" t="str">
        <f t="shared" si="93"/>
        <v>{2025-04-28},</v>
      </c>
      <c r="E547" s="17">
        <f>COUNTIFS(Sheet1!$C:$C,Feuil1!E$1,Sheet1!$D:$D,Feuil1!$C547)</f>
        <v>0</v>
      </c>
      <c r="F547" s="6">
        <f t="shared" si="100"/>
        <v>164</v>
      </c>
      <c r="G547" s="18" t="str">
        <f t="shared" si="94"/>
        <v>(545,164)</v>
      </c>
      <c r="H547" s="17">
        <f>COUNTIFS(Sheet1!$C:$C,Feuil1!H$1,Sheet1!$D:$D,Feuil1!$C547)</f>
        <v>0</v>
      </c>
      <c r="I547" s="6">
        <f t="shared" si="95"/>
        <v>32</v>
      </c>
      <c r="J547" s="18" t="str">
        <f t="shared" si="90"/>
        <v>(545,32)</v>
      </c>
      <c r="K547" s="17">
        <f>COUNTIFS(Sheet1!$C:$C,Feuil1!K$1,Sheet1!$D:$D,Feuil1!$C547)</f>
        <v>0</v>
      </c>
      <c r="L547" s="6">
        <f t="shared" si="96"/>
        <v>7</v>
      </c>
      <c r="M547" s="18" t="str">
        <f t="shared" si="91"/>
        <v>(545,7)</v>
      </c>
      <c r="N547" s="17">
        <f>COUNTIFS(Sheet1!$C:$C,Feuil1!N$1,Sheet1!$D:$D,Feuil1!$C547)</f>
        <v>0</v>
      </c>
      <c r="O547" s="6">
        <f t="shared" si="97"/>
        <v>797</v>
      </c>
      <c r="P547" s="18" t="str">
        <f t="shared" si="92"/>
        <v>(545,797)</v>
      </c>
    </row>
    <row r="548" spans="1:16" hidden="1" x14ac:dyDescent="0.2">
      <c r="A548" s="4">
        <f t="shared" si="98"/>
        <v>546</v>
      </c>
      <c r="B548" s="4"/>
      <c r="C548" s="7">
        <f t="shared" si="99"/>
        <v>45776</v>
      </c>
      <c r="D548" s="11" t="str">
        <f t="shared" si="93"/>
        <v>{2025-04-29},</v>
      </c>
      <c r="E548" s="17">
        <f>COUNTIFS(Sheet1!$C:$C,Feuil1!E$1,Sheet1!$D:$D,Feuil1!$C548)</f>
        <v>0</v>
      </c>
      <c r="F548" s="6">
        <f t="shared" si="100"/>
        <v>164</v>
      </c>
      <c r="G548" s="18" t="str">
        <f t="shared" si="94"/>
        <v>(546,164)</v>
      </c>
      <c r="H548" s="17">
        <f>COUNTIFS(Sheet1!$C:$C,Feuil1!H$1,Sheet1!$D:$D,Feuil1!$C548)</f>
        <v>0</v>
      </c>
      <c r="I548" s="6">
        <f t="shared" si="95"/>
        <v>32</v>
      </c>
      <c r="J548" s="18" t="str">
        <f t="shared" si="90"/>
        <v>(546,32)</v>
      </c>
      <c r="K548" s="17">
        <f>COUNTIFS(Sheet1!$C:$C,Feuil1!K$1,Sheet1!$D:$D,Feuil1!$C548)</f>
        <v>0</v>
      </c>
      <c r="L548" s="6">
        <f t="shared" si="96"/>
        <v>7</v>
      </c>
      <c r="M548" s="18" t="str">
        <f t="shared" si="91"/>
        <v>(546,7)</v>
      </c>
      <c r="N548" s="17">
        <f>COUNTIFS(Sheet1!$C:$C,Feuil1!N$1,Sheet1!$D:$D,Feuil1!$C548)</f>
        <v>0</v>
      </c>
      <c r="O548" s="6">
        <f t="shared" si="97"/>
        <v>797</v>
      </c>
      <c r="P548" s="18" t="str">
        <f t="shared" si="92"/>
        <v>(546,797)</v>
      </c>
    </row>
    <row r="549" spans="1:16" hidden="1" x14ac:dyDescent="0.2">
      <c r="A549" s="4">
        <f t="shared" si="98"/>
        <v>547</v>
      </c>
      <c r="B549" s="4"/>
      <c r="C549" s="7">
        <f t="shared" si="99"/>
        <v>45777</v>
      </c>
      <c r="D549" s="11" t="str">
        <f t="shared" si="93"/>
        <v>{2025-04-30},</v>
      </c>
      <c r="E549" s="17">
        <f>COUNTIFS(Sheet1!$C:$C,Feuil1!E$1,Sheet1!$D:$D,Feuil1!$C549)</f>
        <v>0</v>
      </c>
      <c r="F549" s="6">
        <f t="shared" si="100"/>
        <v>164</v>
      </c>
      <c r="G549" s="18" t="str">
        <f t="shared" si="94"/>
        <v>(547,164)</v>
      </c>
      <c r="H549" s="17">
        <f>COUNTIFS(Sheet1!$C:$C,Feuil1!H$1,Sheet1!$D:$D,Feuil1!$C549)</f>
        <v>0</v>
      </c>
      <c r="I549" s="6">
        <f t="shared" si="95"/>
        <v>32</v>
      </c>
      <c r="J549" s="18" t="str">
        <f t="shared" si="90"/>
        <v>(547,32)</v>
      </c>
      <c r="K549" s="17">
        <f>COUNTIFS(Sheet1!$C:$C,Feuil1!K$1,Sheet1!$D:$D,Feuil1!$C549)</f>
        <v>0</v>
      </c>
      <c r="L549" s="6">
        <f t="shared" si="96"/>
        <v>7</v>
      </c>
      <c r="M549" s="18" t="str">
        <f t="shared" si="91"/>
        <v>(547,7)</v>
      </c>
      <c r="N549" s="17">
        <f>COUNTIFS(Sheet1!$C:$C,Feuil1!N$1,Sheet1!$D:$D,Feuil1!$C549)</f>
        <v>0</v>
      </c>
      <c r="O549" s="6">
        <f t="shared" si="97"/>
        <v>797</v>
      </c>
      <c r="P549" s="18" t="str">
        <f t="shared" si="92"/>
        <v>(547,797)</v>
      </c>
    </row>
    <row r="550" spans="1:16" ht="16" hidden="1" thickBot="1" x14ac:dyDescent="0.25">
      <c r="A550" s="4">
        <f t="shared" si="98"/>
        <v>548</v>
      </c>
      <c r="B550" s="4"/>
      <c r="C550" s="5">
        <f t="shared" si="99"/>
        <v>45778</v>
      </c>
      <c r="D550" s="11" t="str">
        <f t="shared" si="93"/>
        <v>{2025-05-01},</v>
      </c>
      <c r="E550" s="19">
        <f>COUNTIFS(Sheet1!$C:$C,Feuil1!E$1,Sheet1!$D:$D,Feuil1!$C550)</f>
        <v>0</v>
      </c>
      <c r="F550" s="20">
        <f t="shared" si="100"/>
        <v>164</v>
      </c>
      <c r="G550" s="21" t="str">
        <f t="shared" si="94"/>
        <v>(548,164)</v>
      </c>
      <c r="H550" s="19">
        <f>COUNTIFS(Sheet1!$C:$C,Feuil1!H$1,Sheet1!$D:$D,Feuil1!$C550)</f>
        <v>0</v>
      </c>
      <c r="I550" s="20">
        <f t="shared" si="95"/>
        <v>32</v>
      </c>
      <c r="J550" s="21" t="str">
        <f t="shared" si="90"/>
        <v>(548,32)</v>
      </c>
      <c r="K550" s="19">
        <f>COUNTIFS(Sheet1!$C:$C,Feuil1!K$1,Sheet1!$D:$D,Feuil1!$C550)</f>
        <v>0</v>
      </c>
      <c r="L550" s="20">
        <f t="shared" si="96"/>
        <v>7</v>
      </c>
      <c r="M550" s="21" t="str">
        <f t="shared" si="91"/>
        <v>(548,7)</v>
      </c>
      <c r="N550" s="19">
        <f>COUNTIFS(Sheet1!$C:$C,Feuil1!N$1,Sheet1!$D:$D,Feuil1!$C550)</f>
        <v>0</v>
      </c>
      <c r="O550" s="20">
        <f t="shared" si="97"/>
        <v>797</v>
      </c>
      <c r="P550" s="21" t="str">
        <f t="shared" si="92"/>
        <v>(548,797)</v>
      </c>
    </row>
  </sheetData>
  <autoFilter ref="A2:P550" xr:uid="{646692D7-AECC-5B45-89D1-9BCE6393434F}">
    <filterColumn colId="1">
      <colorFilter dxfId="0" cellColor="0"/>
    </filterColumn>
  </autoFilter>
  <mergeCells count="4">
    <mergeCell ref="E1:G1"/>
    <mergeCell ref="H1:J1"/>
    <mergeCell ref="K1:M1"/>
    <mergeCell ref="N1:P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2025-11-03T12:29:50Z</dcterms:created>
  <dcterms:modified xsi:type="dcterms:W3CDTF">2025-11-16T02:41:33Z</dcterms:modified>
</cp:coreProperties>
</file>