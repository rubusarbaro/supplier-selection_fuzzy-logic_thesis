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rubusarbaro/.pyProjects/supplier-selection_fuzzy-logic_thesis/Results/Scenario1/"/>
    </mc:Choice>
  </mc:AlternateContent>
  <xr:revisionPtr revIDLastSave="0" documentId="13_ncr:1_{F927872C-0350-1446-A1D1-EF41A68275F1}" xr6:coauthVersionLast="47" xr6:coauthVersionMax="47" xr10:uidLastSave="{00000000-0000-0000-0000-000000000000}"/>
  <bookViews>
    <workbookView xWindow="0" yWindow="620" windowWidth="25600" windowHeight="13780" activeTab="1" xr2:uid="{00000000-000D-0000-FFFF-FFFF00000000}"/>
  </bookViews>
  <sheets>
    <sheet name="Raw data" sheetId="1" r:id="rId1"/>
    <sheet name="Feuil1" sheetId="2" r:id="rId2"/>
  </sheets>
  <definedNames>
    <definedName name="_xlnm._FilterDatabase" localSheetId="0" hidden="1">'Raw data'!$A$1:$Z$1560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K3" i="2"/>
  <c r="J3" i="2"/>
  <c r="I3" i="2"/>
  <c r="L2" i="2"/>
  <c r="K2" i="2"/>
  <c r="J2" i="2"/>
  <c r="I2" i="2"/>
  <c r="F105" i="2" a="1"/>
  <c r="F105" i="2" s="1"/>
  <c r="F104" i="2"/>
  <c r="E105" i="2" a="1"/>
  <c r="E105" i="2" s="1"/>
  <c r="D105" i="2" a="1"/>
  <c r="D105" i="2" s="1"/>
  <c r="C105" i="2" a="1"/>
  <c r="C105" i="2" s="1"/>
  <c r="E104" i="2"/>
  <c r="D104" i="2"/>
  <c r="C104" i="2"/>
  <c r="B105" i="2" a="1"/>
  <c r="B105" i="2" s="1"/>
  <c r="B104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E101" i="2"/>
  <c r="D101" i="2"/>
  <c r="C101" i="2"/>
  <c r="B101" i="2"/>
  <c r="E100" i="2"/>
  <c r="D100" i="2"/>
  <c r="C100" i="2"/>
  <c r="B100" i="2"/>
  <c r="E99" i="2"/>
  <c r="D99" i="2"/>
  <c r="C99" i="2"/>
  <c r="B99" i="2"/>
  <c r="E98" i="2"/>
  <c r="D98" i="2"/>
  <c r="C98" i="2"/>
  <c r="B98" i="2"/>
  <c r="E97" i="2"/>
  <c r="D97" i="2"/>
  <c r="C97" i="2"/>
  <c r="B97" i="2"/>
  <c r="E96" i="2"/>
  <c r="D96" i="2"/>
  <c r="C96" i="2"/>
  <c r="B96" i="2"/>
  <c r="E95" i="2"/>
  <c r="D95" i="2"/>
  <c r="C95" i="2"/>
  <c r="B95" i="2"/>
  <c r="E94" i="2"/>
  <c r="D94" i="2"/>
  <c r="C94" i="2"/>
  <c r="B94" i="2"/>
  <c r="E93" i="2"/>
  <c r="D93" i="2"/>
  <c r="C93" i="2"/>
  <c r="B93" i="2"/>
  <c r="E92" i="2"/>
  <c r="D92" i="2"/>
  <c r="C92" i="2"/>
  <c r="B92" i="2"/>
  <c r="E91" i="2"/>
  <c r="D91" i="2"/>
  <c r="C91" i="2"/>
  <c r="B91" i="2"/>
  <c r="E90" i="2"/>
  <c r="D90" i="2"/>
  <c r="C90" i="2"/>
  <c r="B90" i="2"/>
  <c r="E89" i="2"/>
  <c r="D89" i="2"/>
  <c r="C89" i="2"/>
  <c r="B89" i="2"/>
  <c r="E88" i="2"/>
  <c r="D88" i="2"/>
  <c r="C88" i="2"/>
  <c r="B88" i="2"/>
  <c r="E87" i="2"/>
  <c r="D87" i="2"/>
  <c r="C87" i="2"/>
  <c r="B87" i="2"/>
  <c r="E86" i="2"/>
  <c r="D86" i="2"/>
  <c r="C86" i="2"/>
  <c r="B86" i="2"/>
  <c r="E85" i="2"/>
  <c r="D85" i="2"/>
  <c r="C85" i="2"/>
  <c r="B85" i="2"/>
  <c r="E84" i="2"/>
  <c r="D84" i="2"/>
  <c r="C84" i="2"/>
  <c r="B84" i="2"/>
  <c r="E83" i="2"/>
  <c r="D83" i="2"/>
  <c r="C83" i="2"/>
  <c r="B83" i="2"/>
  <c r="E82" i="2"/>
  <c r="D82" i="2"/>
  <c r="C82" i="2"/>
  <c r="B82" i="2"/>
  <c r="E81" i="2"/>
  <c r="D81" i="2"/>
  <c r="C81" i="2"/>
  <c r="B81" i="2"/>
  <c r="E80" i="2"/>
  <c r="D80" i="2"/>
  <c r="C80" i="2"/>
  <c r="B80" i="2"/>
  <c r="E79" i="2"/>
  <c r="D79" i="2"/>
  <c r="C79" i="2"/>
  <c r="B79" i="2"/>
  <c r="E78" i="2"/>
  <c r="D78" i="2"/>
  <c r="C78" i="2"/>
  <c r="B78" i="2"/>
  <c r="E77" i="2"/>
  <c r="D77" i="2"/>
  <c r="C77" i="2"/>
  <c r="B77" i="2"/>
  <c r="E76" i="2"/>
  <c r="D76" i="2"/>
  <c r="C76" i="2"/>
  <c r="B76" i="2"/>
  <c r="E75" i="2"/>
  <c r="D75" i="2"/>
  <c r="C75" i="2"/>
  <c r="B75" i="2"/>
  <c r="E74" i="2"/>
  <c r="D74" i="2"/>
  <c r="C74" i="2"/>
  <c r="B74" i="2"/>
  <c r="E73" i="2"/>
  <c r="D73" i="2"/>
  <c r="C73" i="2"/>
  <c r="B73" i="2"/>
  <c r="E72" i="2"/>
  <c r="D72" i="2"/>
  <c r="C72" i="2"/>
  <c r="B72" i="2"/>
  <c r="E71" i="2"/>
  <c r="D71" i="2"/>
  <c r="C71" i="2"/>
  <c r="B71" i="2"/>
  <c r="E70" i="2"/>
  <c r="D70" i="2"/>
  <c r="C70" i="2"/>
  <c r="B70" i="2"/>
  <c r="E69" i="2"/>
  <c r="D69" i="2"/>
  <c r="C69" i="2"/>
  <c r="B69" i="2"/>
  <c r="E68" i="2"/>
  <c r="D68" i="2"/>
  <c r="C68" i="2"/>
  <c r="B68" i="2"/>
  <c r="E67" i="2"/>
  <c r="D67" i="2"/>
  <c r="C67" i="2"/>
  <c r="B67" i="2"/>
  <c r="E66" i="2"/>
  <c r="D66" i="2"/>
  <c r="C66" i="2"/>
  <c r="B66" i="2"/>
  <c r="E65" i="2"/>
  <c r="D65" i="2"/>
  <c r="C65" i="2"/>
  <c r="B65" i="2"/>
  <c r="E64" i="2"/>
  <c r="D64" i="2"/>
  <c r="C64" i="2"/>
  <c r="B64" i="2"/>
  <c r="E63" i="2"/>
  <c r="D63" i="2"/>
  <c r="C63" i="2"/>
  <c r="B63" i="2"/>
  <c r="E62" i="2"/>
  <c r="D62" i="2"/>
  <c r="C62" i="2"/>
  <c r="B62" i="2"/>
  <c r="E61" i="2"/>
  <c r="D61" i="2"/>
  <c r="C61" i="2"/>
  <c r="B61" i="2"/>
  <c r="E60" i="2"/>
  <c r="D60" i="2"/>
  <c r="C60" i="2"/>
  <c r="B60" i="2"/>
  <c r="E59" i="2"/>
  <c r="D59" i="2"/>
  <c r="C59" i="2"/>
  <c r="B59" i="2"/>
  <c r="E58" i="2"/>
  <c r="D58" i="2"/>
  <c r="C58" i="2"/>
  <c r="B58" i="2"/>
  <c r="E57" i="2"/>
  <c r="D57" i="2"/>
  <c r="C57" i="2"/>
  <c r="B57" i="2"/>
  <c r="E56" i="2"/>
  <c r="D56" i="2"/>
  <c r="C56" i="2"/>
  <c r="B56" i="2"/>
  <c r="E55" i="2"/>
  <c r="D55" i="2"/>
  <c r="C55" i="2"/>
  <c r="B55" i="2"/>
  <c r="E54" i="2"/>
  <c r="D54" i="2"/>
  <c r="C54" i="2"/>
  <c r="B54" i="2"/>
  <c r="E53" i="2"/>
  <c r="D53" i="2"/>
  <c r="C53" i="2"/>
  <c r="B53" i="2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E2" i="2"/>
  <c r="D2" i="2"/>
  <c r="B2" i="2"/>
  <c r="C2" i="2"/>
  <c r="F2" i="2" l="1"/>
  <c r="E102" i="2"/>
  <c r="E103" i="2"/>
  <c r="D103" i="2"/>
  <c r="D102" i="2"/>
  <c r="C102" i="2"/>
  <c r="C103" i="2"/>
  <c r="B102" i="2"/>
  <c r="F103" i="2"/>
  <c r="B103" i="2"/>
  <c r="F10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<sst xmlns="http://schemas.openxmlformats.org/spreadsheetml/2006/main" count="3153" uniqueCount="44">
  <si>
    <t>Iteration</t>
  </si>
  <si>
    <t>ECN</t>
  </si>
  <si>
    <t>Supplier ID</t>
  </si>
  <si>
    <t>New supplier</t>
  </si>
  <si>
    <t>Rule 1</t>
  </si>
  <si>
    <t>Rule 2</t>
  </si>
  <si>
    <t>Rule 3</t>
  </si>
  <si>
    <t>Rule 4</t>
  </si>
  <si>
    <t>Rule 5</t>
  </si>
  <si>
    <t>Rule 6</t>
  </si>
  <si>
    <t>Rule 7</t>
  </si>
  <si>
    <t>Rule 8</t>
  </si>
  <si>
    <t>Rule 9</t>
  </si>
  <si>
    <t>Rule 10</t>
  </si>
  <si>
    <t>Rule 11</t>
  </si>
  <si>
    <t>Rule 12</t>
  </si>
  <si>
    <t>Rule 13</t>
  </si>
  <si>
    <t>Rule 14</t>
  </si>
  <si>
    <t>Rule 15</t>
  </si>
  <si>
    <t>Rule 16</t>
  </si>
  <si>
    <t>Rule 17</t>
  </si>
  <si>
    <t>Rule 18</t>
  </si>
  <si>
    <t>Score</t>
  </si>
  <si>
    <t>Wait</t>
  </si>
  <si>
    <t>Implement</t>
  </si>
  <si>
    <t>Action</t>
  </si>
  <si>
    <t>ECN0000302</t>
  </si>
  <si>
    <t>ECN0000305</t>
  </si>
  <si>
    <t>ECN0000301</t>
  </si>
  <si>
    <t>ECN0000304</t>
  </si>
  <si>
    <t>ECN0000306</t>
  </si>
  <si>
    <t>ECN0000303</t>
  </si>
  <si>
    <t>ECN0000308</t>
  </si>
  <si>
    <t>ECN0000309</t>
  </si>
  <si>
    <t>ECN0000307</t>
  </si>
  <si>
    <t>ECN0000310</t>
  </si>
  <si>
    <t>Iteración</t>
  </si>
  <si>
    <t>Total</t>
  </si>
  <si>
    <t>Con AVG</t>
  </si>
  <si>
    <t>Con STDV</t>
  </si>
  <si>
    <t>Ind AVG</t>
  </si>
  <si>
    <t>Ind STDV</t>
  </si>
  <si>
    <t>wait</t>
  </si>
  <si>
    <t>implement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</si>
</sst>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right"/>
    </xf>
    <xf numFmtId="0" fontId="0" fillId="2" borderId="1" xfId="0" applyFill="1" applyBorder="1"/>
    <xf numFmtId="0" fontId="2" fillId="2" borderId="1" xfId="0" applyFont="1" applyFill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0" fillId="0" borderId="0" xfId="0" applyNumberFormat="1"/>
    <xf numFmtId="0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560"/>
  <sheetViews>
    <sheetView topLeftCell="M1" workbookViewId="0">
      <selection sqref="A1:Z1"/>
    </sheetView>
  </sheetViews>
  <sheetFormatPr baseColWidth="10" defaultColWidth="8.83203125" defaultRowHeight="15" x14ac:dyDescent="0.2"/>
  <cols>
    <col min="1" max="1" width="8" bestFit="1" customWidth="1"/>
    <col min="2" max="2" width="11.1640625" bestFit="1" customWidth="1"/>
    <col min="3" max="3" width="9.6640625" bestFit="1" customWidth="1"/>
    <col min="4" max="4" width="11.33203125" bestFit="1" customWidth="1"/>
    <col min="5" max="25" width="12.1640625" bestFit="1" customWidth="1"/>
    <col min="26" max="26" width="9.5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>
        <v>1</v>
      </c>
      <c r="B2" t="s">
        <v>26</v>
      </c>
      <c r="C2" s="10">
        <v>10000082</v>
      </c>
      <c r="D2" t="b">
        <v>1</v>
      </c>
      <c r="F2">
        <v>0</v>
      </c>
      <c r="G2">
        <v>0</v>
      </c>
      <c r="H2">
        <v>0</v>
      </c>
      <c r="I2">
        <v>0</v>
      </c>
      <c r="J2">
        <v>1</v>
      </c>
      <c r="W2">
        <v>3.1666666666666679</v>
      </c>
      <c r="X2">
        <v>1</v>
      </c>
      <c r="Y2">
        <v>0</v>
      </c>
      <c r="Z2" t="s">
        <v>23</v>
      </c>
    </row>
    <row r="3" spans="1:26" x14ac:dyDescent="0.2">
      <c r="A3">
        <v>1</v>
      </c>
      <c r="B3" t="s">
        <v>26</v>
      </c>
      <c r="C3" s="10">
        <v>10000073</v>
      </c>
      <c r="D3" t="b">
        <v>1</v>
      </c>
      <c r="E3">
        <v>0</v>
      </c>
      <c r="F3">
        <v>0</v>
      </c>
      <c r="G3">
        <v>0</v>
      </c>
      <c r="H3">
        <v>0</v>
      </c>
      <c r="I3">
        <v>0.56863916504108691</v>
      </c>
      <c r="J3">
        <v>0.25379740519518401</v>
      </c>
      <c r="W3">
        <v>5.786407916072358</v>
      </c>
      <c r="X3">
        <v>0.25379740519518401</v>
      </c>
      <c r="Y3">
        <v>0.56863916504108691</v>
      </c>
      <c r="Z3" t="s">
        <v>24</v>
      </c>
    </row>
    <row r="4" spans="1:26" x14ac:dyDescent="0.2">
      <c r="A4">
        <v>1</v>
      </c>
      <c r="B4" t="s">
        <v>27</v>
      </c>
      <c r="C4" s="10">
        <v>10000082</v>
      </c>
      <c r="D4" t="b">
        <v>1</v>
      </c>
      <c r="F4">
        <v>0</v>
      </c>
      <c r="G4">
        <v>0</v>
      </c>
      <c r="H4">
        <v>0</v>
      </c>
      <c r="I4">
        <v>0</v>
      </c>
      <c r="J4">
        <v>0.93953983303412125</v>
      </c>
      <c r="W4">
        <v>3.1666666666666679</v>
      </c>
      <c r="X4">
        <v>1</v>
      </c>
      <c r="Y4">
        <v>0</v>
      </c>
      <c r="Z4" t="s">
        <v>23</v>
      </c>
    </row>
    <row r="5" spans="1:26" x14ac:dyDescent="0.2">
      <c r="A5">
        <v>1</v>
      </c>
      <c r="B5" t="s">
        <v>27</v>
      </c>
      <c r="C5" s="10">
        <v>10000033</v>
      </c>
      <c r="D5" t="b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0.29659822106387368</v>
      </c>
      <c r="Q5">
        <v>0</v>
      </c>
      <c r="R5">
        <v>0.10226786247212361</v>
      </c>
      <c r="S5">
        <v>0</v>
      </c>
      <c r="T5">
        <v>0.10226786247212361</v>
      </c>
      <c r="U5">
        <v>0</v>
      </c>
      <c r="V5">
        <v>0.70340177893612632</v>
      </c>
      <c r="W5">
        <v>6.3805774486423532</v>
      </c>
      <c r="X5">
        <v>0.10226786247212361</v>
      </c>
      <c r="Y5">
        <v>0.70340177893612632</v>
      </c>
      <c r="Z5" t="s">
        <v>24</v>
      </c>
    </row>
    <row r="6" spans="1:26" x14ac:dyDescent="0.2">
      <c r="A6">
        <v>1</v>
      </c>
      <c r="B6" t="s">
        <v>28</v>
      </c>
      <c r="C6" s="10">
        <v>10000082</v>
      </c>
      <c r="D6" t="b">
        <v>1</v>
      </c>
      <c r="F6">
        <v>0</v>
      </c>
      <c r="G6">
        <v>0</v>
      </c>
      <c r="H6">
        <v>0</v>
      </c>
      <c r="I6">
        <v>0</v>
      </c>
      <c r="J6">
        <v>1</v>
      </c>
      <c r="W6">
        <v>3.1666666666666679</v>
      </c>
      <c r="X6">
        <v>1</v>
      </c>
      <c r="Y6">
        <v>0</v>
      </c>
      <c r="Z6" t="s">
        <v>23</v>
      </c>
    </row>
    <row r="7" spans="1:26" x14ac:dyDescent="0.2">
      <c r="A7">
        <v>1</v>
      </c>
      <c r="B7" t="s">
        <v>28</v>
      </c>
      <c r="C7" s="10">
        <v>10000073</v>
      </c>
      <c r="D7" t="b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0.4235126467207001</v>
      </c>
      <c r="P7">
        <v>0</v>
      </c>
      <c r="Q7">
        <v>0.25867142159714451</v>
      </c>
      <c r="R7">
        <v>0</v>
      </c>
      <c r="S7">
        <v>0.25867142159714451</v>
      </c>
      <c r="T7">
        <v>0</v>
      </c>
      <c r="U7">
        <v>0.5764873532792999</v>
      </c>
      <c r="V7">
        <v>0</v>
      </c>
      <c r="W7">
        <v>5.7846402296038368</v>
      </c>
      <c r="X7">
        <v>0.25867142159714451</v>
      </c>
      <c r="Y7">
        <v>0.5764873532792999</v>
      </c>
      <c r="Z7" t="s">
        <v>24</v>
      </c>
    </row>
    <row r="8" spans="1:26" x14ac:dyDescent="0.2">
      <c r="A8">
        <v>1</v>
      </c>
      <c r="B8" t="s">
        <v>29</v>
      </c>
      <c r="C8" s="10">
        <v>10000033</v>
      </c>
      <c r="D8" t="b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0.29957660420286047</v>
      </c>
      <c r="Q8">
        <v>0</v>
      </c>
      <c r="R8">
        <v>0.11606382391690589</v>
      </c>
      <c r="S8">
        <v>0</v>
      </c>
      <c r="T8">
        <v>0.11606382391690589</v>
      </c>
      <c r="U8">
        <v>0</v>
      </c>
      <c r="V8">
        <v>0.70042339579713953</v>
      </c>
      <c r="W8">
        <v>6.3393957552839701</v>
      </c>
      <c r="X8">
        <v>0.11606382391690589</v>
      </c>
      <c r="Y8">
        <v>0.70042339579713953</v>
      </c>
      <c r="Z8" t="s">
        <v>24</v>
      </c>
    </row>
    <row r="9" spans="1:26" x14ac:dyDescent="0.2">
      <c r="A9">
        <v>1</v>
      </c>
      <c r="B9" t="s">
        <v>30</v>
      </c>
      <c r="C9" s="10">
        <v>10000073</v>
      </c>
      <c r="D9" t="b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0.42616332728710232</v>
      </c>
      <c r="P9">
        <v>0</v>
      </c>
      <c r="Q9">
        <v>0.2778573165897989</v>
      </c>
      <c r="R9">
        <v>0</v>
      </c>
      <c r="S9">
        <v>0.2778573165897989</v>
      </c>
      <c r="T9">
        <v>0</v>
      </c>
      <c r="U9">
        <v>0.57383667271289773</v>
      </c>
      <c r="V9">
        <v>0</v>
      </c>
      <c r="W9">
        <v>5.7260568114966732</v>
      </c>
      <c r="X9">
        <v>0.2778573165897989</v>
      </c>
      <c r="Y9">
        <v>0.57383667271289773</v>
      </c>
      <c r="Z9" t="s">
        <v>24</v>
      </c>
    </row>
    <row r="10" spans="1:26" x14ac:dyDescent="0.2">
      <c r="A10">
        <v>1</v>
      </c>
      <c r="B10" t="s">
        <v>31</v>
      </c>
      <c r="C10" s="10">
        <v>10000082</v>
      </c>
      <c r="D10" t="b">
        <v>1</v>
      </c>
      <c r="F10">
        <v>0</v>
      </c>
      <c r="G10">
        <v>0</v>
      </c>
      <c r="H10">
        <v>0</v>
      </c>
      <c r="I10">
        <v>0</v>
      </c>
      <c r="J10">
        <v>0.99541878414554064</v>
      </c>
      <c r="W10">
        <v>3.1666666666666679</v>
      </c>
      <c r="X10">
        <v>1</v>
      </c>
      <c r="Y10">
        <v>0</v>
      </c>
      <c r="Z10" t="s">
        <v>23</v>
      </c>
    </row>
    <row r="11" spans="1:26" x14ac:dyDescent="0.2">
      <c r="A11">
        <v>1</v>
      </c>
      <c r="B11" t="s">
        <v>32</v>
      </c>
      <c r="C11" s="10">
        <v>10000033</v>
      </c>
      <c r="D11" t="b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0.30536342649625242</v>
      </c>
      <c r="Q11">
        <v>0</v>
      </c>
      <c r="R11">
        <v>0.13682096648841899</v>
      </c>
      <c r="S11">
        <v>0</v>
      </c>
      <c r="T11">
        <v>0.13682096648841899</v>
      </c>
      <c r="U11">
        <v>0</v>
      </c>
      <c r="V11">
        <v>0.69463657350374763</v>
      </c>
      <c r="W11">
        <v>6.2762002575200313</v>
      </c>
      <c r="X11">
        <v>0.13682096648841899</v>
      </c>
      <c r="Y11">
        <v>0.69463657350374763</v>
      </c>
      <c r="Z11" t="s">
        <v>24</v>
      </c>
    </row>
    <row r="12" spans="1:26" x14ac:dyDescent="0.2">
      <c r="A12">
        <v>1</v>
      </c>
      <c r="B12" t="s">
        <v>31</v>
      </c>
      <c r="C12" s="10">
        <v>10000073</v>
      </c>
      <c r="D12" t="b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0.42858597534008952</v>
      </c>
      <c r="P12">
        <v>0</v>
      </c>
      <c r="Q12">
        <v>0.28023534500168068</v>
      </c>
      <c r="R12">
        <v>0</v>
      </c>
      <c r="S12">
        <v>0.28023534500168068</v>
      </c>
      <c r="T12">
        <v>0</v>
      </c>
      <c r="U12">
        <v>0.57141402465991054</v>
      </c>
      <c r="V12">
        <v>0</v>
      </c>
      <c r="W12">
        <v>5.7154444205515054</v>
      </c>
      <c r="X12">
        <v>0.28023534500168068</v>
      </c>
      <c r="Y12">
        <v>0.57141402465991054</v>
      </c>
      <c r="Z12" t="s">
        <v>24</v>
      </c>
    </row>
    <row r="13" spans="1:26" x14ac:dyDescent="0.2">
      <c r="A13">
        <v>1</v>
      </c>
      <c r="B13" t="s">
        <v>33</v>
      </c>
      <c r="C13" s="10">
        <v>10000033</v>
      </c>
      <c r="D13" t="b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0.3142730260011497</v>
      </c>
      <c r="Q13">
        <v>0</v>
      </c>
      <c r="R13">
        <v>0.13682096648841899</v>
      </c>
      <c r="S13">
        <v>0</v>
      </c>
      <c r="T13">
        <v>0.13682096648841899</v>
      </c>
      <c r="U13">
        <v>0</v>
      </c>
      <c r="V13">
        <v>0.6857269739988503</v>
      </c>
      <c r="W13">
        <v>6.2674263322939154</v>
      </c>
      <c r="X13">
        <v>0.13682096648841899</v>
      </c>
      <c r="Y13">
        <v>0.6857269739988503</v>
      </c>
      <c r="Z13" t="s">
        <v>24</v>
      </c>
    </row>
    <row r="14" spans="1:26" x14ac:dyDescent="0.2">
      <c r="A14">
        <v>1</v>
      </c>
      <c r="B14" t="s">
        <v>34</v>
      </c>
      <c r="C14" s="10">
        <v>10000033</v>
      </c>
      <c r="D14" t="b">
        <v>0</v>
      </c>
      <c r="E14">
        <v>0</v>
      </c>
      <c r="F14">
        <v>0</v>
      </c>
      <c r="G14">
        <v>0</v>
      </c>
      <c r="H14">
        <v>0.26666666666666672</v>
      </c>
      <c r="I14">
        <v>0</v>
      </c>
      <c r="J14">
        <v>0.26666666666666672</v>
      </c>
      <c r="K14">
        <v>0</v>
      </c>
      <c r="L14">
        <v>0.66753638898304657</v>
      </c>
      <c r="M14">
        <v>0.17643580219068691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6.1376513229342233</v>
      </c>
      <c r="X14">
        <v>0.17643580219068691</v>
      </c>
      <c r="Y14">
        <v>0.66753638898304657</v>
      </c>
      <c r="Z14" t="s">
        <v>24</v>
      </c>
    </row>
    <row r="15" spans="1:26" x14ac:dyDescent="0.2">
      <c r="A15">
        <v>1</v>
      </c>
      <c r="B15" t="s">
        <v>35</v>
      </c>
      <c r="C15" s="10">
        <v>10000082</v>
      </c>
      <c r="D15" t="b">
        <v>1</v>
      </c>
      <c r="F15">
        <v>0</v>
      </c>
      <c r="G15">
        <v>0.99435064673409279</v>
      </c>
      <c r="H15">
        <v>0</v>
      </c>
      <c r="I15">
        <v>0</v>
      </c>
      <c r="J15">
        <v>0</v>
      </c>
      <c r="W15">
        <v>4.9954152176200939</v>
      </c>
      <c r="X15">
        <v>1</v>
      </c>
      <c r="Y15">
        <v>0.99435064673409279</v>
      </c>
      <c r="Z15" t="s">
        <v>23</v>
      </c>
    </row>
    <row r="16" spans="1:26" x14ac:dyDescent="0.2">
      <c r="A16">
        <v>1</v>
      </c>
      <c r="B16" t="s">
        <v>35</v>
      </c>
      <c r="C16" s="10">
        <v>10000033</v>
      </c>
      <c r="D16" t="b">
        <v>0</v>
      </c>
      <c r="E16">
        <v>0</v>
      </c>
      <c r="F16">
        <v>0</v>
      </c>
      <c r="G16">
        <v>0</v>
      </c>
      <c r="H16">
        <v>0.66253443694349334</v>
      </c>
      <c r="I16">
        <v>0</v>
      </c>
      <c r="J16">
        <v>0.33746556305650671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6.6494668121523919</v>
      </c>
      <c r="X16">
        <v>0</v>
      </c>
      <c r="Y16">
        <v>0.66253443694349334</v>
      </c>
      <c r="Z16" t="s">
        <v>24</v>
      </c>
    </row>
    <row r="17" spans="1:26" hidden="1" x14ac:dyDescent="0.2">
      <c r="A17">
        <v>2</v>
      </c>
      <c r="B17" t="s">
        <v>35</v>
      </c>
      <c r="C17" s="10">
        <v>10000082</v>
      </c>
      <c r="D17" t="b">
        <v>1</v>
      </c>
      <c r="F17">
        <v>0</v>
      </c>
      <c r="G17">
        <v>0</v>
      </c>
      <c r="H17">
        <v>0</v>
      </c>
      <c r="I17">
        <v>0.26014481724497912</v>
      </c>
      <c r="J17">
        <v>0.73985518275502082</v>
      </c>
      <c r="W17">
        <v>3.737547274538934</v>
      </c>
      <c r="X17">
        <v>1</v>
      </c>
      <c r="Y17">
        <v>0.26014481724497912</v>
      </c>
      <c r="Z17" t="s">
        <v>23</v>
      </c>
    </row>
    <row r="18" spans="1:26" hidden="1" x14ac:dyDescent="0.2">
      <c r="A18">
        <v>2</v>
      </c>
      <c r="B18" t="s">
        <v>35</v>
      </c>
      <c r="C18" s="10">
        <v>10000073</v>
      </c>
      <c r="D18" t="b">
        <v>1</v>
      </c>
      <c r="E18">
        <v>0</v>
      </c>
      <c r="F18">
        <v>0</v>
      </c>
      <c r="G18">
        <v>0</v>
      </c>
      <c r="H18">
        <v>0</v>
      </c>
      <c r="I18">
        <v>0.56863916504108691</v>
      </c>
      <c r="J18">
        <v>0.24632898374987661</v>
      </c>
      <c r="W18">
        <v>5.8080504092418694</v>
      </c>
      <c r="X18">
        <v>0.24632898374987661</v>
      </c>
      <c r="Y18">
        <v>0.56863916504108691</v>
      </c>
      <c r="Z18" t="s">
        <v>24</v>
      </c>
    </row>
    <row r="19" spans="1:26" hidden="1" x14ac:dyDescent="0.2">
      <c r="A19">
        <v>2</v>
      </c>
      <c r="B19" t="s">
        <v>34</v>
      </c>
      <c r="C19" s="10">
        <v>10000047</v>
      </c>
      <c r="D19" t="b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0.75784000114637862</v>
      </c>
      <c r="P19">
        <v>0</v>
      </c>
      <c r="Q19">
        <v>0.2421599988536213</v>
      </c>
      <c r="R19">
        <v>0</v>
      </c>
      <c r="S19">
        <v>0</v>
      </c>
      <c r="T19">
        <v>0</v>
      </c>
      <c r="U19">
        <v>0</v>
      </c>
      <c r="V19">
        <v>0</v>
      </c>
      <c r="W19">
        <v>6.0669175593204674</v>
      </c>
      <c r="X19">
        <v>0.2421599988536213</v>
      </c>
      <c r="Y19">
        <v>0.75784000114637862</v>
      </c>
      <c r="Z19" t="s">
        <v>24</v>
      </c>
    </row>
    <row r="20" spans="1:26" hidden="1" x14ac:dyDescent="0.2">
      <c r="A20">
        <v>2</v>
      </c>
      <c r="B20" t="s">
        <v>27</v>
      </c>
      <c r="C20" s="10">
        <v>10000073</v>
      </c>
      <c r="D20" t="b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0.44676320916966461</v>
      </c>
      <c r="P20">
        <v>0.32201488387181082</v>
      </c>
      <c r="Q20">
        <v>0</v>
      </c>
      <c r="R20">
        <v>0</v>
      </c>
      <c r="S20">
        <v>0</v>
      </c>
      <c r="T20">
        <v>0</v>
      </c>
      <c r="U20">
        <v>0</v>
      </c>
      <c r="V20">
        <v>0.55323679083033539</v>
      </c>
      <c r="W20">
        <v>6.5865783466775634</v>
      </c>
      <c r="X20">
        <v>0</v>
      </c>
      <c r="Y20">
        <v>0.55323679083033539</v>
      </c>
      <c r="Z20" t="s">
        <v>24</v>
      </c>
    </row>
    <row r="21" spans="1:26" hidden="1" x14ac:dyDescent="0.2">
      <c r="A21">
        <v>2</v>
      </c>
      <c r="B21" t="s">
        <v>30</v>
      </c>
      <c r="C21" s="10">
        <v>10000082</v>
      </c>
      <c r="D21" t="b">
        <v>1</v>
      </c>
      <c r="F21">
        <v>0</v>
      </c>
      <c r="G21">
        <v>0</v>
      </c>
      <c r="H21">
        <v>0</v>
      </c>
      <c r="I21">
        <v>1</v>
      </c>
      <c r="J21">
        <v>0</v>
      </c>
      <c r="W21">
        <v>5.0025004164584352</v>
      </c>
      <c r="X21">
        <v>1</v>
      </c>
      <c r="Y21">
        <v>1</v>
      </c>
      <c r="Z21" t="s">
        <v>23</v>
      </c>
    </row>
    <row r="22" spans="1:26" hidden="1" x14ac:dyDescent="0.2">
      <c r="A22">
        <v>2</v>
      </c>
      <c r="B22" t="s">
        <v>30</v>
      </c>
      <c r="C22" s="10">
        <v>10000033</v>
      </c>
      <c r="D22" t="b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0.30873153503494583</v>
      </c>
      <c r="Q22">
        <v>0</v>
      </c>
      <c r="R22">
        <v>0.181766778706725</v>
      </c>
      <c r="S22">
        <v>0</v>
      </c>
      <c r="T22">
        <v>0.181766778706725</v>
      </c>
      <c r="U22">
        <v>0</v>
      </c>
      <c r="V22">
        <v>0.69126846496505423</v>
      </c>
      <c r="W22">
        <v>6.149359817083921</v>
      </c>
      <c r="X22">
        <v>0.181766778706725</v>
      </c>
      <c r="Y22">
        <v>0.69126846496505423</v>
      </c>
      <c r="Z22" t="s">
        <v>24</v>
      </c>
    </row>
    <row r="23" spans="1:26" hidden="1" x14ac:dyDescent="0.2">
      <c r="A23">
        <v>2</v>
      </c>
      <c r="B23" t="s">
        <v>32</v>
      </c>
      <c r="C23" s="10">
        <v>10000082</v>
      </c>
      <c r="D23" t="b">
        <v>1</v>
      </c>
      <c r="F23">
        <v>0</v>
      </c>
      <c r="G23">
        <v>0</v>
      </c>
      <c r="H23">
        <v>0</v>
      </c>
      <c r="I23">
        <v>1</v>
      </c>
      <c r="J23">
        <v>0</v>
      </c>
      <c r="W23">
        <v>5.0025004164584352</v>
      </c>
      <c r="X23">
        <v>1</v>
      </c>
      <c r="Y23">
        <v>1</v>
      </c>
      <c r="Z23" t="s">
        <v>23</v>
      </c>
    </row>
    <row r="24" spans="1:26" hidden="1" x14ac:dyDescent="0.2">
      <c r="A24">
        <v>2</v>
      </c>
      <c r="B24" t="s">
        <v>32</v>
      </c>
      <c r="C24" s="10">
        <v>10000073</v>
      </c>
      <c r="D24" t="b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0.43228830475418301</v>
      </c>
      <c r="P24">
        <v>0</v>
      </c>
      <c r="Q24">
        <v>0.37129741806857453</v>
      </c>
      <c r="R24">
        <v>0</v>
      </c>
      <c r="S24">
        <v>0.28571428571428581</v>
      </c>
      <c r="T24">
        <v>0</v>
      </c>
      <c r="U24">
        <v>0.28571428571428581</v>
      </c>
      <c r="V24">
        <v>0.56771169524581699</v>
      </c>
      <c r="W24">
        <v>5.4627858110654586</v>
      </c>
      <c r="X24">
        <v>0.37129741806857453</v>
      </c>
      <c r="Y24">
        <v>0.56771169524581699</v>
      </c>
      <c r="Z24" t="s">
        <v>24</v>
      </c>
    </row>
    <row r="25" spans="1:26" hidden="1" x14ac:dyDescent="0.2">
      <c r="A25">
        <v>2</v>
      </c>
      <c r="B25" t="s">
        <v>33</v>
      </c>
      <c r="C25" s="10">
        <v>10000082</v>
      </c>
      <c r="D25" t="b">
        <v>1</v>
      </c>
      <c r="F25">
        <v>0</v>
      </c>
      <c r="G25">
        <v>0</v>
      </c>
      <c r="H25">
        <v>0</v>
      </c>
      <c r="I25">
        <v>1</v>
      </c>
      <c r="J25">
        <v>0</v>
      </c>
      <c r="W25">
        <v>5.0025004164584352</v>
      </c>
      <c r="X25">
        <v>1</v>
      </c>
      <c r="Y25">
        <v>1</v>
      </c>
      <c r="Z25" t="s">
        <v>23</v>
      </c>
    </row>
    <row r="26" spans="1:26" hidden="1" x14ac:dyDescent="0.2">
      <c r="A26">
        <v>2</v>
      </c>
      <c r="B26" t="s">
        <v>33</v>
      </c>
      <c r="C26" s="10">
        <v>10000047</v>
      </c>
      <c r="D26" t="b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0.66548927772104483</v>
      </c>
      <c r="P26">
        <v>0.18181818181818171</v>
      </c>
      <c r="Q26">
        <v>0.33451072227895517</v>
      </c>
      <c r="R26">
        <v>0</v>
      </c>
      <c r="S26">
        <v>0</v>
      </c>
      <c r="T26">
        <v>0</v>
      </c>
      <c r="U26">
        <v>0</v>
      </c>
      <c r="V26">
        <v>0</v>
      </c>
      <c r="W26">
        <v>5.7173381896960276</v>
      </c>
      <c r="X26">
        <v>0.33451072227895517</v>
      </c>
      <c r="Y26">
        <v>0.66548927772104483</v>
      </c>
      <c r="Z26" t="s">
        <v>24</v>
      </c>
    </row>
    <row r="27" spans="1:26" hidden="1" x14ac:dyDescent="0.2">
      <c r="A27">
        <v>2</v>
      </c>
      <c r="B27" t="s">
        <v>28</v>
      </c>
      <c r="C27" s="10">
        <v>10000033</v>
      </c>
      <c r="D27" t="b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0.43333333333333329</v>
      </c>
      <c r="M27">
        <v>0.27296265376443279</v>
      </c>
      <c r="N27">
        <v>0</v>
      </c>
      <c r="O27">
        <v>0</v>
      </c>
      <c r="P27">
        <v>0.3315392819003673</v>
      </c>
      <c r="Q27">
        <v>0</v>
      </c>
      <c r="R27">
        <v>0.27296265376443279</v>
      </c>
      <c r="S27">
        <v>0</v>
      </c>
      <c r="T27">
        <v>0.27296265376443279</v>
      </c>
      <c r="U27">
        <v>0</v>
      </c>
      <c r="V27">
        <v>0.56666666666666665</v>
      </c>
      <c r="W27">
        <v>5.7283192398443727</v>
      </c>
      <c r="X27">
        <v>0.27296265376443279</v>
      </c>
      <c r="Y27">
        <v>0.56666666666666665</v>
      </c>
      <c r="Z27" t="s">
        <v>24</v>
      </c>
    </row>
    <row r="28" spans="1:26" hidden="1" x14ac:dyDescent="0.2">
      <c r="A28">
        <v>2</v>
      </c>
      <c r="B28" t="s">
        <v>31</v>
      </c>
      <c r="C28" s="10">
        <v>10000082</v>
      </c>
      <c r="D28" t="b">
        <v>1</v>
      </c>
      <c r="F28">
        <v>0</v>
      </c>
      <c r="G28">
        <v>0.78947923183242219</v>
      </c>
      <c r="H28">
        <v>0</v>
      </c>
      <c r="I28">
        <v>0</v>
      </c>
      <c r="J28">
        <v>0</v>
      </c>
      <c r="W28">
        <v>4.7111012217023314</v>
      </c>
      <c r="X28">
        <v>1</v>
      </c>
      <c r="Y28">
        <v>0.78947923183242219</v>
      </c>
      <c r="Z28" t="s">
        <v>23</v>
      </c>
    </row>
    <row r="29" spans="1:26" hidden="1" x14ac:dyDescent="0.2">
      <c r="A29">
        <v>2</v>
      </c>
      <c r="B29" t="s">
        <v>26</v>
      </c>
      <c r="C29" s="10">
        <v>10000073</v>
      </c>
      <c r="D29" t="b">
        <v>0</v>
      </c>
      <c r="E29">
        <v>0.23333333333333331</v>
      </c>
      <c r="F29">
        <v>0</v>
      </c>
      <c r="G29">
        <v>0.23333333333333331</v>
      </c>
      <c r="H29">
        <v>0</v>
      </c>
      <c r="I29">
        <v>0</v>
      </c>
      <c r="J29">
        <v>0</v>
      </c>
      <c r="K29">
        <v>0.54994801719382436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3.4178400384402639</v>
      </c>
      <c r="X29">
        <v>0.54994801719382436</v>
      </c>
      <c r="Y29">
        <v>0</v>
      </c>
      <c r="Z29" t="s">
        <v>23</v>
      </c>
    </row>
    <row r="30" spans="1:26" hidden="1" x14ac:dyDescent="0.2">
      <c r="A30">
        <v>2</v>
      </c>
      <c r="B30" t="s">
        <v>31</v>
      </c>
      <c r="C30" s="10">
        <v>10000073</v>
      </c>
      <c r="D30" t="b">
        <v>0</v>
      </c>
      <c r="E30">
        <v>0.4</v>
      </c>
      <c r="F30">
        <v>0</v>
      </c>
      <c r="G30">
        <v>0.4</v>
      </c>
      <c r="H30">
        <v>0</v>
      </c>
      <c r="I30">
        <v>0</v>
      </c>
      <c r="J30">
        <v>0</v>
      </c>
      <c r="K30">
        <v>0.54994801719382436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3.4178400384402639</v>
      </c>
      <c r="X30">
        <v>0.54994801719382436</v>
      </c>
      <c r="Y30">
        <v>0</v>
      </c>
      <c r="Z30" t="s">
        <v>23</v>
      </c>
    </row>
    <row r="31" spans="1:26" hidden="1" x14ac:dyDescent="0.2">
      <c r="A31">
        <v>2</v>
      </c>
      <c r="B31" t="s">
        <v>31</v>
      </c>
      <c r="C31" s="10">
        <v>10000033</v>
      </c>
      <c r="D31" t="b">
        <v>0</v>
      </c>
      <c r="E31">
        <v>0</v>
      </c>
      <c r="F31">
        <v>0</v>
      </c>
      <c r="G31">
        <v>0</v>
      </c>
      <c r="H31">
        <v>0.5</v>
      </c>
      <c r="I31">
        <v>0</v>
      </c>
      <c r="J31">
        <v>0.32766286525803912</v>
      </c>
      <c r="K31">
        <v>0</v>
      </c>
      <c r="L31">
        <v>0.5</v>
      </c>
      <c r="M31">
        <v>0.38418043257561851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5.2938289346969718</v>
      </c>
      <c r="X31">
        <v>0.38418043257561851</v>
      </c>
      <c r="Y31">
        <v>0.5</v>
      </c>
      <c r="Z31" t="s">
        <v>24</v>
      </c>
    </row>
    <row r="32" spans="1:26" hidden="1" x14ac:dyDescent="0.2">
      <c r="A32">
        <v>2</v>
      </c>
      <c r="B32" t="s">
        <v>26</v>
      </c>
      <c r="C32" s="10">
        <v>10000082</v>
      </c>
      <c r="D32" t="b">
        <v>1</v>
      </c>
      <c r="F32">
        <v>0</v>
      </c>
      <c r="G32">
        <v>0.6</v>
      </c>
      <c r="H32">
        <v>0</v>
      </c>
      <c r="I32">
        <v>0</v>
      </c>
      <c r="J32">
        <v>0</v>
      </c>
      <c r="W32">
        <v>4.4004238286805073</v>
      </c>
      <c r="X32">
        <v>1</v>
      </c>
      <c r="Y32">
        <v>0.6</v>
      </c>
      <c r="Z32" t="s">
        <v>23</v>
      </c>
    </row>
    <row r="33" spans="1:26" hidden="1" x14ac:dyDescent="0.2">
      <c r="A33">
        <v>2</v>
      </c>
      <c r="B33" t="s">
        <v>26</v>
      </c>
      <c r="C33" s="10">
        <v>10000033</v>
      </c>
      <c r="D33" t="b">
        <v>0</v>
      </c>
      <c r="E33">
        <v>0</v>
      </c>
      <c r="F33">
        <v>0.3278536478019608</v>
      </c>
      <c r="G33">
        <v>0.6721463521980392</v>
      </c>
      <c r="H33">
        <v>0.25</v>
      </c>
      <c r="I33">
        <v>0.3278536478019608</v>
      </c>
      <c r="J33">
        <v>0.25</v>
      </c>
      <c r="K33">
        <v>0</v>
      </c>
      <c r="L33">
        <v>0.16666666666666671</v>
      </c>
      <c r="M33">
        <v>0.16666666666666671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4.2607058376763671</v>
      </c>
      <c r="X33">
        <v>0.6721463521980392</v>
      </c>
      <c r="Y33">
        <v>0.3278536478019608</v>
      </c>
      <c r="Z33" t="s">
        <v>23</v>
      </c>
    </row>
    <row r="34" spans="1:26" hidden="1" x14ac:dyDescent="0.2">
      <c r="A34">
        <v>2</v>
      </c>
      <c r="B34" t="s">
        <v>26</v>
      </c>
      <c r="C34" s="10">
        <v>10000047</v>
      </c>
      <c r="D34" t="b">
        <v>0</v>
      </c>
      <c r="E34">
        <v>0.28571428571428581</v>
      </c>
      <c r="F34">
        <v>0</v>
      </c>
      <c r="G34">
        <v>0</v>
      </c>
      <c r="H34">
        <v>0</v>
      </c>
      <c r="I34">
        <v>0.5654637301511195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5.6902479293943866</v>
      </c>
      <c r="X34">
        <v>0.28571428571428581</v>
      </c>
      <c r="Y34">
        <v>0.5654637301511195</v>
      </c>
      <c r="Z34" t="s">
        <v>24</v>
      </c>
    </row>
    <row r="35" spans="1:26" hidden="1" x14ac:dyDescent="0.2">
      <c r="A35">
        <v>2</v>
      </c>
      <c r="B35" t="s">
        <v>29</v>
      </c>
      <c r="C35" s="10">
        <v>10000047</v>
      </c>
      <c r="D35" t="b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3.1666666666666679</v>
      </c>
      <c r="X35">
        <v>1</v>
      </c>
      <c r="Y35">
        <v>0</v>
      </c>
      <c r="Z35" t="s">
        <v>23</v>
      </c>
    </row>
    <row r="36" spans="1:26" hidden="1" x14ac:dyDescent="0.2">
      <c r="A36">
        <v>2</v>
      </c>
      <c r="B36" t="s">
        <v>29</v>
      </c>
      <c r="C36" s="10">
        <v>10000033</v>
      </c>
      <c r="D36" t="b">
        <v>0</v>
      </c>
      <c r="E36">
        <v>0</v>
      </c>
      <c r="F36">
        <v>0.35920161063433831</v>
      </c>
      <c r="G36">
        <v>0.64079838936566169</v>
      </c>
      <c r="H36">
        <v>0.25</v>
      </c>
      <c r="I36">
        <v>0.35920161063433831</v>
      </c>
      <c r="J36">
        <v>0.25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4.3863865191568259</v>
      </c>
      <c r="X36">
        <v>0.64079838936566169</v>
      </c>
      <c r="Y36">
        <v>0.35920161063433831</v>
      </c>
      <c r="Z36" t="s">
        <v>23</v>
      </c>
    </row>
    <row r="37" spans="1:26" hidden="1" x14ac:dyDescent="0.2">
      <c r="A37">
        <v>2</v>
      </c>
      <c r="B37" t="s">
        <v>29</v>
      </c>
      <c r="C37" s="10">
        <v>10000082</v>
      </c>
      <c r="D37" t="b">
        <v>1</v>
      </c>
      <c r="F37">
        <v>0</v>
      </c>
      <c r="G37">
        <v>0.99835495026196241</v>
      </c>
      <c r="H37">
        <v>0</v>
      </c>
      <c r="I37">
        <v>0</v>
      </c>
      <c r="J37">
        <v>0</v>
      </c>
      <c r="W37">
        <v>5.0004413842271456</v>
      </c>
      <c r="X37">
        <v>1</v>
      </c>
      <c r="Y37">
        <v>0.99835495026196241</v>
      </c>
      <c r="Z37" t="s">
        <v>23</v>
      </c>
    </row>
    <row r="38" spans="1:26" hidden="1" x14ac:dyDescent="0.2">
      <c r="A38">
        <v>2</v>
      </c>
      <c r="B38" t="s">
        <v>29</v>
      </c>
      <c r="C38" s="10">
        <v>10000073</v>
      </c>
      <c r="D38" t="b">
        <v>0</v>
      </c>
      <c r="E38">
        <v>0.48245385155285547</v>
      </c>
      <c r="F38">
        <v>0</v>
      </c>
      <c r="G38">
        <v>0.51754614844714453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3.4367084119825591</v>
      </c>
      <c r="X38">
        <v>0.51754614844714453</v>
      </c>
      <c r="Y38">
        <v>0</v>
      </c>
      <c r="Z38" t="s">
        <v>23</v>
      </c>
    </row>
    <row r="39" spans="1:26" hidden="1" x14ac:dyDescent="0.2">
      <c r="A39">
        <v>3</v>
      </c>
      <c r="B39" t="s">
        <v>33</v>
      </c>
      <c r="C39" s="10">
        <v>10000033</v>
      </c>
      <c r="D39" t="b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0.30882977802696898</v>
      </c>
      <c r="Q39">
        <v>0</v>
      </c>
      <c r="R39">
        <v>4.919180863348438E-2</v>
      </c>
      <c r="S39">
        <v>0</v>
      </c>
      <c r="T39">
        <v>4.919180863348438E-2</v>
      </c>
      <c r="U39">
        <v>0</v>
      </c>
      <c r="V39">
        <v>0.69117022197303091</v>
      </c>
      <c r="W39">
        <v>6.5218776272937813</v>
      </c>
      <c r="X39">
        <v>4.919180863348438E-2</v>
      </c>
      <c r="Y39">
        <v>0.69117022197303091</v>
      </c>
      <c r="Z39" t="s">
        <v>24</v>
      </c>
    </row>
    <row r="40" spans="1:26" hidden="1" x14ac:dyDescent="0.2">
      <c r="A40">
        <v>3</v>
      </c>
      <c r="B40" t="s">
        <v>29</v>
      </c>
      <c r="C40" s="10">
        <v>10000082</v>
      </c>
      <c r="D40" t="b">
        <v>1</v>
      </c>
      <c r="F40">
        <v>0</v>
      </c>
      <c r="G40">
        <v>0</v>
      </c>
      <c r="H40">
        <v>0</v>
      </c>
      <c r="I40">
        <v>0.5071494748512585</v>
      </c>
      <c r="J40">
        <v>0.54200846401979996</v>
      </c>
      <c r="W40">
        <v>4.2319173203280203</v>
      </c>
      <c r="X40">
        <v>1</v>
      </c>
      <c r="Y40">
        <v>0.5071494748512585</v>
      </c>
      <c r="Z40" t="s">
        <v>23</v>
      </c>
    </row>
    <row r="41" spans="1:26" hidden="1" x14ac:dyDescent="0.2">
      <c r="A41">
        <v>3</v>
      </c>
      <c r="B41" t="s">
        <v>29</v>
      </c>
      <c r="C41" s="10">
        <v>10000033</v>
      </c>
      <c r="D41" t="b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0.31800714390151852</v>
      </c>
      <c r="Q41">
        <v>0.31800714390151852</v>
      </c>
      <c r="R41">
        <v>0.18774642619205989</v>
      </c>
      <c r="S41">
        <v>0</v>
      </c>
      <c r="T41">
        <v>0.18774642619205989</v>
      </c>
      <c r="U41">
        <v>0</v>
      </c>
      <c r="V41">
        <v>0.66666666666666652</v>
      </c>
      <c r="W41">
        <v>5.7604616253346359</v>
      </c>
      <c r="X41">
        <v>0.31800714390151852</v>
      </c>
      <c r="Y41">
        <v>0.66666666666666652</v>
      </c>
      <c r="Z41" t="s">
        <v>24</v>
      </c>
    </row>
    <row r="42" spans="1:26" hidden="1" x14ac:dyDescent="0.2">
      <c r="A42">
        <v>3</v>
      </c>
      <c r="B42" t="s">
        <v>28</v>
      </c>
      <c r="C42" s="10">
        <v>10000047</v>
      </c>
      <c r="D42" t="b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0.70330036966085185</v>
      </c>
      <c r="P42">
        <v>0</v>
      </c>
      <c r="Q42">
        <v>0.2966996303391482</v>
      </c>
      <c r="R42">
        <v>0</v>
      </c>
      <c r="S42">
        <v>0</v>
      </c>
      <c r="T42">
        <v>0</v>
      </c>
      <c r="U42">
        <v>0</v>
      </c>
      <c r="V42">
        <v>0</v>
      </c>
      <c r="W42">
        <v>5.8645027820696694</v>
      </c>
      <c r="X42">
        <v>0.2966996303391482</v>
      </c>
      <c r="Y42">
        <v>0.70330036966085185</v>
      </c>
      <c r="Z42" t="s">
        <v>24</v>
      </c>
    </row>
    <row r="43" spans="1:26" hidden="1" x14ac:dyDescent="0.2">
      <c r="A43">
        <v>3</v>
      </c>
      <c r="B43" t="s">
        <v>28</v>
      </c>
      <c r="C43" s="10">
        <v>10000082</v>
      </c>
      <c r="D43" t="b">
        <v>1</v>
      </c>
      <c r="F43">
        <v>0</v>
      </c>
      <c r="G43">
        <v>0</v>
      </c>
      <c r="H43">
        <v>0</v>
      </c>
      <c r="I43">
        <v>0.12827108011597621</v>
      </c>
      <c r="J43">
        <v>0.87172891988402379</v>
      </c>
      <c r="W43">
        <v>3.4521334485732451</v>
      </c>
      <c r="X43">
        <v>1</v>
      </c>
      <c r="Y43">
        <v>0.12827108011597621</v>
      </c>
      <c r="Z43" t="s">
        <v>23</v>
      </c>
    </row>
    <row r="44" spans="1:26" hidden="1" x14ac:dyDescent="0.2">
      <c r="A44">
        <v>3</v>
      </c>
      <c r="B44" t="s">
        <v>32</v>
      </c>
      <c r="C44" s="10">
        <v>10000033</v>
      </c>
      <c r="D44" t="b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0.30046025462640441</v>
      </c>
      <c r="R44">
        <v>0</v>
      </c>
      <c r="S44">
        <v>0.15384615384615369</v>
      </c>
      <c r="T44">
        <v>0.27475366793933698</v>
      </c>
      <c r="U44">
        <v>0</v>
      </c>
      <c r="V44">
        <v>0.69953974537359565</v>
      </c>
      <c r="W44">
        <v>5.8501206835988553</v>
      </c>
      <c r="X44">
        <v>0.30046025462640441</v>
      </c>
      <c r="Y44">
        <v>0.69953974537359565</v>
      </c>
      <c r="Z44" t="s">
        <v>24</v>
      </c>
    </row>
    <row r="45" spans="1:26" hidden="1" x14ac:dyDescent="0.2">
      <c r="A45">
        <v>3</v>
      </c>
      <c r="B45" t="s">
        <v>31</v>
      </c>
      <c r="C45" s="10">
        <v>10000073</v>
      </c>
      <c r="D45" t="b">
        <v>1</v>
      </c>
      <c r="E45">
        <v>0</v>
      </c>
      <c r="F45">
        <v>0</v>
      </c>
      <c r="G45">
        <v>0</v>
      </c>
      <c r="H45">
        <v>0</v>
      </c>
      <c r="I45">
        <v>0.5847506607000571</v>
      </c>
      <c r="J45">
        <v>0.33020576255386008</v>
      </c>
      <c r="W45">
        <v>5.6008623279814973</v>
      </c>
      <c r="X45">
        <v>0.33020576255386008</v>
      </c>
      <c r="Y45">
        <v>0.5847506607000571</v>
      </c>
      <c r="Z45" t="s">
        <v>24</v>
      </c>
    </row>
    <row r="46" spans="1:26" hidden="1" x14ac:dyDescent="0.2">
      <c r="A46">
        <v>3</v>
      </c>
      <c r="B46" t="s">
        <v>34</v>
      </c>
      <c r="C46" s="10">
        <v>10000073</v>
      </c>
      <c r="D46" t="b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0.41327766668392452</v>
      </c>
      <c r="P46">
        <v>0.33020576255386008</v>
      </c>
      <c r="Q46">
        <v>0</v>
      </c>
      <c r="R46">
        <v>0</v>
      </c>
      <c r="S46">
        <v>0</v>
      </c>
      <c r="T46">
        <v>0</v>
      </c>
      <c r="U46">
        <v>0</v>
      </c>
      <c r="V46">
        <v>0.58672233331607548</v>
      </c>
      <c r="W46">
        <v>6.6059663372709769</v>
      </c>
      <c r="X46">
        <v>0</v>
      </c>
      <c r="Y46">
        <v>0.58672233331607548</v>
      </c>
      <c r="Z46" t="s">
        <v>24</v>
      </c>
    </row>
    <row r="47" spans="1:26" hidden="1" x14ac:dyDescent="0.2">
      <c r="A47">
        <v>3</v>
      </c>
      <c r="B47" t="s">
        <v>35</v>
      </c>
      <c r="C47" s="10">
        <v>10000082</v>
      </c>
      <c r="D47" t="b">
        <v>1</v>
      </c>
      <c r="F47">
        <v>0</v>
      </c>
      <c r="G47">
        <v>0</v>
      </c>
      <c r="H47">
        <v>0</v>
      </c>
      <c r="I47">
        <v>0</v>
      </c>
      <c r="J47">
        <v>0.52863870500191956</v>
      </c>
      <c r="W47">
        <v>3.1666666666666679</v>
      </c>
      <c r="X47">
        <v>1</v>
      </c>
      <c r="Y47">
        <v>0</v>
      </c>
      <c r="Z47" t="s">
        <v>23</v>
      </c>
    </row>
    <row r="48" spans="1:26" hidden="1" x14ac:dyDescent="0.2">
      <c r="A48">
        <v>3</v>
      </c>
      <c r="B48" t="s">
        <v>35</v>
      </c>
      <c r="C48" s="10">
        <v>10000047</v>
      </c>
      <c r="D48" t="b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0.61684145770728704</v>
      </c>
      <c r="P48">
        <v>0</v>
      </c>
      <c r="Q48">
        <v>0.38315854229271301</v>
      </c>
      <c r="R48">
        <v>0</v>
      </c>
      <c r="S48">
        <v>0</v>
      </c>
      <c r="T48">
        <v>0</v>
      </c>
      <c r="U48">
        <v>0</v>
      </c>
      <c r="V48">
        <v>0</v>
      </c>
      <c r="W48">
        <v>5.5194485932738981</v>
      </c>
      <c r="X48">
        <v>0.38315854229271301</v>
      </c>
      <c r="Y48">
        <v>0.61684145770728704</v>
      </c>
      <c r="Z48" t="s">
        <v>24</v>
      </c>
    </row>
    <row r="49" spans="1:26" hidden="1" x14ac:dyDescent="0.2">
      <c r="A49">
        <v>3</v>
      </c>
      <c r="B49" t="s">
        <v>30</v>
      </c>
      <c r="C49" s="10">
        <v>10000033</v>
      </c>
      <c r="D49" t="b">
        <v>0</v>
      </c>
      <c r="E49">
        <v>0.2962538539183654</v>
      </c>
      <c r="F49">
        <v>0.2962538539183654</v>
      </c>
      <c r="G49">
        <v>0.58823529411764697</v>
      </c>
      <c r="H49">
        <v>0</v>
      </c>
      <c r="I49">
        <v>0.2962538539183654</v>
      </c>
      <c r="J49">
        <v>0</v>
      </c>
      <c r="K49">
        <v>0.33333333333333331</v>
      </c>
      <c r="L49">
        <v>0.33333333333333331</v>
      </c>
      <c r="M49">
        <v>0.33333333333333331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4.4060300207023273</v>
      </c>
      <c r="X49">
        <v>0.58823529411764697</v>
      </c>
      <c r="Y49">
        <v>0.33333333333333331</v>
      </c>
      <c r="Z49" t="s">
        <v>23</v>
      </c>
    </row>
    <row r="50" spans="1:26" hidden="1" x14ac:dyDescent="0.2">
      <c r="A50">
        <v>3</v>
      </c>
      <c r="B50" t="s">
        <v>30</v>
      </c>
      <c r="C50" s="10">
        <v>10000082</v>
      </c>
      <c r="D50" t="b">
        <v>1</v>
      </c>
      <c r="F50">
        <v>0.45393705467741791</v>
      </c>
      <c r="G50">
        <v>0.54606294532258215</v>
      </c>
      <c r="H50">
        <v>0.26666666666666672</v>
      </c>
      <c r="I50">
        <v>0</v>
      </c>
      <c r="J50">
        <v>0</v>
      </c>
      <c r="W50">
        <v>4.3037950520701109</v>
      </c>
      <c r="X50">
        <v>1</v>
      </c>
      <c r="Y50">
        <v>0.54606294532258215</v>
      </c>
      <c r="Z50" t="s">
        <v>23</v>
      </c>
    </row>
    <row r="51" spans="1:26" hidden="1" x14ac:dyDescent="0.2">
      <c r="A51">
        <v>3</v>
      </c>
      <c r="B51" t="s">
        <v>30</v>
      </c>
      <c r="C51" s="10">
        <v>10000047</v>
      </c>
      <c r="D51" t="b">
        <v>0</v>
      </c>
      <c r="E51">
        <v>0.96666666666666667</v>
      </c>
      <c r="F51">
        <v>0</v>
      </c>
      <c r="G51">
        <v>0</v>
      </c>
      <c r="H51">
        <v>0</v>
      </c>
      <c r="I51">
        <v>0</v>
      </c>
      <c r="J51">
        <v>0</v>
      </c>
      <c r="K51">
        <v>3.3333333333333333E-2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3.1845092812125508</v>
      </c>
      <c r="X51">
        <v>0.96666666666666667</v>
      </c>
      <c r="Y51">
        <v>0</v>
      </c>
      <c r="Z51" t="s">
        <v>23</v>
      </c>
    </row>
    <row r="52" spans="1:26" hidden="1" x14ac:dyDescent="0.2">
      <c r="A52">
        <v>3</v>
      </c>
      <c r="B52" t="s">
        <v>27</v>
      </c>
      <c r="C52" s="10">
        <v>10000033</v>
      </c>
      <c r="D52" t="b">
        <v>0</v>
      </c>
      <c r="E52">
        <v>0.2962538539183654</v>
      </c>
      <c r="F52">
        <v>0.2962538539183654</v>
      </c>
      <c r="G52">
        <v>0.58823529411764697</v>
      </c>
      <c r="H52">
        <v>0</v>
      </c>
      <c r="I52">
        <v>0.2962538539183654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4.3061524938437392</v>
      </c>
      <c r="X52">
        <v>0.58823529411764697</v>
      </c>
      <c r="Y52">
        <v>0.2962538539183654</v>
      </c>
      <c r="Z52" t="s">
        <v>23</v>
      </c>
    </row>
    <row r="53" spans="1:26" hidden="1" x14ac:dyDescent="0.2">
      <c r="A53">
        <v>3</v>
      </c>
      <c r="B53" t="s">
        <v>27</v>
      </c>
      <c r="C53" s="10">
        <v>10000073</v>
      </c>
      <c r="D53" t="b">
        <v>0</v>
      </c>
      <c r="E53">
        <v>0</v>
      </c>
      <c r="F53">
        <v>0</v>
      </c>
      <c r="G53">
        <v>0</v>
      </c>
      <c r="H53">
        <v>0.58059858280900278</v>
      </c>
      <c r="I53">
        <v>0</v>
      </c>
      <c r="J53">
        <v>0.41940141719099722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6.6024273602310473</v>
      </c>
      <c r="X53">
        <v>0</v>
      </c>
      <c r="Y53">
        <v>0.58059858280900278</v>
      </c>
      <c r="Z53" t="s">
        <v>24</v>
      </c>
    </row>
    <row r="54" spans="1:26" hidden="1" x14ac:dyDescent="0.2">
      <c r="A54">
        <v>3</v>
      </c>
      <c r="B54" t="s">
        <v>26</v>
      </c>
      <c r="C54" s="10">
        <v>10000033</v>
      </c>
      <c r="D54" t="b">
        <v>0</v>
      </c>
      <c r="E54">
        <v>0.29937752971155418</v>
      </c>
      <c r="F54">
        <v>0.29937752971155418</v>
      </c>
      <c r="G54">
        <v>0.58823529411764697</v>
      </c>
      <c r="H54">
        <v>0</v>
      </c>
      <c r="I54">
        <v>0.29937752971155418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4.3146952841325552</v>
      </c>
      <c r="X54">
        <v>0.58823529411764697</v>
      </c>
      <c r="Y54">
        <v>0.29937752971155418</v>
      </c>
      <c r="Z54" t="s">
        <v>23</v>
      </c>
    </row>
    <row r="55" spans="1:26" hidden="1" x14ac:dyDescent="0.2">
      <c r="A55">
        <v>3</v>
      </c>
      <c r="B55" t="s">
        <v>26</v>
      </c>
      <c r="C55" s="10">
        <v>10000082</v>
      </c>
      <c r="D55" t="b">
        <v>1</v>
      </c>
      <c r="F55">
        <v>0.60938823364592709</v>
      </c>
      <c r="G55">
        <v>0.39061176635407302</v>
      </c>
      <c r="H55">
        <v>0</v>
      </c>
      <c r="I55">
        <v>0</v>
      </c>
      <c r="J55">
        <v>0</v>
      </c>
      <c r="W55">
        <v>4.0063837837141003</v>
      </c>
      <c r="X55">
        <v>1</v>
      </c>
      <c r="Y55">
        <v>0.39061176635407302</v>
      </c>
      <c r="Z55" t="s">
        <v>23</v>
      </c>
    </row>
    <row r="56" spans="1:26" hidden="1" x14ac:dyDescent="0.2">
      <c r="A56">
        <v>3</v>
      </c>
      <c r="B56" t="s">
        <v>30</v>
      </c>
      <c r="C56" s="10">
        <v>10000073</v>
      </c>
      <c r="D56" t="b">
        <v>0</v>
      </c>
      <c r="E56">
        <v>0.39999999999999991</v>
      </c>
      <c r="F56">
        <v>0</v>
      </c>
      <c r="G56">
        <v>0.57660555440654182</v>
      </c>
      <c r="H56">
        <v>0</v>
      </c>
      <c r="I56">
        <v>0.42339444559345812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4.656519061944655</v>
      </c>
      <c r="X56">
        <v>0.57660555440654182</v>
      </c>
      <c r="Y56">
        <v>0.42339444559345812</v>
      </c>
      <c r="Z56" t="s">
        <v>23</v>
      </c>
    </row>
    <row r="57" spans="1:26" hidden="1" x14ac:dyDescent="0.2">
      <c r="A57">
        <v>3</v>
      </c>
      <c r="B57" t="s">
        <v>26</v>
      </c>
      <c r="C57" s="10">
        <v>10000047</v>
      </c>
      <c r="D57" t="b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3.1666666666666679</v>
      </c>
      <c r="X57">
        <v>1</v>
      </c>
      <c r="Y57">
        <v>0</v>
      </c>
      <c r="Z57" t="s">
        <v>23</v>
      </c>
    </row>
    <row r="58" spans="1:26" hidden="1" x14ac:dyDescent="0.2">
      <c r="A58">
        <v>3</v>
      </c>
      <c r="B58" t="s">
        <v>26</v>
      </c>
      <c r="C58" s="10">
        <v>10000073</v>
      </c>
      <c r="D58" t="b">
        <v>0</v>
      </c>
      <c r="E58">
        <v>0.42497205061543758</v>
      </c>
      <c r="F58">
        <v>0</v>
      </c>
      <c r="G58">
        <v>0.54545454545454541</v>
      </c>
      <c r="H58">
        <v>0</v>
      </c>
      <c r="I58">
        <v>0.42497205061543758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4.7214852605144593</v>
      </c>
      <c r="X58">
        <v>0.54545454545454541</v>
      </c>
      <c r="Y58">
        <v>0.42497205061543758</v>
      </c>
      <c r="Z58" t="s">
        <v>23</v>
      </c>
    </row>
    <row r="59" spans="1:26" hidden="1" x14ac:dyDescent="0.2">
      <c r="A59">
        <v>4</v>
      </c>
      <c r="B59" t="s">
        <v>34</v>
      </c>
      <c r="C59" s="10">
        <v>10000047</v>
      </c>
      <c r="D59" t="b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0.82072177333861951</v>
      </c>
      <c r="P59">
        <v>0</v>
      </c>
      <c r="Q59">
        <v>0.17927822666138049</v>
      </c>
      <c r="R59">
        <v>0</v>
      </c>
      <c r="S59">
        <v>0</v>
      </c>
      <c r="T59">
        <v>0</v>
      </c>
      <c r="U59">
        <v>0</v>
      </c>
      <c r="V59">
        <v>0</v>
      </c>
      <c r="W59">
        <v>6.2863989287294393</v>
      </c>
      <c r="X59">
        <v>0.17927822666138049</v>
      </c>
      <c r="Y59">
        <v>0.82072177333861951</v>
      </c>
      <c r="Z59" t="s">
        <v>24</v>
      </c>
    </row>
    <row r="60" spans="1:26" hidden="1" x14ac:dyDescent="0.2">
      <c r="A60">
        <v>4</v>
      </c>
      <c r="B60" t="s">
        <v>27</v>
      </c>
      <c r="C60" s="10">
        <v>10000073</v>
      </c>
      <c r="D60" t="b">
        <v>1</v>
      </c>
      <c r="E60">
        <v>0</v>
      </c>
      <c r="F60">
        <v>0</v>
      </c>
      <c r="G60">
        <v>0</v>
      </c>
      <c r="H60">
        <v>0</v>
      </c>
      <c r="I60">
        <v>0.55712908189813448</v>
      </c>
      <c r="J60">
        <v>0.25392425914172512</v>
      </c>
      <c r="W60">
        <v>5.7678278880216398</v>
      </c>
      <c r="X60">
        <v>0.25392425914172512</v>
      </c>
      <c r="Y60">
        <v>0.55712908189813448</v>
      </c>
      <c r="Z60" t="s">
        <v>24</v>
      </c>
    </row>
    <row r="61" spans="1:26" hidden="1" x14ac:dyDescent="0.2">
      <c r="A61">
        <v>4</v>
      </c>
      <c r="B61" t="s">
        <v>29</v>
      </c>
      <c r="C61" s="10">
        <v>10000073</v>
      </c>
      <c r="D61" t="b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0.454321872790312</v>
      </c>
      <c r="P61">
        <v>0</v>
      </c>
      <c r="Q61">
        <v>0.25392425914172512</v>
      </c>
      <c r="R61">
        <v>0</v>
      </c>
      <c r="S61">
        <v>0.25392425914172512</v>
      </c>
      <c r="T61">
        <v>0</v>
      </c>
      <c r="U61">
        <v>0.545678127209688</v>
      </c>
      <c r="V61">
        <v>0</v>
      </c>
      <c r="W61">
        <v>5.7492735282501561</v>
      </c>
      <c r="X61">
        <v>0.25392425914172512</v>
      </c>
      <c r="Y61">
        <v>0.545678127209688</v>
      </c>
      <c r="Z61" t="s">
        <v>24</v>
      </c>
    </row>
    <row r="62" spans="1:26" hidden="1" x14ac:dyDescent="0.2">
      <c r="A62">
        <v>4</v>
      </c>
      <c r="B62" t="s">
        <v>32</v>
      </c>
      <c r="C62" s="10">
        <v>10000033</v>
      </c>
      <c r="D62" t="b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0.32627663248030953</v>
      </c>
      <c r="Q62">
        <v>0</v>
      </c>
      <c r="R62">
        <v>0.1884818738327434</v>
      </c>
      <c r="S62">
        <v>0</v>
      </c>
      <c r="T62">
        <v>0.1884818738327434</v>
      </c>
      <c r="U62">
        <v>0</v>
      </c>
      <c r="V62">
        <v>0.67372336751969053</v>
      </c>
      <c r="W62">
        <v>6.1113648023413552</v>
      </c>
      <c r="X62">
        <v>0.1884818738327434</v>
      </c>
      <c r="Y62">
        <v>0.67372336751969053</v>
      </c>
      <c r="Z62" t="s">
        <v>24</v>
      </c>
    </row>
    <row r="63" spans="1:26" hidden="1" x14ac:dyDescent="0.2">
      <c r="A63">
        <v>4</v>
      </c>
      <c r="B63" t="s">
        <v>35</v>
      </c>
      <c r="C63" s="10">
        <v>10000082</v>
      </c>
      <c r="D63" t="b">
        <v>1</v>
      </c>
      <c r="F63">
        <v>0</v>
      </c>
      <c r="G63">
        <v>0</v>
      </c>
      <c r="H63">
        <v>0</v>
      </c>
      <c r="I63">
        <v>0.26681662399273609</v>
      </c>
      <c r="J63">
        <v>0.73318337600726391</v>
      </c>
      <c r="W63">
        <v>3.751662776299439</v>
      </c>
      <c r="X63">
        <v>1</v>
      </c>
      <c r="Y63">
        <v>0.26681662399273609</v>
      </c>
      <c r="Z63" t="s">
        <v>23</v>
      </c>
    </row>
    <row r="64" spans="1:26" hidden="1" x14ac:dyDescent="0.2">
      <c r="A64">
        <v>4</v>
      </c>
      <c r="B64" t="s">
        <v>35</v>
      </c>
      <c r="C64" s="10">
        <v>10000033</v>
      </c>
      <c r="D64" t="b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0.32343221124359639</v>
      </c>
      <c r="Q64">
        <v>0</v>
      </c>
      <c r="R64">
        <v>0.19026640779576029</v>
      </c>
      <c r="S64">
        <v>0</v>
      </c>
      <c r="T64">
        <v>0.19026640779576029</v>
      </c>
      <c r="U64">
        <v>0</v>
      </c>
      <c r="V64">
        <v>0.67656778875640355</v>
      </c>
      <c r="W64">
        <v>6.1097227644866567</v>
      </c>
      <c r="X64">
        <v>0.19026640779576029</v>
      </c>
      <c r="Y64">
        <v>0.67656778875640355</v>
      </c>
      <c r="Z64" t="s">
        <v>24</v>
      </c>
    </row>
    <row r="65" spans="1:26" hidden="1" x14ac:dyDescent="0.2">
      <c r="A65">
        <v>4</v>
      </c>
      <c r="B65" t="s">
        <v>30</v>
      </c>
      <c r="C65" s="10">
        <v>10000033</v>
      </c>
      <c r="D65" t="b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0.33680070895447789</v>
      </c>
      <c r="Q65">
        <v>0.14285714285714279</v>
      </c>
      <c r="R65">
        <v>0.19026640779576029</v>
      </c>
      <c r="S65">
        <v>0</v>
      </c>
      <c r="T65">
        <v>0.19026640779576029</v>
      </c>
      <c r="U65">
        <v>0</v>
      </c>
      <c r="V65">
        <v>0.66319929104552211</v>
      </c>
      <c r="W65">
        <v>6.094285269006507</v>
      </c>
      <c r="X65">
        <v>0.19026640779576029</v>
      </c>
      <c r="Y65">
        <v>0.66319929104552211</v>
      </c>
      <c r="Z65" t="s">
        <v>24</v>
      </c>
    </row>
    <row r="66" spans="1:26" hidden="1" x14ac:dyDescent="0.2">
      <c r="A66">
        <v>4</v>
      </c>
      <c r="B66" t="s">
        <v>30</v>
      </c>
      <c r="C66" s="10">
        <v>10000073</v>
      </c>
      <c r="D66" t="b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0.46159364441221529</v>
      </c>
      <c r="P66">
        <v>0</v>
      </c>
      <c r="Q66">
        <v>0.2894993571885085</v>
      </c>
      <c r="R66">
        <v>0</v>
      </c>
      <c r="S66">
        <v>0.2894993571885085</v>
      </c>
      <c r="T66">
        <v>0</v>
      </c>
      <c r="U66">
        <v>0.5384063555877846</v>
      </c>
      <c r="V66">
        <v>0</v>
      </c>
      <c r="W66">
        <v>5.6331715065457084</v>
      </c>
      <c r="X66">
        <v>0.2894993571885085</v>
      </c>
      <c r="Y66">
        <v>0.5384063555877846</v>
      </c>
      <c r="Z66" t="s">
        <v>24</v>
      </c>
    </row>
    <row r="67" spans="1:26" hidden="1" x14ac:dyDescent="0.2">
      <c r="A67">
        <v>4</v>
      </c>
      <c r="B67" t="s">
        <v>28</v>
      </c>
      <c r="C67" s="10">
        <v>10000033</v>
      </c>
      <c r="D67" t="b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0.3353620171943309</v>
      </c>
      <c r="Q67">
        <v>0.3353620171943309</v>
      </c>
      <c r="R67">
        <v>0.20345221060022081</v>
      </c>
      <c r="S67">
        <v>0</v>
      </c>
      <c r="T67">
        <v>0.20345221060022081</v>
      </c>
      <c r="U67">
        <v>0</v>
      </c>
      <c r="V67">
        <v>0.5</v>
      </c>
      <c r="W67">
        <v>5.4287977724573651</v>
      </c>
      <c r="X67">
        <v>0.3353620171943309</v>
      </c>
      <c r="Y67">
        <v>0.5</v>
      </c>
      <c r="Z67" t="s">
        <v>24</v>
      </c>
    </row>
    <row r="68" spans="1:26" hidden="1" x14ac:dyDescent="0.2">
      <c r="A68">
        <v>4</v>
      </c>
      <c r="B68" t="s">
        <v>31</v>
      </c>
      <c r="C68" s="10">
        <v>10000033</v>
      </c>
      <c r="D68" t="b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0.3317746290693725</v>
      </c>
      <c r="Q68">
        <v>0.3317746290693725</v>
      </c>
      <c r="R68">
        <v>0.23228930064361061</v>
      </c>
      <c r="S68">
        <v>0</v>
      </c>
      <c r="T68">
        <v>0.23228930064361061</v>
      </c>
      <c r="U68">
        <v>0</v>
      </c>
      <c r="V68">
        <v>0.64705882352941169</v>
      </c>
      <c r="W68">
        <v>5.6966665202003233</v>
      </c>
      <c r="X68">
        <v>0.3317746290693725</v>
      </c>
      <c r="Y68">
        <v>0.64705882352941169</v>
      </c>
      <c r="Z68" t="s">
        <v>24</v>
      </c>
    </row>
    <row r="69" spans="1:26" hidden="1" x14ac:dyDescent="0.2">
      <c r="A69">
        <v>4</v>
      </c>
      <c r="B69" t="s">
        <v>26</v>
      </c>
      <c r="C69" s="10">
        <v>10000047</v>
      </c>
      <c r="D69" t="b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0.66495559304901541</v>
      </c>
      <c r="P69">
        <v>0</v>
      </c>
      <c r="Q69">
        <v>0.33504440695098459</v>
      </c>
      <c r="R69">
        <v>0</v>
      </c>
      <c r="S69">
        <v>0</v>
      </c>
      <c r="T69">
        <v>0</v>
      </c>
      <c r="U69">
        <v>0</v>
      </c>
      <c r="V69">
        <v>0</v>
      </c>
      <c r="W69">
        <v>5.7152201545530286</v>
      </c>
      <c r="X69">
        <v>0.33504440695098459</v>
      </c>
      <c r="Y69">
        <v>0.66495559304901541</v>
      </c>
      <c r="Z69" t="s">
        <v>24</v>
      </c>
    </row>
    <row r="70" spans="1:26" hidden="1" x14ac:dyDescent="0.2">
      <c r="A70">
        <v>4</v>
      </c>
      <c r="B70" t="s">
        <v>33</v>
      </c>
      <c r="C70" s="10">
        <v>10000047</v>
      </c>
      <c r="D70" t="b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0.58787503608909775</v>
      </c>
      <c r="P70">
        <v>0</v>
      </c>
      <c r="Q70">
        <v>0.41212496391090231</v>
      </c>
      <c r="R70">
        <v>0</v>
      </c>
      <c r="S70">
        <v>0</v>
      </c>
      <c r="T70">
        <v>0</v>
      </c>
      <c r="U70">
        <v>0</v>
      </c>
      <c r="V70">
        <v>0</v>
      </c>
      <c r="W70">
        <v>5.3969006191815367</v>
      </c>
      <c r="X70">
        <v>0.41212496391090231</v>
      </c>
      <c r="Y70">
        <v>0.58787503608909775</v>
      </c>
      <c r="Z70" t="s">
        <v>24</v>
      </c>
    </row>
    <row r="71" spans="1:26" hidden="1" x14ac:dyDescent="0.2">
      <c r="A71">
        <v>5</v>
      </c>
      <c r="B71" t="s">
        <v>32</v>
      </c>
      <c r="C71" s="10">
        <v>10000033</v>
      </c>
      <c r="D71" t="b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0.30882977802696898</v>
      </c>
      <c r="Q71">
        <v>0</v>
      </c>
      <c r="R71">
        <v>4.5602908161090347E-2</v>
      </c>
      <c r="S71">
        <v>0</v>
      </c>
      <c r="T71">
        <v>4.5602908161090347E-2</v>
      </c>
      <c r="U71">
        <v>0</v>
      </c>
      <c r="V71">
        <v>0.69117022197303091</v>
      </c>
      <c r="W71">
        <v>6.532284778208834</v>
      </c>
      <c r="X71">
        <v>4.5602908161090347E-2</v>
      </c>
      <c r="Y71">
        <v>0.69117022197303091</v>
      </c>
      <c r="Z71" t="s">
        <v>24</v>
      </c>
    </row>
    <row r="72" spans="1:26" hidden="1" x14ac:dyDescent="0.2">
      <c r="A72">
        <v>5</v>
      </c>
      <c r="B72" t="s">
        <v>26</v>
      </c>
      <c r="C72" s="10">
        <v>10000082</v>
      </c>
      <c r="D72" t="b">
        <v>1</v>
      </c>
      <c r="F72">
        <v>0</v>
      </c>
      <c r="G72">
        <v>0</v>
      </c>
      <c r="H72">
        <v>0</v>
      </c>
      <c r="I72">
        <v>0</v>
      </c>
      <c r="J72">
        <v>0.94679482376286606</v>
      </c>
      <c r="W72">
        <v>3.1666666666666679</v>
      </c>
      <c r="X72">
        <v>1</v>
      </c>
      <c r="Y72">
        <v>0</v>
      </c>
      <c r="Z72" t="s">
        <v>23</v>
      </c>
    </row>
    <row r="73" spans="1:26" hidden="1" x14ac:dyDescent="0.2">
      <c r="A73">
        <v>5</v>
      </c>
      <c r="B73" t="s">
        <v>28</v>
      </c>
      <c r="C73" s="10">
        <v>10000033</v>
      </c>
      <c r="D73" t="b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0.31124072458103158</v>
      </c>
      <c r="Q73">
        <v>0</v>
      </c>
      <c r="R73">
        <v>4.5602908161090347E-2</v>
      </c>
      <c r="S73">
        <v>0</v>
      </c>
      <c r="T73">
        <v>4.5602908161090347E-2</v>
      </c>
      <c r="U73">
        <v>0</v>
      </c>
      <c r="V73">
        <v>0.68875927541896842</v>
      </c>
      <c r="W73">
        <v>6.530554390504216</v>
      </c>
      <c r="X73">
        <v>4.5602908161090347E-2</v>
      </c>
      <c r="Y73">
        <v>0.68875927541896842</v>
      </c>
      <c r="Z73" t="s">
        <v>24</v>
      </c>
    </row>
    <row r="74" spans="1:26" hidden="1" x14ac:dyDescent="0.2">
      <c r="A74">
        <v>5</v>
      </c>
      <c r="B74" t="s">
        <v>26</v>
      </c>
      <c r="C74" s="10">
        <v>10000073</v>
      </c>
      <c r="D74" t="b">
        <v>1</v>
      </c>
      <c r="E74">
        <v>0</v>
      </c>
      <c r="F74">
        <v>0</v>
      </c>
      <c r="G74">
        <v>0</v>
      </c>
      <c r="H74">
        <v>0</v>
      </c>
      <c r="I74">
        <v>0.57681771977545859</v>
      </c>
      <c r="J74">
        <v>0.20500316186251219</v>
      </c>
      <c r="W74">
        <v>5.9418290507593197</v>
      </c>
      <c r="X74">
        <v>0.20500316186251219</v>
      </c>
      <c r="Y74">
        <v>0.57681771977545859</v>
      </c>
      <c r="Z74" t="s">
        <v>24</v>
      </c>
    </row>
    <row r="75" spans="1:26" hidden="1" x14ac:dyDescent="0.2">
      <c r="A75">
        <v>5</v>
      </c>
      <c r="B75" t="s">
        <v>27</v>
      </c>
      <c r="C75" s="10">
        <v>10000047</v>
      </c>
      <c r="D75" t="b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0.79263072501406406</v>
      </c>
      <c r="P75">
        <v>0</v>
      </c>
      <c r="Q75">
        <v>0.20736927498593591</v>
      </c>
      <c r="R75">
        <v>0</v>
      </c>
      <c r="S75">
        <v>0</v>
      </c>
      <c r="T75">
        <v>0</v>
      </c>
      <c r="U75">
        <v>0</v>
      </c>
      <c r="V75">
        <v>0</v>
      </c>
      <c r="W75">
        <v>6.1901498314751811</v>
      </c>
      <c r="X75">
        <v>0.20736927498593591</v>
      </c>
      <c r="Y75">
        <v>0.79263072501406406</v>
      </c>
      <c r="Z75" t="s">
        <v>24</v>
      </c>
    </row>
    <row r="76" spans="1:26" hidden="1" x14ac:dyDescent="0.2">
      <c r="A76">
        <v>5</v>
      </c>
      <c r="B76" t="s">
        <v>29</v>
      </c>
      <c r="C76" s="10">
        <v>10000047</v>
      </c>
      <c r="D76" t="b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0.79263072501406406</v>
      </c>
      <c r="P76">
        <v>0</v>
      </c>
      <c r="Q76">
        <v>0.20736927498593591</v>
      </c>
      <c r="R76">
        <v>0</v>
      </c>
      <c r="S76">
        <v>0</v>
      </c>
      <c r="T76">
        <v>0</v>
      </c>
      <c r="U76">
        <v>0</v>
      </c>
      <c r="V76">
        <v>0</v>
      </c>
      <c r="W76">
        <v>6.1901498314751811</v>
      </c>
      <c r="X76">
        <v>0.20736927498593591</v>
      </c>
      <c r="Y76">
        <v>0.79263072501406406</v>
      </c>
      <c r="Z76" t="s">
        <v>24</v>
      </c>
    </row>
    <row r="77" spans="1:26" hidden="1" x14ac:dyDescent="0.2">
      <c r="A77">
        <v>5</v>
      </c>
      <c r="B77" t="s">
        <v>35</v>
      </c>
      <c r="C77" s="10">
        <v>10000047</v>
      </c>
      <c r="D77" t="b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0.79263072501406406</v>
      </c>
      <c r="P77">
        <v>0</v>
      </c>
      <c r="Q77">
        <v>0.20736927498593591</v>
      </c>
      <c r="R77">
        <v>0</v>
      </c>
      <c r="S77">
        <v>0</v>
      </c>
      <c r="T77">
        <v>0</v>
      </c>
      <c r="U77">
        <v>0</v>
      </c>
      <c r="V77">
        <v>0</v>
      </c>
      <c r="W77">
        <v>6.1901498314751811</v>
      </c>
      <c r="X77">
        <v>0.20736927498593591</v>
      </c>
      <c r="Y77">
        <v>0.79263072501406406</v>
      </c>
      <c r="Z77" t="s">
        <v>24</v>
      </c>
    </row>
    <row r="78" spans="1:26" hidden="1" x14ac:dyDescent="0.2">
      <c r="A78">
        <v>5</v>
      </c>
      <c r="B78" t="s">
        <v>31</v>
      </c>
      <c r="C78" s="10">
        <v>10000033</v>
      </c>
      <c r="D78" t="b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0.32046301884174921</v>
      </c>
      <c r="Q78">
        <v>0</v>
      </c>
      <c r="R78">
        <v>0.10777110238333169</v>
      </c>
      <c r="S78">
        <v>0</v>
      </c>
      <c r="T78">
        <v>0.10777110238333169</v>
      </c>
      <c r="U78">
        <v>0</v>
      </c>
      <c r="V78">
        <v>0.67953698115825079</v>
      </c>
      <c r="W78">
        <v>6.3436532884328152</v>
      </c>
      <c r="X78">
        <v>0.10777110238333169</v>
      </c>
      <c r="Y78">
        <v>0.67953698115825079</v>
      </c>
      <c r="Z78" t="s">
        <v>24</v>
      </c>
    </row>
    <row r="79" spans="1:26" hidden="1" x14ac:dyDescent="0.2">
      <c r="A79">
        <v>5</v>
      </c>
      <c r="B79" t="s">
        <v>33</v>
      </c>
      <c r="C79" s="10">
        <v>10000047</v>
      </c>
      <c r="D79" t="b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0.75955105682944091</v>
      </c>
      <c r="P79">
        <v>0</v>
      </c>
      <c r="Q79">
        <v>0.2404489431705592</v>
      </c>
      <c r="R79">
        <v>0</v>
      </c>
      <c r="S79">
        <v>0</v>
      </c>
      <c r="T79">
        <v>0</v>
      </c>
      <c r="U79">
        <v>0</v>
      </c>
      <c r="V79">
        <v>0</v>
      </c>
      <c r="W79">
        <v>6.07308469216846</v>
      </c>
      <c r="X79">
        <v>0.2404489431705592</v>
      </c>
      <c r="Y79">
        <v>0.75955105682944091</v>
      </c>
      <c r="Z79" t="s">
        <v>24</v>
      </c>
    </row>
    <row r="80" spans="1:26" hidden="1" x14ac:dyDescent="0.2">
      <c r="A80">
        <v>5</v>
      </c>
      <c r="B80" t="s">
        <v>34</v>
      </c>
      <c r="C80" s="10">
        <v>10000082</v>
      </c>
      <c r="D80" t="b">
        <v>1</v>
      </c>
      <c r="F80">
        <v>0</v>
      </c>
      <c r="G80">
        <v>0</v>
      </c>
      <c r="H80">
        <v>0</v>
      </c>
      <c r="I80">
        <v>0.71661461926698566</v>
      </c>
      <c r="J80">
        <v>0.28769209733314999</v>
      </c>
      <c r="W80">
        <v>4.5970225984640596</v>
      </c>
      <c r="X80">
        <v>1</v>
      </c>
      <c r="Y80">
        <v>0.71661461926698566</v>
      </c>
      <c r="Z80" t="s">
        <v>23</v>
      </c>
    </row>
    <row r="81" spans="1:26" hidden="1" x14ac:dyDescent="0.2">
      <c r="A81">
        <v>5</v>
      </c>
      <c r="B81" t="s">
        <v>34</v>
      </c>
      <c r="C81" s="10">
        <v>10000033</v>
      </c>
      <c r="D81" t="b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0.23333333333333331</v>
      </c>
      <c r="M81">
        <v>0.1215480093692607</v>
      </c>
      <c r="N81">
        <v>0</v>
      </c>
      <c r="O81">
        <v>0</v>
      </c>
      <c r="P81">
        <v>0.31013854741179703</v>
      </c>
      <c r="Q81">
        <v>0</v>
      </c>
      <c r="R81">
        <v>0.1215480093692607</v>
      </c>
      <c r="S81">
        <v>0</v>
      </c>
      <c r="T81">
        <v>0.1215480093692607</v>
      </c>
      <c r="U81">
        <v>0</v>
      </c>
      <c r="V81">
        <v>0.68986145258820297</v>
      </c>
      <c r="W81">
        <v>6.3142300845308954</v>
      </c>
      <c r="X81">
        <v>0.1215480093692607</v>
      </c>
      <c r="Y81">
        <v>0.68986145258820297</v>
      </c>
      <c r="Z81" t="s">
        <v>24</v>
      </c>
    </row>
    <row r="82" spans="1:26" hidden="1" x14ac:dyDescent="0.2">
      <c r="A82">
        <v>5</v>
      </c>
      <c r="B82" t="s">
        <v>30</v>
      </c>
      <c r="C82" s="10">
        <v>10000073</v>
      </c>
      <c r="D82" t="b">
        <v>0</v>
      </c>
      <c r="E82">
        <v>0.44246982902300919</v>
      </c>
      <c r="F82">
        <v>0</v>
      </c>
      <c r="G82">
        <v>0.55753017097699076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3.4134389894009431</v>
      </c>
      <c r="X82">
        <v>0.55753017097699076</v>
      </c>
      <c r="Y82">
        <v>0</v>
      </c>
      <c r="Z82" t="s">
        <v>23</v>
      </c>
    </row>
    <row r="83" spans="1:26" hidden="1" x14ac:dyDescent="0.2">
      <c r="A83">
        <v>5</v>
      </c>
      <c r="B83" t="s">
        <v>30</v>
      </c>
      <c r="C83" s="10">
        <v>10000047</v>
      </c>
      <c r="D83" t="b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3.1666666666666679</v>
      </c>
      <c r="X83">
        <v>1</v>
      </c>
      <c r="Y83">
        <v>0</v>
      </c>
      <c r="Z83" t="s">
        <v>23</v>
      </c>
    </row>
    <row r="84" spans="1:26" hidden="1" x14ac:dyDescent="0.2">
      <c r="A84">
        <v>5</v>
      </c>
      <c r="B84" t="s">
        <v>30</v>
      </c>
      <c r="C84" s="10">
        <v>10000033</v>
      </c>
      <c r="D84" t="b">
        <v>0</v>
      </c>
      <c r="E84">
        <v>0</v>
      </c>
      <c r="F84">
        <v>0</v>
      </c>
      <c r="G84">
        <v>0</v>
      </c>
      <c r="H84">
        <v>0.68183700515280288</v>
      </c>
      <c r="I84">
        <v>0</v>
      </c>
      <c r="J84">
        <v>0.31816299484719712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6.6604531052790827</v>
      </c>
      <c r="X84">
        <v>0</v>
      </c>
      <c r="Y84">
        <v>0.68183700515280288</v>
      </c>
      <c r="Z84" t="s">
        <v>24</v>
      </c>
    </row>
    <row r="85" spans="1:26" hidden="1" x14ac:dyDescent="0.2">
      <c r="A85">
        <v>6</v>
      </c>
      <c r="B85" t="s">
        <v>33</v>
      </c>
      <c r="C85" s="10">
        <v>10000082</v>
      </c>
      <c r="D85" t="b">
        <v>1</v>
      </c>
      <c r="F85">
        <v>0</v>
      </c>
      <c r="G85">
        <v>0</v>
      </c>
      <c r="H85">
        <v>0</v>
      </c>
      <c r="I85">
        <v>0</v>
      </c>
      <c r="J85">
        <v>0.93776946197513578</v>
      </c>
      <c r="W85">
        <v>3.1666666666666679</v>
      </c>
      <c r="X85">
        <v>1</v>
      </c>
      <c r="Y85">
        <v>0</v>
      </c>
      <c r="Z85" t="s">
        <v>23</v>
      </c>
    </row>
    <row r="86" spans="1:26" hidden="1" x14ac:dyDescent="0.2">
      <c r="A86">
        <v>6</v>
      </c>
      <c r="B86" t="s">
        <v>33</v>
      </c>
      <c r="C86" s="10">
        <v>10000033</v>
      </c>
      <c r="D86" t="b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0.30882977802696898</v>
      </c>
      <c r="Q86">
        <v>0</v>
      </c>
      <c r="R86">
        <v>6.3165945173299626E-2</v>
      </c>
      <c r="S86">
        <v>0</v>
      </c>
      <c r="T86">
        <v>6.3165945173299626E-2</v>
      </c>
      <c r="U86">
        <v>0</v>
      </c>
      <c r="V86">
        <v>0.69117022197303091</v>
      </c>
      <c r="W86">
        <v>6.4814975217483761</v>
      </c>
      <c r="X86">
        <v>6.3165945173299626E-2</v>
      </c>
      <c r="Y86">
        <v>0.69117022197303091</v>
      </c>
      <c r="Z86" t="s">
        <v>24</v>
      </c>
    </row>
    <row r="87" spans="1:26" hidden="1" x14ac:dyDescent="0.2">
      <c r="A87">
        <v>6</v>
      </c>
      <c r="B87" t="s">
        <v>26</v>
      </c>
      <c r="C87" s="10">
        <v>10000082</v>
      </c>
      <c r="D87" t="b">
        <v>1</v>
      </c>
      <c r="F87">
        <v>0</v>
      </c>
      <c r="G87">
        <v>0</v>
      </c>
      <c r="H87">
        <v>0</v>
      </c>
      <c r="I87">
        <v>0.4497673343281699</v>
      </c>
      <c r="J87">
        <v>0.57794822780580868</v>
      </c>
      <c r="W87">
        <v>4.1227352439704532</v>
      </c>
      <c r="X87">
        <v>1</v>
      </c>
      <c r="Y87">
        <v>0.4497673343281699</v>
      </c>
      <c r="Z87" t="s">
        <v>23</v>
      </c>
    </row>
    <row r="88" spans="1:26" hidden="1" x14ac:dyDescent="0.2">
      <c r="A88">
        <v>6</v>
      </c>
      <c r="B88" t="s">
        <v>26</v>
      </c>
      <c r="C88" s="10">
        <v>10000033</v>
      </c>
      <c r="D88" t="b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0.30850313494011239</v>
      </c>
      <c r="Q88">
        <v>0.30850313494011239</v>
      </c>
      <c r="R88">
        <v>7.661288284910929E-2</v>
      </c>
      <c r="S88">
        <v>0</v>
      </c>
      <c r="T88">
        <v>7.661288284910929E-2</v>
      </c>
      <c r="U88">
        <v>0</v>
      </c>
      <c r="V88">
        <v>0.66666666666666652</v>
      </c>
      <c r="W88">
        <v>5.7845396133255766</v>
      </c>
      <c r="X88">
        <v>0.30850313494011239</v>
      </c>
      <c r="Y88">
        <v>0.66666666666666652</v>
      </c>
      <c r="Z88" t="s">
        <v>24</v>
      </c>
    </row>
    <row r="89" spans="1:26" hidden="1" x14ac:dyDescent="0.2">
      <c r="A89">
        <v>6</v>
      </c>
      <c r="B89" t="s">
        <v>31</v>
      </c>
      <c r="C89" s="10">
        <v>10000073</v>
      </c>
      <c r="D89" t="b">
        <v>1</v>
      </c>
      <c r="E89">
        <v>0</v>
      </c>
      <c r="F89">
        <v>0</v>
      </c>
      <c r="G89">
        <v>0</v>
      </c>
      <c r="H89">
        <v>0</v>
      </c>
      <c r="I89">
        <v>0.58402718136459597</v>
      </c>
      <c r="J89">
        <v>0.23558385804670881</v>
      </c>
      <c r="W89">
        <v>5.8623518939197732</v>
      </c>
      <c r="X89">
        <v>0.23558385804670881</v>
      </c>
      <c r="Y89">
        <v>0.58402718136459597</v>
      </c>
      <c r="Z89" t="s">
        <v>24</v>
      </c>
    </row>
    <row r="90" spans="1:26" hidden="1" x14ac:dyDescent="0.2">
      <c r="A90">
        <v>6</v>
      </c>
      <c r="B90" t="s">
        <v>34</v>
      </c>
      <c r="C90" s="10">
        <v>10000082</v>
      </c>
      <c r="D90" t="b">
        <v>1</v>
      </c>
      <c r="F90">
        <v>0</v>
      </c>
      <c r="G90">
        <v>0</v>
      </c>
      <c r="H90">
        <v>0</v>
      </c>
      <c r="I90">
        <v>0.31784029984325157</v>
      </c>
      <c r="J90">
        <v>0.71644149894642672</v>
      </c>
      <c r="W90">
        <v>3.8583613398579062</v>
      </c>
      <c r="X90">
        <v>1</v>
      </c>
      <c r="Y90">
        <v>0.31784029984325157</v>
      </c>
      <c r="Z90" t="s">
        <v>23</v>
      </c>
    </row>
    <row r="91" spans="1:26" hidden="1" x14ac:dyDescent="0.2">
      <c r="A91">
        <v>6</v>
      </c>
      <c r="B91" t="s">
        <v>34</v>
      </c>
      <c r="C91" s="10">
        <v>10000047</v>
      </c>
      <c r="D91" t="b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0.80453789314759894</v>
      </c>
      <c r="P91">
        <v>0</v>
      </c>
      <c r="Q91">
        <v>0.19546210685240109</v>
      </c>
      <c r="R91">
        <v>0</v>
      </c>
      <c r="S91">
        <v>0</v>
      </c>
      <c r="T91">
        <v>0</v>
      </c>
      <c r="U91">
        <v>0</v>
      </c>
      <c r="V91">
        <v>0</v>
      </c>
      <c r="W91">
        <v>6.2312985939295187</v>
      </c>
      <c r="X91">
        <v>0.19546210685240109</v>
      </c>
      <c r="Y91">
        <v>0.80453789314759894</v>
      </c>
      <c r="Z91" t="s">
        <v>24</v>
      </c>
    </row>
    <row r="92" spans="1:26" hidden="1" x14ac:dyDescent="0.2">
      <c r="A92">
        <v>6</v>
      </c>
      <c r="B92" t="s">
        <v>29</v>
      </c>
      <c r="C92" s="10">
        <v>10000082</v>
      </c>
      <c r="D92" t="b">
        <v>1</v>
      </c>
      <c r="F92">
        <v>0</v>
      </c>
      <c r="G92">
        <v>0</v>
      </c>
      <c r="H92">
        <v>0</v>
      </c>
      <c r="I92">
        <v>0.31784029984325157</v>
      </c>
      <c r="J92">
        <v>0.71644149894642672</v>
      </c>
      <c r="W92">
        <v>3.8583613398579062</v>
      </c>
      <c r="X92">
        <v>1</v>
      </c>
      <c r="Y92">
        <v>0.31784029984325157</v>
      </c>
      <c r="Z92" t="s">
        <v>23</v>
      </c>
    </row>
    <row r="93" spans="1:26" hidden="1" x14ac:dyDescent="0.2">
      <c r="A93">
        <v>6</v>
      </c>
      <c r="B93" t="s">
        <v>29</v>
      </c>
      <c r="C93" s="10">
        <v>10000047</v>
      </c>
      <c r="D93" t="b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0.80453789314759894</v>
      </c>
      <c r="P93">
        <v>0</v>
      </c>
      <c r="Q93">
        <v>0.19546210685240109</v>
      </c>
      <c r="R93">
        <v>0</v>
      </c>
      <c r="S93">
        <v>0</v>
      </c>
      <c r="T93">
        <v>0</v>
      </c>
      <c r="U93">
        <v>0</v>
      </c>
      <c r="V93">
        <v>0</v>
      </c>
      <c r="W93">
        <v>6.2312985939295187</v>
      </c>
      <c r="X93">
        <v>0.19546210685240109</v>
      </c>
      <c r="Y93">
        <v>0.80453789314759894</v>
      </c>
      <c r="Z93" t="s">
        <v>24</v>
      </c>
    </row>
    <row r="94" spans="1:26" hidden="1" x14ac:dyDescent="0.2">
      <c r="A94">
        <v>6</v>
      </c>
      <c r="B94" t="s">
        <v>28</v>
      </c>
      <c r="C94" s="10">
        <v>10000033</v>
      </c>
      <c r="D94" t="b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0.25906805664995097</v>
      </c>
      <c r="Q94">
        <v>0</v>
      </c>
      <c r="R94">
        <v>0.1050910382240284</v>
      </c>
      <c r="S94">
        <v>0</v>
      </c>
      <c r="T94">
        <v>0.1050910382240284</v>
      </c>
      <c r="U94">
        <v>0</v>
      </c>
      <c r="V94">
        <v>0.74093194335004897</v>
      </c>
      <c r="W94">
        <v>6.4051812084569608</v>
      </c>
      <c r="X94">
        <v>0.1050910382240284</v>
      </c>
      <c r="Y94">
        <v>0.74093194335004897</v>
      </c>
      <c r="Z94" t="s">
        <v>24</v>
      </c>
    </row>
    <row r="95" spans="1:26" hidden="1" x14ac:dyDescent="0.2">
      <c r="A95">
        <v>6</v>
      </c>
      <c r="B95" t="s">
        <v>27</v>
      </c>
      <c r="C95" s="10">
        <v>10000082</v>
      </c>
      <c r="D95" t="b">
        <v>1</v>
      </c>
      <c r="F95">
        <v>0</v>
      </c>
      <c r="G95">
        <v>0</v>
      </c>
      <c r="H95">
        <v>0</v>
      </c>
      <c r="I95">
        <v>0</v>
      </c>
      <c r="J95">
        <v>0.99561035758362204</v>
      </c>
      <c r="W95">
        <v>3.1666666666666679</v>
      </c>
      <c r="X95">
        <v>1</v>
      </c>
      <c r="Y95">
        <v>0</v>
      </c>
      <c r="Z95" t="s">
        <v>23</v>
      </c>
    </row>
    <row r="96" spans="1:26" hidden="1" x14ac:dyDescent="0.2">
      <c r="A96">
        <v>6</v>
      </c>
      <c r="B96" t="s">
        <v>27</v>
      </c>
      <c r="C96" s="10">
        <v>10000047</v>
      </c>
      <c r="D96" t="b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0.79922926803650396</v>
      </c>
      <c r="P96">
        <v>0</v>
      </c>
      <c r="Q96">
        <v>0.2007707319634961</v>
      </c>
      <c r="R96">
        <v>0</v>
      </c>
      <c r="S96">
        <v>0</v>
      </c>
      <c r="T96">
        <v>0</v>
      </c>
      <c r="U96">
        <v>0</v>
      </c>
      <c r="V96">
        <v>0</v>
      </c>
      <c r="W96">
        <v>6.2130169891717273</v>
      </c>
      <c r="X96">
        <v>0.2007707319634961</v>
      </c>
      <c r="Y96">
        <v>0.79922926803650396</v>
      </c>
      <c r="Z96" t="s">
        <v>24</v>
      </c>
    </row>
    <row r="97" spans="1:26" hidden="1" x14ac:dyDescent="0.2">
      <c r="A97">
        <v>6</v>
      </c>
      <c r="B97" t="s">
        <v>35</v>
      </c>
      <c r="C97" s="10">
        <v>10000082</v>
      </c>
      <c r="D97" t="b">
        <v>1</v>
      </c>
      <c r="F97">
        <v>0</v>
      </c>
      <c r="G97">
        <v>0</v>
      </c>
      <c r="H97">
        <v>0</v>
      </c>
      <c r="I97">
        <v>2.7327776681163801E-2</v>
      </c>
      <c r="J97">
        <v>0.97756866116250229</v>
      </c>
      <c r="W97">
        <v>3.2278149902772379</v>
      </c>
      <c r="X97">
        <v>1</v>
      </c>
      <c r="Y97">
        <v>2.7327776681163801E-2</v>
      </c>
      <c r="Z97" t="s">
        <v>23</v>
      </c>
    </row>
    <row r="98" spans="1:26" hidden="1" x14ac:dyDescent="0.2">
      <c r="A98">
        <v>6</v>
      </c>
      <c r="B98" t="s">
        <v>35</v>
      </c>
      <c r="C98" s="10">
        <v>10000047</v>
      </c>
      <c r="D98" t="b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0.79486088634143715</v>
      </c>
      <c r="P98">
        <v>0</v>
      </c>
      <c r="Q98">
        <v>0.2051391136585628</v>
      </c>
      <c r="R98">
        <v>0</v>
      </c>
      <c r="S98">
        <v>0</v>
      </c>
      <c r="T98">
        <v>0</v>
      </c>
      <c r="U98">
        <v>0</v>
      </c>
      <c r="V98">
        <v>0</v>
      </c>
      <c r="W98">
        <v>6.1978959686168356</v>
      </c>
      <c r="X98">
        <v>0.2051391136585628</v>
      </c>
      <c r="Y98">
        <v>0.79486088634143715</v>
      </c>
      <c r="Z98" t="s">
        <v>24</v>
      </c>
    </row>
    <row r="99" spans="1:26" hidden="1" x14ac:dyDescent="0.2">
      <c r="A99">
        <v>6</v>
      </c>
      <c r="B99" t="s">
        <v>35</v>
      </c>
      <c r="C99" s="10">
        <v>10000073</v>
      </c>
      <c r="D99" t="b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0.37812798796074493</v>
      </c>
      <c r="P99">
        <v>0.24470834984811901</v>
      </c>
      <c r="Q99">
        <v>0</v>
      </c>
      <c r="R99">
        <v>0</v>
      </c>
      <c r="S99">
        <v>0</v>
      </c>
      <c r="T99">
        <v>0</v>
      </c>
      <c r="U99">
        <v>0</v>
      </c>
      <c r="V99">
        <v>0.62187201203925513</v>
      </c>
      <c r="W99">
        <v>6.6262042055319634</v>
      </c>
      <c r="X99">
        <v>0</v>
      </c>
      <c r="Y99">
        <v>0.62187201203925513</v>
      </c>
      <c r="Z99" t="s">
        <v>24</v>
      </c>
    </row>
    <row r="100" spans="1:26" hidden="1" x14ac:dyDescent="0.2">
      <c r="A100">
        <v>6</v>
      </c>
      <c r="B100" t="s">
        <v>30</v>
      </c>
      <c r="C100" s="10">
        <v>10000033</v>
      </c>
      <c r="D100" t="b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0.226048085428875</v>
      </c>
      <c r="Q100">
        <v>6.6666666666666874E-2</v>
      </c>
      <c r="R100">
        <v>0.11232369173397699</v>
      </c>
      <c r="S100">
        <v>0</v>
      </c>
      <c r="T100">
        <v>0.11232369173397699</v>
      </c>
      <c r="U100">
        <v>0</v>
      </c>
      <c r="V100">
        <v>0.773951914571125</v>
      </c>
      <c r="W100">
        <v>6.4138663643891993</v>
      </c>
      <c r="X100">
        <v>0.11232369173397699</v>
      </c>
      <c r="Y100">
        <v>0.773951914571125</v>
      </c>
      <c r="Z100" t="s">
        <v>24</v>
      </c>
    </row>
    <row r="101" spans="1:26" hidden="1" x14ac:dyDescent="0.2">
      <c r="A101">
        <v>6</v>
      </c>
      <c r="B101" t="s">
        <v>32</v>
      </c>
      <c r="C101" s="10">
        <v>10000033</v>
      </c>
      <c r="D101" t="b">
        <v>0</v>
      </c>
      <c r="E101">
        <v>0</v>
      </c>
      <c r="F101">
        <v>0</v>
      </c>
      <c r="G101">
        <v>0</v>
      </c>
      <c r="H101">
        <v>0.3</v>
      </c>
      <c r="I101">
        <v>0</v>
      </c>
      <c r="J101">
        <v>0.22402973204915369</v>
      </c>
      <c r="K101">
        <v>0</v>
      </c>
      <c r="L101">
        <v>0.7</v>
      </c>
      <c r="M101">
        <v>0.17245322483258491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6.1840387899830649</v>
      </c>
      <c r="X101">
        <v>0.17245322483258491</v>
      </c>
      <c r="Y101">
        <v>0.7</v>
      </c>
      <c r="Z101" t="s">
        <v>24</v>
      </c>
    </row>
    <row r="102" spans="1:26" hidden="1" x14ac:dyDescent="0.2">
      <c r="A102">
        <v>6</v>
      </c>
      <c r="B102" t="s">
        <v>32</v>
      </c>
      <c r="C102" s="10">
        <v>10000082</v>
      </c>
      <c r="D102" t="b">
        <v>1</v>
      </c>
      <c r="F102">
        <v>0</v>
      </c>
      <c r="G102">
        <v>0.66110340643893595</v>
      </c>
      <c r="H102">
        <v>0</v>
      </c>
      <c r="I102">
        <v>0</v>
      </c>
      <c r="J102">
        <v>0</v>
      </c>
      <c r="W102">
        <v>4.5055693124261316</v>
      </c>
      <c r="X102">
        <v>1</v>
      </c>
      <c r="Y102">
        <v>0.66110340643893595</v>
      </c>
      <c r="Z102" t="s">
        <v>23</v>
      </c>
    </row>
    <row r="103" spans="1:26" hidden="1" x14ac:dyDescent="0.2">
      <c r="A103">
        <v>7</v>
      </c>
      <c r="B103" t="s">
        <v>30</v>
      </c>
      <c r="C103" s="10">
        <v>10000033</v>
      </c>
      <c r="D103" t="b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0.30882977802696898</v>
      </c>
      <c r="Q103">
        <v>0</v>
      </c>
      <c r="R103">
        <v>9.4308567461743084E-2</v>
      </c>
      <c r="S103">
        <v>0</v>
      </c>
      <c r="T103">
        <v>9.4308567461743084E-2</v>
      </c>
      <c r="U103">
        <v>0</v>
      </c>
      <c r="V103">
        <v>0.69117022197303091</v>
      </c>
      <c r="W103">
        <v>6.3923699167247383</v>
      </c>
      <c r="X103">
        <v>9.4308567461743084E-2</v>
      </c>
      <c r="Y103">
        <v>0.69117022197303091</v>
      </c>
      <c r="Z103" t="s">
        <v>24</v>
      </c>
    </row>
    <row r="104" spans="1:26" hidden="1" x14ac:dyDescent="0.2">
      <c r="A104">
        <v>7</v>
      </c>
      <c r="B104" t="s">
        <v>29</v>
      </c>
      <c r="C104" s="10">
        <v>10000033</v>
      </c>
      <c r="D104" t="b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0.31364227068587258</v>
      </c>
      <c r="Q104">
        <v>0</v>
      </c>
      <c r="R104">
        <v>9.4308567461743084E-2</v>
      </c>
      <c r="S104">
        <v>0</v>
      </c>
      <c r="T104">
        <v>9.4308567461743084E-2</v>
      </c>
      <c r="U104">
        <v>0</v>
      </c>
      <c r="V104">
        <v>0.68635772931412742</v>
      </c>
      <c r="W104">
        <v>6.3881976259274182</v>
      </c>
      <c r="X104">
        <v>9.4308567461743084E-2</v>
      </c>
      <c r="Y104">
        <v>0.68635772931412742</v>
      </c>
      <c r="Z104" t="s">
        <v>24</v>
      </c>
    </row>
    <row r="105" spans="1:26" hidden="1" x14ac:dyDescent="0.2">
      <c r="A105">
        <v>7</v>
      </c>
      <c r="B105" t="s">
        <v>33</v>
      </c>
      <c r="C105" s="10">
        <v>10000033</v>
      </c>
      <c r="D105" t="b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0.3240903008356385</v>
      </c>
      <c r="Q105">
        <v>0</v>
      </c>
      <c r="R105">
        <v>0.1083032043507241</v>
      </c>
      <c r="S105">
        <v>0</v>
      </c>
      <c r="T105">
        <v>0.1083032043507241</v>
      </c>
      <c r="U105">
        <v>0</v>
      </c>
      <c r="V105">
        <v>0.6759096991643615</v>
      </c>
      <c r="W105">
        <v>6.3387969256945169</v>
      </c>
      <c r="X105">
        <v>0.1083032043507241</v>
      </c>
      <c r="Y105">
        <v>0.6759096991643615</v>
      </c>
      <c r="Z105" t="s">
        <v>24</v>
      </c>
    </row>
    <row r="106" spans="1:26" hidden="1" x14ac:dyDescent="0.2">
      <c r="A106">
        <v>7</v>
      </c>
      <c r="B106" t="s">
        <v>26</v>
      </c>
      <c r="C106" s="10">
        <v>10000073</v>
      </c>
      <c r="D106" t="b">
        <v>1</v>
      </c>
      <c r="E106">
        <v>0</v>
      </c>
      <c r="F106">
        <v>0</v>
      </c>
      <c r="G106">
        <v>0</v>
      </c>
      <c r="H106">
        <v>0</v>
      </c>
      <c r="I106">
        <v>0.58087447920105939</v>
      </c>
      <c r="J106">
        <v>0.24802732410730749</v>
      </c>
      <c r="W106">
        <v>5.8218276415327024</v>
      </c>
      <c r="X106">
        <v>0.24802732410730749</v>
      </c>
      <c r="Y106">
        <v>0.58087447920105939</v>
      </c>
      <c r="Z106" t="s">
        <v>24</v>
      </c>
    </row>
    <row r="107" spans="1:26" hidden="1" x14ac:dyDescent="0.2">
      <c r="A107">
        <v>7</v>
      </c>
      <c r="B107" t="s">
        <v>31</v>
      </c>
      <c r="C107" s="10">
        <v>10000082</v>
      </c>
      <c r="D107" t="b">
        <v>1</v>
      </c>
      <c r="F107">
        <v>0</v>
      </c>
      <c r="G107">
        <v>0</v>
      </c>
      <c r="H107">
        <v>0</v>
      </c>
      <c r="I107">
        <v>1</v>
      </c>
      <c r="J107">
        <v>0</v>
      </c>
      <c r="W107">
        <v>5.0025004164584352</v>
      </c>
      <c r="X107">
        <v>1</v>
      </c>
      <c r="Y107">
        <v>1</v>
      </c>
      <c r="Z107" t="s">
        <v>23</v>
      </c>
    </row>
    <row r="108" spans="1:26" hidden="1" x14ac:dyDescent="0.2">
      <c r="A108">
        <v>7</v>
      </c>
      <c r="B108" t="s">
        <v>31</v>
      </c>
      <c r="C108" s="10">
        <v>10000033</v>
      </c>
      <c r="D108" t="b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0.30117077537808851</v>
      </c>
      <c r="Q108">
        <v>0</v>
      </c>
      <c r="R108">
        <v>0.13600824844953691</v>
      </c>
      <c r="S108">
        <v>0</v>
      </c>
      <c r="T108">
        <v>0.13600824844953691</v>
      </c>
      <c r="U108">
        <v>0</v>
      </c>
      <c r="V108">
        <v>0.69882922462191144</v>
      </c>
      <c r="W108">
        <v>6.2825421777559169</v>
      </c>
      <c r="X108">
        <v>0.13600824844953691</v>
      </c>
      <c r="Y108">
        <v>0.69882922462191144</v>
      </c>
      <c r="Z108" t="s">
        <v>24</v>
      </c>
    </row>
    <row r="109" spans="1:26" hidden="1" x14ac:dyDescent="0.2">
      <c r="A109">
        <v>7</v>
      </c>
      <c r="B109" t="s">
        <v>35</v>
      </c>
      <c r="C109" s="10">
        <v>10000033</v>
      </c>
      <c r="D109" t="b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0.3003091889380054</v>
      </c>
      <c r="Q109">
        <v>0</v>
      </c>
      <c r="R109">
        <v>0.13600824844953691</v>
      </c>
      <c r="S109">
        <v>0</v>
      </c>
      <c r="T109">
        <v>0.13600824844953691</v>
      </c>
      <c r="U109">
        <v>0</v>
      </c>
      <c r="V109">
        <v>0.6996908110619946</v>
      </c>
      <c r="W109">
        <v>6.2833779623132102</v>
      </c>
      <c r="X109">
        <v>0.13600824844953691</v>
      </c>
      <c r="Y109">
        <v>0.6996908110619946</v>
      </c>
      <c r="Z109" t="s">
        <v>24</v>
      </c>
    </row>
    <row r="110" spans="1:26" hidden="1" x14ac:dyDescent="0.2">
      <c r="A110">
        <v>7</v>
      </c>
      <c r="B110" t="s">
        <v>34</v>
      </c>
      <c r="C110" s="10">
        <v>10000073</v>
      </c>
      <c r="D110" t="b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0.43835739894397219</v>
      </c>
      <c r="P110">
        <v>0</v>
      </c>
      <c r="Q110">
        <v>0.30670527866756248</v>
      </c>
      <c r="R110">
        <v>0</v>
      </c>
      <c r="S110">
        <v>0.30670527866756248</v>
      </c>
      <c r="T110">
        <v>0</v>
      </c>
      <c r="U110">
        <v>0.5616426010560277</v>
      </c>
      <c r="V110">
        <v>0</v>
      </c>
      <c r="W110">
        <v>5.6251387422895878</v>
      </c>
      <c r="X110">
        <v>0.30670527866756248</v>
      </c>
      <c r="Y110">
        <v>0.5616426010560277</v>
      </c>
      <c r="Z110" t="s">
        <v>24</v>
      </c>
    </row>
    <row r="111" spans="1:26" hidden="1" x14ac:dyDescent="0.2">
      <c r="A111">
        <v>7</v>
      </c>
      <c r="B111" t="s">
        <v>27</v>
      </c>
      <c r="C111" s="10">
        <v>10000047</v>
      </c>
      <c r="D111" t="b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0.66946303385887684</v>
      </c>
      <c r="P111">
        <v>0</v>
      </c>
      <c r="Q111">
        <v>0.3305369661411231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5.7330737654360613</v>
      </c>
      <c r="X111">
        <v>0.3305369661411231</v>
      </c>
      <c r="Y111">
        <v>0.66946303385887684</v>
      </c>
      <c r="Z111" t="s">
        <v>24</v>
      </c>
    </row>
    <row r="112" spans="1:26" hidden="1" x14ac:dyDescent="0.2">
      <c r="A112">
        <v>7</v>
      </c>
      <c r="B112" t="s">
        <v>28</v>
      </c>
      <c r="C112" s="10">
        <v>10000082</v>
      </c>
      <c r="D112" t="b">
        <v>1</v>
      </c>
      <c r="F112">
        <v>0</v>
      </c>
      <c r="G112">
        <v>0.6213460034767454</v>
      </c>
      <c r="H112">
        <v>0.37865399652325449</v>
      </c>
      <c r="I112">
        <v>0</v>
      </c>
      <c r="J112">
        <v>0.3</v>
      </c>
      <c r="W112">
        <v>4.4376840141369458</v>
      </c>
      <c r="X112">
        <v>1</v>
      </c>
      <c r="Y112">
        <v>0.6213460034767454</v>
      </c>
      <c r="Z112" t="s">
        <v>23</v>
      </c>
    </row>
    <row r="113" spans="1:26" hidden="1" x14ac:dyDescent="0.2">
      <c r="A113">
        <v>7</v>
      </c>
      <c r="B113" t="s">
        <v>28</v>
      </c>
      <c r="C113" s="10">
        <v>10000033</v>
      </c>
      <c r="D113" t="b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0.6578222125727996</v>
      </c>
      <c r="M113">
        <v>0.27087582356632212</v>
      </c>
      <c r="N113">
        <v>0</v>
      </c>
      <c r="O113">
        <v>0</v>
      </c>
      <c r="P113">
        <v>0.2</v>
      </c>
      <c r="Q113">
        <v>0.16666666666666649</v>
      </c>
      <c r="R113">
        <v>0.2</v>
      </c>
      <c r="S113">
        <v>0</v>
      </c>
      <c r="T113">
        <v>0.2</v>
      </c>
      <c r="U113">
        <v>0</v>
      </c>
      <c r="V113">
        <v>0.2</v>
      </c>
      <c r="W113">
        <v>5.8695627981914731</v>
      </c>
      <c r="X113">
        <v>0.27087582356632212</v>
      </c>
      <c r="Y113">
        <v>0.6578222125727996</v>
      </c>
      <c r="Z113" t="s">
        <v>24</v>
      </c>
    </row>
    <row r="114" spans="1:26" hidden="1" x14ac:dyDescent="0.2">
      <c r="A114">
        <v>7</v>
      </c>
      <c r="B114" t="s">
        <v>32</v>
      </c>
      <c r="C114" s="10">
        <v>10000033</v>
      </c>
      <c r="D114" t="b">
        <v>0</v>
      </c>
      <c r="E114">
        <v>0</v>
      </c>
      <c r="F114">
        <v>0.27087582356632212</v>
      </c>
      <c r="G114">
        <v>0.4814814814814814</v>
      </c>
      <c r="H114">
        <v>0.5185185185185186</v>
      </c>
      <c r="I114">
        <v>0.34375990415811408</v>
      </c>
      <c r="J114">
        <v>0.34375990415811408</v>
      </c>
      <c r="K114">
        <v>0</v>
      </c>
      <c r="L114">
        <v>0.46666666666666667</v>
      </c>
      <c r="M114">
        <v>0.27087582356632212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5.0885315043035906</v>
      </c>
      <c r="X114">
        <v>0.4814814814814814</v>
      </c>
      <c r="Y114">
        <v>0.5185185185185186</v>
      </c>
      <c r="Z114" t="s">
        <v>24</v>
      </c>
    </row>
    <row r="115" spans="1:26" hidden="1" x14ac:dyDescent="0.2">
      <c r="A115">
        <v>8</v>
      </c>
      <c r="B115" t="s">
        <v>28</v>
      </c>
      <c r="C115" s="10">
        <v>10000047</v>
      </c>
      <c r="D115" t="b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0.81581433670606995</v>
      </c>
      <c r="P115">
        <v>0</v>
      </c>
      <c r="Q115">
        <v>0.1841856632939301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6.2697915654304737</v>
      </c>
      <c r="X115">
        <v>0.1841856632939301</v>
      </c>
      <c r="Y115">
        <v>0.81581433670606995</v>
      </c>
      <c r="Z115" t="s">
        <v>24</v>
      </c>
    </row>
    <row r="116" spans="1:26" hidden="1" x14ac:dyDescent="0.2">
      <c r="A116">
        <v>8</v>
      </c>
      <c r="B116" t="s">
        <v>29</v>
      </c>
      <c r="C116" s="10">
        <v>10000082</v>
      </c>
      <c r="D116" t="b">
        <v>1</v>
      </c>
      <c r="F116">
        <v>0</v>
      </c>
      <c r="G116">
        <v>0</v>
      </c>
      <c r="H116">
        <v>0</v>
      </c>
      <c r="I116">
        <v>1</v>
      </c>
      <c r="J116">
        <v>0</v>
      </c>
      <c r="W116">
        <v>5.0025004164584352</v>
      </c>
      <c r="X116">
        <v>1</v>
      </c>
      <c r="Y116">
        <v>1</v>
      </c>
      <c r="Z116" t="s">
        <v>23</v>
      </c>
    </row>
    <row r="117" spans="1:26" hidden="1" x14ac:dyDescent="0.2">
      <c r="A117">
        <v>8</v>
      </c>
      <c r="B117" t="s">
        <v>29</v>
      </c>
      <c r="C117" s="10">
        <v>10000033</v>
      </c>
      <c r="D117" t="b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0.31606016035736151</v>
      </c>
      <c r="Q117">
        <v>0</v>
      </c>
      <c r="R117">
        <v>0.1175566683802869</v>
      </c>
      <c r="S117">
        <v>0</v>
      </c>
      <c r="T117">
        <v>0.1175566683802869</v>
      </c>
      <c r="U117">
        <v>0</v>
      </c>
      <c r="V117">
        <v>0.68393983964263849</v>
      </c>
      <c r="W117">
        <v>6.3199062404794724</v>
      </c>
      <c r="X117">
        <v>0.1175566683802869</v>
      </c>
      <c r="Y117">
        <v>0.68393983964263849</v>
      </c>
      <c r="Z117" t="s">
        <v>24</v>
      </c>
    </row>
    <row r="118" spans="1:26" hidden="1" x14ac:dyDescent="0.2">
      <c r="A118">
        <v>8</v>
      </c>
      <c r="B118" t="s">
        <v>33</v>
      </c>
      <c r="C118" s="10">
        <v>10000073</v>
      </c>
      <c r="D118" t="b">
        <v>1</v>
      </c>
      <c r="E118">
        <v>0</v>
      </c>
      <c r="F118">
        <v>0</v>
      </c>
      <c r="G118">
        <v>0</v>
      </c>
      <c r="H118">
        <v>0</v>
      </c>
      <c r="I118">
        <v>0.55771439345397666</v>
      </c>
      <c r="J118">
        <v>0.27604515950693509</v>
      </c>
      <c r="W118">
        <v>5.7048370556177561</v>
      </c>
      <c r="X118">
        <v>0.27604515950693509</v>
      </c>
      <c r="Y118">
        <v>0.55771439345397666</v>
      </c>
      <c r="Z118" t="s">
        <v>24</v>
      </c>
    </row>
    <row r="119" spans="1:26" hidden="1" x14ac:dyDescent="0.2">
      <c r="A119">
        <v>8</v>
      </c>
      <c r="B119" t="s">
        <v>34</v>
      </c>
      <c r="C119" s="10">
        <v>10000033</v>
      </c>
      <c r="D119" t="b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0.32120943129705259</v>
      </c>
      <c r="Q119">
        <v>0</v>
      </c>
      <c r="R119">
        <v>0.19874111995041219</v>
      </c>
      <c r="S119">
        <v>0</v>
      </c>
      <c r="T119">
        <v>0.19874111995041219</v>
      </c>
      <c r="U119">
        <v>0</v>
      </c>
      <c r="V119">
        <v>0.67879056870294741</v>
      </c>
      <c r="W119">
        <v>6.0891793190951784</v>
      </c>
      <c r="X119">
        <v>0.19874111995041219</v>
      </c>
      <c r="Y119">
        <v>0.67879056870294741</v>
      </c>
      <c r="Z119" t="s">
        <v>24</v>
      </c>
    </row>
    <row r="120" spans="1:26" hidden="1" x14ac:dyDescent="0.2">
      <c r="A120">
        <v>8</v>
      </c>
      <c r="B120" t="s">
        <v>31</v>
      </c>
      <c r="C120" s="10">
        <v>10000033</v>
      </c>
      <c r="D120" t="b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0.31767199243041722</v>
      </c>
      <c r="Q120">
        <v>0.31767199243041722</v>
      </c>
      <c r="R120">
        <v>0.19874111995041219</v>
      </c>
      <c r="S120">
        <v>0</v>
      </c>
      <c r="T120">
        <v>0.19874111995041219</v>
      </c>
      <c r="U120">
        <v>0</v>
      </c>
      <c r="V120">
        <v>0.55555555555555536</v>
      </c>
      <c r="W120">
        <v>5.5841826560755452</v>
      </c>
      <c r="X120">
        <v>0.31767199243041722</v>
      </c>
      <c r="Y120">
        <v>0.55555555555555536</v>
      </c>
      <c r="Z120" t="s">
        <v>24</v>
      </c>
    </row>
    <row r="121" spans="1:26" hidden="1" x14ac:dyDescent="0.2">
      <c r="A121">
        <v>8</v>
      </c>
      <c r="B121" t="s">
        <v>30</v>
      </c>
      <c r="C121" s="10">
        <v>10000073</v>
      </c>
      <c r="D121" t="b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0.43680110487422857</v>
      </c>
      <c r="P121">
        <v>0</v>
      </c>
      <c r="Q121">
        <v>0.32154589661481481</v>
      </c>
      <c r="R121">
        <v>0</v>
      </c>
      <c r="S121">
        <v>0.32154589661481481</v>
      </c>
      <c r="T121">
        <v>0</v>
      </c>
      <c r="U121">
        <v>0.56319889512577137</v>
      </c>
      <c r="V121">
        <v>0</v>
      </c>
      <c r="W121">
        <v>5.5870264050497402</v>
      </c>
      <c r="X121">
        <v>0.32154589661481481</v>
      </c>
      <c r="Y121">
        <v>0.56319889512577137</v>
      </c>
      <c r="Z121" t="s">
        <v>24</v>
      </c>
    </row>
    <row r="122" spans="1:26" hidden="1" x14ac:dyDescent="0.2">
      <c r="A122">
        <v>8</v>
      </c>
      <c r="B122" t="s">
        <v>32</v>
      </c>
      <c r="C122" s="10">
        <v>10000082</v>
      </c>
      <c r="D122" t="b">
        <v>1</v>
      </c>
      <c r="F122">
        <v>0</v>
      </c>
      <c r="G122">
        <v>0</v>
      </c>
      <c r="H122">
        <v>0</v>
      </c>
      <c r="I122">
        <v>0.89655579067917834</v>
      </c>
      <c r="J122">
        <v>0.31331466834642929</v>
      </c>
      <c r="W122">
        <v>4.8663805683082026</v>
      </c>
      <c r="X122">
        <v>1</v>
      </c>
      <c r="Y122">
        <v>0.89655579067917834</v>
      </c>
      <c r="Z122" t="s">
        <v>23</v>
      </c>
    </row>
    <row r="123" spans="1:26" hidden="1" x14ac:dyDescent="0.2">
      <c r="A123">
        <v>8</v>
      </c>
      <c r="B123" t="s">
        <v>27</v>
      </c>
      <c r="C123" s="10">
        <v>10000033</v>
      </c>
      <c r="D123" t="b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9.5238095238095344E-2</v>
      </c>
      <c r="Q123">
        <v>0.30216196280652641</v>
      </c>
      <c r="R123">
        <v>9.5238095238095344E-2</v>
      </c>
      <c r="S123">
        <v>0</v>
      </c>
      <c r="T123">
        <v>0.39270655077910932</v>
      </c>
      <c r="U123">
        <v>0</v>
      </c>
      <c r="V123">
        <v>0.60729344922089079</v>
      </c>
      <c r="W123">
        <v>5.4794495167248094</v>
      </c>
      <c r="X123">
        <v>0.39270655077910932</v>
      </c>
      <c r="Y123">
        <v>0.60729344922089079</v>
      </c>
      <c r="Z123" t="s">
        <v>24</v>
      </c>
    </row>
    <row r="124" spans="1:26" hidden="1" x14ac:dyDescent="0.2">
      <c r="A124">
        <v>8</v>
      </c>
      <c r="B124" t="s">
        <v>32</v>
      </c>
      <c r="C124" s="10">
        <v>10000073</v>
      </c>
      <c r="D124" t="b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0.54245398307122006</v>
      </c>
      <c r="M124">
        <v>0</v>
      </c>
      <c r="N124">
        <v>0</v>
      </c>
      <c r="O124">
        <v>0.16666666666666671</v>
      </c>
      <c r="P124">
        <v>0</v>
      </c>
      <c r="Q124">
        <v>0.16666666666666671</v>
      </c>
      <c r="R124">
        <v>0</v>
      </c>
      <c r="S124">
        <v>0</v>
      </c>
      <c r="T124">
        <v>0</v>
      </c>
      <c r="U124">
        <v>0</v>
      </c>
      <c r="V124">
        <v>0.16666666666666671</v>
      </c>
      <c r="W124">
        <v>6.0128009535594096</v>
      </c>
      <c r="X124">
        <v>0.16666666666666671</v>
      </c>
      <c r="Y124">
        <v>0.54245398307122006</v>
      </c>
      <c r="Z124" t="s">
        <v>24</v>
      </c>
    </row>
    <row r="125" spans="1:26" hidden="1" x14ac:dyDescent="0.2">
      <c r="A125">
        <v>8</v>
      </c>
      <c r="B125" t="s">
        <v>26</v>
      </c>
      <c r="C125" s="10">
        <v>10000033</v>
      </c>
      <c r="D125" t="b">
        <v>0</v>
      </c>
      <c r="E125">
        <v>0</v>
      </c>
      <c r="F125">
        <v>0.32692653533297428</v>
      </c>
      <c r="G125">
        <v>0.42857142857142838</v>
      </c>
      <c r="H125">
        <v>0.57142857142857162</v>
      </c>
      <c r="I125">
        <v>0.32692653533297428</v>
      </c>
      <c r="J125">
        <v>0.32692653533297428</v>
      </c>
      <c r="K125">
        <v>0</v>
      </c>
      <c r="L125">
        <v>0.36666666666666659</v>
      </c>
      <c r="M125">
        <v>0.36666666666666659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5.3257098428453169</v>
      </c>
      <c r="X125">
        <v>0.42857142857142838</v>
      </c>
      <c r="Y125">
        <v>0.57142857142857162</v>
      </c>
      <c r="Z125" t="s">
        <v>24</v>
      </c>
    </row>
    <row r="126" spans="1:26" hidden="1" x14ac:dyDescent="0.2">
      <c r="A126">
        <v>8</v>
      </c>
      <c r="B126" t="s">
        <v>35</v>
      </c>
      <c r="C126" s="10">
        <v>10000033</v>
      </c>
      <c r="D126" t="b">
        <v>0</v>
      </c>
      <c r="E126">
        <v>0</v>
      </c>
      <c r="F126">
        <v>0.3422872591777269</v>
      </c>
      <c r="G126">
        <v>0.65771274082227305</v>
      </c>
      <c r="H126">
        <v>0.1176470588235294</v>
      </c>
      <c r="I126">
        <v>0.3422872591777269</v>
      </c>
      <c r="J126">
        <v>0.1176470588235294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4.3180767959740578</v>
      </c>
      <c r="X126">
        <v>0.65771274082227305</v>
      </c>
      <c r="Y126">
        <v>0.3422872591777269</v>
      </c>
      <c r="Z126" t="s">
        <v>23</v>
      </c>
    </row>
    <row r="127" spans="1:26" hidden="1" x14ac:dyDescent="0.2">
      <c r="A127">
        <v>8</v>
      </c>
      <c r="B127" t="s">
        <v>35</v>
      </c>
      <c r="C127" s="10">
        <v>10000082</v>
      </c>
      <c r="D127" t="b">
        <v>1</v>
      </c>
      <c r="F127">
        <v>0</v>
      </c>
      <c r="G127">
        <v>0.99975110920929688</v>
      </c>
      <c r="H127">
        <v>0</v>
      </c>
      <c r="I127">
        <v>0</v>
      </c>
      <c r="J127">
        <v>0</v>
      </c>
      <c r="W127">
        <v>5.0021891088213994</v>
      </c>
      <c r="X127">
        <v>1</v>
      </c>
      <c r="Y127">
        <v>0.99975110920929688</v>
      </c>
      <c r="Z127" t="s">
        <v>23</v>
      </c>
    </row>
    <row r="128" spans="1:26" hidden="1" x14ac:dyDescent="0.2">
      <c r="A128">
        <v>8</v>
      </c>
      <c r="B128" t="s">
        <v>35</v>
      </c>
      <c r="C128" s="10">
        <v>10000047</v>
      </c>
      <c r="D128" t="b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3.1666666666666679</v>
      </c>
      <c r="X128">
        <v>1</v>
      </c>
      <c r="Y128">
        <v>0</v>
      </c>
      <c r="Z128" t="s">
        <v>23</v>
      </c>
    </row>
    <row r="129" spans="1:26" hidden="1" x14ac:dyDescent="0.2">
      <c r="A129">
        <v>8</v>
      </c>
      <c r="B129" t="s">
        <v>35</v>
      </c>
      <c r="C129" s="10">
        <v>10000073</v>
      </c>
      <c r="D129" t="b">
        <v>0</v>
      </c>
      <c r="E129">
        <v>0.46803644431836727</v>
      </c>
      <c r="F129">
        <v>0</v>
      </c>
      <c r="G129">
        <v>0.53196355568163278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3.4283044376838938</v>
      </c>
      <c r="X129">
        <v>0.53196355568163278</v>
      </c>
      <c r="Y129">
        <v>0</v>
      </c>
      <c r="Z129" t="s">
        <v>23</v>
      </c>
    </row>
    <row r="130" spans="1:26" hidden="1" x14ac:dyDescent="0.2">
      <c r="A130">
        <v>9</v>
      </c>
      <c r="B130" t="s">
        <v>30</v>
      </c>
      <c r="C130" s="10">
        <v>10000082</v>
      </c>
      <c r="D130" t="b">
        <v>1</v>
      </c>
      <c r="F130">
        <v>0</v>
      </c>
      <c r="G130">
        <v>0</v>
      </c>
      <c r="H130">
        <v>0</v>
      </c>
      <c r="I130">
        <v>0</v>
      </c>
      <c r="J130">
        <v>1</v>
      </c>
      <c r="W130">
        <v>3.1666666666666679</v>
      </c>
      <c r="X130">
        <v>1</v>
      </c>
      <c r="Y130">
        <v>0</v>
      </c>
      <c r="Z130" t="s">
        <v>23</v>
      </c>
    </row>
    <row r="131" spans="1:26" hidden="1" x14ac:dyDescent="0.2">
      <c r="A131">
        <v>9</v>
      </c>
      <c r="B131" t="s">
        <v>30</v>
      </c>
      <c r="C131" s="10">
        <v>10000033</v>
      </c>
      <c r="D131" t="b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0.30882977802696898</v>
      </c>
      <c r="Q131">
        <v>0</v>
      </c>
      <c r="R131">
        <v>3.9393863215868581E-2</v>
      </c>
      <c r="S131">
        <v>0</v>
      </c>
      <c r="T131">
        <v>3.9393863215868581E-2</v>
      </c>
      <c r="U131">
        <v>0</v>
      </c>
      <c r="V131">
        <v>0.69117022197303091</v>
      </c>
      <c r="W131">
        <v>6.5503272663420891</v>
      </c>
      <c r="X131">
        <v>3.9393863215868581E-2</v>
      </c>
      <c r="Y131">
        <v>0.69117022197303091</v>
      </c>
      <c r="Z131" t="s">
        <v>24</v>
      </c>
    </row>
    <row r="132" spans="1:26" hidden="1" x14ac:dyDescent="0.2">
      <c r="A132">
        <v>9</v>
      </c>
      <c r="B132" t="s">
        <v>29</v>
      </c>
      <c r="C132" s="10">
        <v>10000033</v>
      </c>
      <c r="D132" t="b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0.30003898682316121</v>
      </c>
      <c r="Q132">
        <v>0</v>
      </c>
      <c r="R132">
        <v>0.17430215644742461</v>
      </c>
      <c r="S132">
        <v>0</v>
      </c>
      <c r="T132">
        <v>0.17430215644742461</v>
      </c>
      <c r="U132">
        <v>0</v>
      </c>
      <c r="V132">
        <v>0.69996101317683879</v>
      </c>
      <c r="W132">
        <v>6.1789931211367151</v>
      </c>
      <c r="X132">
        <v>0.17430215644742461</v>
      </c>
      <c r="Y132">
        <v>0.69996101317683879</v>
      </c>
      <c r="Z132" t="s">
        <v>24</v>
      </c>
    </row>
    <row r="133" spans="1:26" hidden="1" x14ac:dyDescent="0.2">
      <c r="A133">
        <v>9</v>
      </c>
      <c r="B133" t="s">
        <v>26</v>
      </c>
      <c r="C133" s="10">
        <v>10000082</v>
      </c>
      <c r="D133" t="b">
        <v>1</v>
      </c>
      <c r="F133">
        <v>0</v>
      </c>
      <c r="G133">
        <v>0</v>
      </c>
      <c r="H133">
        <v>0</v>
      </c>
      <c r="I133">
        <v>6.7460294124121927E-3</v>
      </c>
      <c r="J133">
        <v>0.9932539705875878</v>
      </c>
      <c r="W133">
        <v>3.1817710714526379</v>
      </c>
      <c r="X133">
        <v>1</v>
      </c>
      <c r="Y133">
        <v>6.7460294124121927E-3</v>
      </c>
      <c r="Z133" t="s">
        <v>23</v>
      </c>
    </row>
    <row r="134" spans="1:26" hidden="1" x14ac:dyDescent="0.2">
      <c r="A134">
        <v>9</v>
      </c>
      <c r="B134" t="s">
        <v>26</v>
      </c>
      <c r="C134" s="10">
        <v>10000047</v>
      </c>
      <c r="D134" t="b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0.74702973463168132</v>
      </c>
      <c r="P134">
        <v>0</v>
      </c>
      <c r="Q134">
        <v>0.25297026536831868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6.0277031596437061</v>
      </c>
      <c r="X134">
        <v>0.25297026536831868</v>
      </c>
      <c r="Y134">
        <v>0.74702973463168132</v>
      </c>
      <c r="Z134" t="s">
        <v>24</v>
      </c>
    </row>
    <row r="135" spans="1:26" hidden="1" x14ac:dyDescent="0.2">
      <c r="A135">
        <v>9</v>
      </c>
      <c r="B135" t="s">
        <v>35</v>
      </c>
      <c r="C135" s="10">
        <v>10000033</v>
      </c>
      <c r="D135" t="b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0.31168801325230872</v>
      </c>
      <c r="Q135">
        <v>0</v>
      </c>
      <c r="R135">
        <v>0.30187599578456908</v>
      </c>
      <c r="S135">
        <v>0</v>
      </c>
      <c r="T135">
        <v>0.30187599578456908</v>
      </c>
      <c r="U135">
        <v>0</v>
      </c>
      <c r="V135">
        <v>0.68831198674769134</v>
      </c>
      <c r="W135">
        <v>5.8314288460672339</v>
      </c>
      <c r="X135">
        <v>0.30187599578456908</v>
      </c>
      <c r="Y135">
        <v>0.68831198674769134</v>
      </c>
      <c r="Z135" t="s">
        <v>24</v>
      </c>
    </row>
    <row r="136" spans="1:26" hidden="1" x14ac:dyDescent="0.2">
      <c r="A136">
        <v>9</v>
      </c>
      <c r="B136" t="s">
        <v>32</v>
      </c>
      <c r="C136" s="10">
        <v>10000082</v>
      </c>
      <c r="D136" t="b">
        <v>1</v>
      </c>
      <c r="F136">
        <v>0</v>
      </c>
      <c r="G136">
        <v>0</v>
      </c>
      <c r="H136">
        <v>0</v>
      </c>
      <c r="I136">
        <v>0.52639674281671733</v>
      </c>
      <c r="J136">
        <v>0.51940808350797063</v>
      </c>
      <c r="W136">
        <v>4.2676924654557178</v>
      </c>
      <c r="X136">
        <v>1</v>
      </c>
      <c r="Y136">
        <v>0.52639674281671733</v>
      </c>
      <c r="Z136" t="s">
        <v>23</v>
      </c>
    </row>
    <row r="137" spans="1:26" hidden="1" x14ac:dyDescent="0.2">
      <c r="A137">
        <v>9</v>
      </c>
      <c r="B137" t="s">
        <v>32</v>
      </c>
      <c r="C137" s="10">
        <v>10000073</v>
      </c>
      <c r="D137" t="b">
        <v>1</v>
      </c>
      <c r="E137">
        <v>0</v>
      </c>
      <c r="F137">
        <v>0</v>
      </c>
      <c r="G137">
        <v>0</v>
      </c>
      <c r="H137">
        <v>0</v>
      </c>
      <c r="I137">
        <v>0.56517197551295562</v>
      </c>
      <c r="J137">
        <v>0.41543230011086202</v>
      </c>
      <c r="W137">
        <v>5.3460007976172594</v>
      </c>
      <c r="X137">
        <v>0.41543230011086202</v>
      </c>
      <c r="Y137">
        <v>0.56517197551295562</v>
      </c>
      <c r="Z137" t="s">
        <v>24</v>
      </c>
    </row>
    <row r="138" spans="1:26" hidden="1" x14ac:dyDescent="0.2">
      <c r="A138">
        <v>9</v>
      </c>
      <c r="B138" t="s">
        <v>28</v>
      </c>
      <c r="C138" s="10">
        <v>10000047</v>
      </c>
      <c r="D138" t="b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0.6480828362833182</v>
      </c>
      <c r="P138">
        <v>0.3519171637166818</v>
      </c>
      <c r="Q138">
        <v>0.33333333333333348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5.6942724229912827</v>
      </c>
      <c r="X138">
        <v>0.33333333333333348</v>
      </c>
      <c r="Y138">
        <v>0.6480828362833182</v>
      </c>
      <c r="Z138" t="s">
        <v>24</v>
      </c>
    </row>
    <row r="139" spans="1:26" hidden="1" x14ac:dyDescent="0.2">
      <c r="A139">
        <v>9</v>
      </c>
      <c r="B139" t="s">
        <v>27</v>
      </c>
      <c r="C139" s="10">
        <v>10000033</v>
      </c>
      <c r="D139" t="b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0.4</v>
      </c>
      <c r="M139">
        <v>0.31966005677379788</v>
      </c>
      <c r="N139">
        <v>0</v>
      </c>
      <c r="O139">
        <v>0</v>
      </c>
      <c r="P139">
        <v>0.33100668976285869</v>
      </c>
      <c r="Q139">
        <v>0</v>
      </c>
      <c r="R139">
        <v>0.31966005677379788</v>
      </c>
      <c r="S139">
        <v>0</v>
      </c>
      <c r="T139">
        <v>0.31966005677379788</v>
      </c>
      <c r="U139">
        <v>0</v>
      </c>
      <c r="V139">
        <v>0.6</v>
      </c>
      <c r="W139">
        <v>5.6542122670418111</v>
      </c>
      <c r="X139">
        <v>0.31966005677379788</v>
      </c>
      <c r="Y139">
        <v>0.6</v>
      </c>
      <c r="Z139" t="s">
        <v>24</v>
      </c>
    </row>
    <row r="140" spans="1:26" hidden="1" x14ac:dyDescent="0.2">
      <c r="A140">
        <v>9</v>
      </c>
      <c r="B140" t="s">
        <v>31</v>
      </c>
      <c r="C140" s="10">
        <v>10000082</v>
      </c>
      <c r="D140" t="b">
        <v>1</v>
      </c>
      <c r="F140">
        <v>0</v>
      </c>
      <c r="G140">
        <v>0.5856278736449958</v>
      </c>
      <c r="H140">
        <v>0</v>
      </c>
      <c r="I140">
        <v>0.16666666666666671</v>
      </c>
      <c r="J140">
        <v>0.16666666666666671</v>
      </c>
      <c r="W140">
        <v>4.3750223499967564</v>
      </c>
      <c r="X140">
        <v>1</v>
      </c>
      <c r="Y140">
        <v>0.5856278736449958</v>
      </c>
      <c r="Z140" t="s">
        <v>23</v>
      </c>
    </row>
    <row r="141" spans="1:26" hidden="1" x14ac:dyDescent="0.2">
      <c r="A141">
        <v>9</v>
      </c>
      <c r="B141" t="s">
        <v>31</v>
      </c>
      <c r="C141" s="10">
        <v>10000033</v>
      </c>
      <c r="D141" t="b">
        <v>0</v>
      </c>
      <c r="E141">
        <v>0</v>
      </c>
      <c r="F141">
        <v>0</v>
      </c>
      <c r="G141">
        <v>0</v>
      </c>
      <c r="H141">
        <v>0.33333333333333331</v>
      </c>
      <c r="I141">
        <v>0</v>
      </c>
      <c r="J141">
        <v>0.33311423373775439</v>
      </c>
      <c r="K141">
        <v>0</v>
      </c>
      <c r="L141">
        <v>0.57145825612302559</v>
      </c>
      <c r="M141">
        <v>0.42854174387697452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5.3258394092029206</v>
      </c>
      <c r="X141">
        <v>0.42854174387697452</v>
      </c>
      <c r="Y141">
        <v>0.57145825612302559</v>
      </c>
      <c r="Z141" t="s">
        <v>24</v>
      </c>
    </row>
    <row r="142" spans="1:26" hidden="1" x14ac:dyDescent="0.2">
      <c r="A142">
        <v>9</v>
      </c>
      <c r="B142" t="s">
        <v>31</v>
      </c>
      <c r="C142" s="10">
        <v>10000047</v>
      </c>
      <c r="D142" t="b">
        <v>0</v>
      </c>
      <c r="E142">
        <v>0</v>
      </c>
      <c r="F142">
        <v>0</v>
      </c>
      <c r="G142">
        <v>0</v>
      </c>
      <c r="H142">
        <v>0</v>
      </c>
      <c r="I142">
        <v>0.33333333333333331</v>
      </c>
      <c r="J142">
        <v>0</v>
      </c>
      <c r="K142">
        <v>0</v>
      </c>
      <c r="L142">
        <v>0.56666612177363407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6.5943665711220714</v>
      </c>
      <c r="X142">
        <v>0</v>
      </c>
      <c r="Y142">
        <v>0.56666612177363407</v>
      </c>
      <c r="Z142" t="s">
        <v>24</v>
      </c>
    </row>
    <row r="143" spans="1:26" hidden="1" x14ac:dyDescent="0.2">
      <c r="A143">
        <v>9</v>
      </c>
      <c r="B143" t="s">
        <v>34</v>
      </c>
      <c r="C143" s="10">
        <v>10000033</v>
      </c>
      <c r="D143" t="b">
        <v>0</v>
      </c>
      <c r="E143">
        <v>0</v>
      </c>
      <c r="F143">
        <v>0</v>
      </c>
      <c r="G143">
        <v>0</v>
      </c>
      <c r="H143">
        <v>0.33333333333333331</v>
      </c>
      <c r="I143">
        <v>0</v>
      </c>
      <c r="J143">
        <v>0.31912609232996569</v>
      </c>
      <c r="K143">
        <v>0</v>
      </c>
      <c r="L143">
        <v>0.57145825612302559</v>
      </c>
      <c r="M143">
        <v>0.42854174387697452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5.3258394092029206</v>
      </c>
      <c r="X143">
        <v>0.42854174387697452</v>
      </c>
      <c r="Y143">
        <v>0.57145825612302559</v>
      </c>
      <c r="Z143" t="s">
        <v>24</v>
      </c>
    </row>
    <row r="144" spans="1:26" hidden="1" x14ac:dyDescent="0.2">
      <c r="A144">
        <v>9</v>
      </c>
      <c r="B144" t="s">
        <v>33</v>
      </c>
      <c r="C144" s="10">
        <v>10000082</v>
      </c>
      <c r="D144" t="b">
        <v>1</v>
      </c>
      <c r="F144">
        <v>0</v>
      </c>
      <c r="G144">
        <v>0.76739877597477557</v>
      </c>
      <c r="H144">
        <v>0</v>
      </c>
      <c r="I144">
        <v>0</v>
      </c>
      <c r="J144">
        <v>0</v>
      </c>
      <c r="W144">
        <v>4.6772498996507128</v>
      </c>
      <c r="X144">
        <v>1</v>
      </c>
      <c r="Y144">
        <v>0.76739877597477557</v>
      </c>
      <c r="Z144" t="s">
        <v>23</v>
      </c>
    </row>
    <row r="145" spans="1:26" hidden="1" x14ac:dyDescent="0.2">
      <c r="A145">
        <v>9</v>
      </c>
      <c r="B145" t="s">
        <v>33</v>
      </c>
      <c r="C145" s="10">
        <v>10000073</v>
      </c>
      <c r="D145" t="b">
        <v>0</v>
      </c>
      <c r="E145">
        <v>0.45840319740742619</v>
      </c>
      <c r="F145">
        <v>0</v>
      </c>
      <c r="G145">
        <v>0.54159680259257381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3.422694011604158</v>
      </c>
      <c r="X145">
        <v>0.54159680259257381</v>
      </c>
      <c r="Y145">
        <v>0</v>
      </c>
      <c r="Z145" t="s">
        <v>23</v>
      </c>
    </row>
    <row r="146" spans="1:26" hidden="1" x14ac:dyDescent="0.2">
      <c r="A146">
        <v>9</v>
      </c>
      <c r="B146" t="s">
        <v>33</v>
      </c>
      <c r="C146" s="10">
        <v>10000033</v>
      </c>
      <c r="D146" t="b">
        <v>0</v>
      </c>
      <c r="E146">
        <v>0</v>
      </c>
      <c r="F146">
        <v>0</v>
      </c>
      <c r="G146">
        <v>0</v>
      </c>
      <c r="H146">
        <v>0.66660366955628925</v>
      </c>
      <c r="I146">
        <v>0</v>
      </c>
      <c r="J146">
        <v>0.33339633044371081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6.6517858417150144</v>
      </c>
      <c r="X146">
        <v>0</v>
      </c>
      <c r="Y146">
        <v>0.66660366955628925</v>
      </c>
      <c r="Z146" t="s">
        <v>24</v>
      </c>
    </row>
    <row r="147" spans="1:26" hidden="1" x14ac:dyDescent="0.2">
      <c r="A147">
        <v>10</v>
      </c>
      <c r="B147" t="s">
        <v>26</v>
      </c>
      <c r="C147" s="10">
        <v>10000033</v>
      </c>
      <c r="D147" t="b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0.30882977802696898</v>
      </c>
      <c r="Q147">
        <v>0</v>
      </c>
      <c r="R147">
        <v>4.0304683712410951E-2</v>
      </c>
      <c r="S147">
        <v>0</v>
      </c>
      <c r="T147">
        <v>4.0304683712410951E-2</v>
      </c>
      <c r="U147">
        <v>0</v>
      </c>
      <c r="V147">
        <v>0.69117022197303091</v>
      </c>
      <c r="W147">
        <v>6.5476791032068506</v>
      </c>
      <c r="X147">
        <v>4.0304683712410951E-2</v>
      </c>
      <c r="Y147">
        <v>0.69117022197303091</v>
      </c>
      <c r="Z147" t="s">
        <v>24</v>
      </c>
    </row>
    <row r="148" spans="1:26" hidden="1" x14ac:dyDescent="0.2">
      <c r="A148">
        <v>10</v>
      </c>
      <c r="B148" t="s">
        <v>30</v>
      </c>
      <c r="C148" s="10">
        <v>10000073</v>
      </c>
      <c r="D148" t="b">
        <v>1</v>
      </c>
      <c r="E148">
        <v>0</v>
      </c>
      <c r="F148">
        <v>0</v>
      </c>
      <c r="G148">
        <v>0</v>
      </c>
      <c r="H148">
        <v>0</v>
      </c>
      <c r="I148">
        <v>0.56557812639753557</v>
      </c>
      <c r="J148">
        <v>0.24057252848259511</v>
      </c>
      <c r="W148">
        <v>5.8201425144067684</v>
      </c>
      <c r="X148">
        <v>0.24057252848259511</v>
      </c>
      <c r="Y148">
        <v>0.56557812639753557</v>
      </c>
      <c r="Z148" t="s">
        <v>24</v>
      </c>
    </row>
    <row r="149" spans="1:26" hidden="1" x14ac:dyDescent="0.2">
      <c r="A149">
        <v>10</v>
      </c>
      <c r="B149" t="s">
        <v>32</v>
      </c>
      <c r="C149" s="10">
        <v>10000073</v>
      </c>
      <c r="D149" t="b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0.43622190071072131</v>
      </c>
      <c r="P149">
        <v>0</v>
      </c>
      <c r="Q149">
        <v>0.24057252848259511</v>
      </c>
      <c r="R149">
        <v>0</v>
      </c>
      <c r="S149">
        <v>0.24057252848259511</v>
      </c>
      <c r="T149">
        <v>0</v>
      </c>
      <c r="U149">
        <v>0.5637780992892788</v>
      </c>
      <c r="V149">
        <v>0</v>
      </c>
      <c r="W149">
        <v>5.817371416591131</v>
      </c>
      <c r="X149">
        <v>0.24057252848259511</v>
      </c>
      <c r="Y149">
        <v>0.5637780992892788</v>
      </c>
      <c r="Z149" t="s">
        <v>24</v>
      </c>
    </row>
    <row r="150" spans="1:26" hidden="1" x14ac:dyDescent="0.2">
      <c r="A150">
        <v>10</v>
      </c>
      <c r="B150" t="s">
        <v>33</v>
      </c>
      <c r="C150" s="10">
        <v>10000047</v>
      </c>
      <c r="D150" t="b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0.80094911859136853</v>
      </c>
      <c r="P150">
        <v>0</v>
      </c>
      <c r="Q150">
        <v>0.19905088140863139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6.2189508008438379</v>
      </c>
      <c r="X150">
        <v>0.19905088140863139</v>
      </c>
      <c r="Y150">
        <v>0.80094911859136853</v>
      </c>
      <c r="Z150" t="s">
        <v>24</v>
      </c>
    </row>
    <row r="151" spans="1:26" hidden="1" x14ac:dyDescent="0.2">
      <c r="A151">
        <v>10</v>
      </c>
      <c r="B151" t="s">
        <v>33</v>
      </c>
      <c r="C151" s="10">
        <v>10000082</v>
      </c>
      <c r="D151" t="b">
        <v>1</v>
      </c>
      <c r="F151">
        <v>0</v>
      </c>
      <c r="G151">
        <v>0</v>
      </c>
      <c r="H151">
        <v>0</v>
      </c>
      <c r="I151">
        <v>0</v>
      </c>
      <c r="J151">
        <v>0.52208731840562972</v>
      </c>
      <c r="W151">
        <v>3.1666666666666679</v>
      </c>
      <c r="X151">
        <v>1</v>
      </c>
      <c r="Y151">
        <v>0</v>
      </c>
      <c r="Z151" t="s">
        <v>23</v>
      </c>
    </row>
    <row r="152" spans="1:26" hidden="1" x14ac:dyDescent="0.2">
      <c r="A152">
        <v>10</v>
      </c>
      <c r="B152" t="s">
        <v>28</v>
      </c>
      <c r="C152" s="10">
        <v>10000082</v>
      </c>
      <c r="D152" t="b">
        <v>1</v>
      </c>
      <c r="F152">
        <v>0</v>
      </c>
      <c r="G152">
        <v>0</v>
      </c>
      <c r="H152">
        <v>0</v>
      </c>
      <c r="I152">
        <v>0</v>
      </c>
      <c r="J152">
        <v>0.52208731840562972</v>
      </c>
      <c r="W152">
        <v>3.1666666666666679</v>
      </c>
      <c r="X152">
        <v>1</v>
      </c>
      <c r="Y152">
        <v>0</v>
      </c>
      <c r="Z152" t="s">
        <v>23</v>
      </c>
    </row>
    <row r="153" spans="1:26" hidden="1" x14ac:dyDescent="0.2">
      <c r="A153">
        <v>10</v>
      </c>
      <c r="B153" t="s">
        <v>28</v>
      </c>
      <c r="C153" s="10">
        <v>10000047</v>
      </c>
      <c r="D153" t="b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0.79556715612138196</v>
      </c>
      <c r="P153">
        <v>0</v>
      </c>
      <c r="Q153">
        <v>0.2044328438786181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6.2003459506786927</v>
      </c>
      <c r="X153">
        <v>0.2044328438786181</v>
      </c>
      <c r="Y153">
        <v>0.79556715612138196</v>
      </c>
      <c r="Z153" t="s">
        <v>24</v>
      </c>
    </row>
    <row r="154" spans="1:26" hidden="1" x14ac:dyDescent="0.2">
      <c r="A154">
        <v>10</v>
      </c>
      <c r="B154" t="s">
        <v>28</v>
      </c>
      <c r="C154" s="10">
        <v>10000073</v>
      </c>
      <c r="D154" t="b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0.43014059657252052</v>
      </c>
      <c r="P154">
        <v>0.24833802790992099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0.56985940342747954</v>
      </c>
      <c r="W154">
        <v>6.5962163466666794</v>
      </c>
      <c r="X154">
        <v>0</v>
      </c>
      <c r="Y154">
        <v>0.56985940342747954</v>
      </c>
      <c r="Z154" t="s">
        <v>24</v>
      </c>
    </row>
    <row r="155" spans="1:26" hidden="1" x14ac:dyDescent="0.2">
      <c r="A155">
        <v>10</v>
      </c>
      <c r="B155" t="s">
        <v>29</v>
      </c>
      <c r="C155" s="10">
        <v>10000033</v>
      </c>
      <c r="D155" t="b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0.31175679971140818</v>
      </c>
      <c r="Q155">
        <v>0</v>
      </c>
      <c r="R155">
        <v>9.1599304543185545E-2</v>
      </c>
      <c r="S155">
        <v>0</v>
      </c>
      <c r="T155">
        <v>9.1599304543185545E-2</v>
      </c>
      <c r="U155">
        <v>0</v>
      </c>
      <c r="V155">
        <v>0.68824320028859176</v>
      </c>
      <c r="W155">
        <v>6.397563138069132</v>
      </c>
      <c r="X155">
        <v>9.1599304543185545E-2</v>
      </c>
      <c r="Y155">
        <v>0.68824320028859176</v>
      </c>
      <c r="Z155" t="s">
        <v>24</v>
      </c>
    </row>
    <row r="156" spans="1:26" hidden="1" x14ac:dyDescent="0.2">
      <c r="A156">
        <v>10</v>
      </c>
      <c r="B156" t="s">
        <v>31</v>
      </c>
      <c r="C156" s="10">
        <v>10000073</v>
      </c>
      <c r="D156" t="b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0.43703065930745399</v>
      </c>
      <c r="P156">
        <v>0.28571428571428559</v>
      </c>
      <c r="Q156">
        <v>0.3254531760588838</v>
      </c>
      <c r="R156">
        <v>0</v>
      </c>
      <c r="S156">
        <v>0</v>
      </c>
      <c r="T156">
        <v>0</v>
      </c>
      <c r="U156">
        <v>0</v>
      </c>
      <c r="V156">
        <v>0.56296934069254601</v>
      </c>
      <c r="W156">
        <v>5.5759776283939644</v>
      </c>
      <c r="X156">
        <v>0.3254531760588838</v>
      </c>
      <c r="Y156">
        <v>0.56296934069254601</v>
      </c>
      <c r="Z156" t="s">
        <v>24</v>
      </c>
    </row>
    <row r="157" spans="1:26" hidden="1" x14ac:dyDescent="0.2">
      <c r="A157">
        <v>10</v>
      </c>
      <c r="B157" t="s">
        <v>35</v>
      </c>
      <c r="C157" s="10">
        <v>10000073</v>
      </c>
      <c r="D157" t="b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6.6666666666666666E-2</v>
      </c>
      <c r="L157">
        <v>6.6666666666666666E-2</v>
      </c>
      <c r="M157">
        <v>0</v>
      </c>
      <c r="N157">
        <v>0</v>
      </c>
      <c r="O157">
        <v>0.4409242464309947</v>
      </c>
      <c r="P157">
        <v>0</v>
      </c>
      <c r="Q157">
        <v>0.3254531760588838</v>
      </c>
      <c r="R157">
        <v>0</v>
      </c>
      <c r="S157">
        <v>0.3254531760588838</v>
      </c>
      <c r="T157">
        <v>0</v>
      </c>
      <c r="U157">
        <v>0.39999999999999991</v>
      </c>
      <c r="V157">
        <v>0.5590757535690053</v>
      </c>
      <c r="W157">
        <v>5.5690872481334583</v>
      </c>
      <c r="X157">
        <v>0.3254531760588838</v>
      </c>
      <c r="Y157">
        <v>0.5590757535690053</v>
      </c>
      <c r="Z157" t="s">
        <v>24</v>
      </c>
    </row>
    <row r="158" spans="1:26" hidden="1" x14ac:dyDescent="0.2">
      <c r="A158">
        <v>10</v>
      </c>
      <c r="B158" t="s">
        <v>34</v>
      </c>
      <c r="C158" s="10">
        <v>10000033</v>
      </c>
      <c r="D158" t="b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0.6333333333333333</v>
      </c>
      <c r="M158">
        <v>0.26888169036345572</v>
      </c>
      <c r="N158">
        <v>0</v>
      </c>
      <c r="O158">
        <v>0</v>
      </c>
      <c r="P158">
        <v>0.32629960696059979</v>
      </c>
      <c r="Q158">
        <v>0</v>
      </c>
      <c r="R158">
        <v>0.26888169036345572</v>
      </c>
      <c r="S158">
        <v>0</v>
      </c>
      <c r="T158">
        <v>0.26888169036345572</v>
      </c>
      <c r="U158">
        <v>0</v>
      </c>
      <c r="V158">
        <v>0.36666666666666659</v>
      </c>
      <c r="W158">
        <v>5.8407358934380298</v>
      </c>
      <c r="X158">
        <v>0.26888169036345572</v>
      </c>
      <c r="Y158">
        <v>0.6333333333333333</v>
      </c>
      <c r="Z158" t="s">
        <v>24</v>
      </c>
    </row>
    <row r="159" spans="1:26" hidden="1" x14ac:dyDescent="0.2">
      <c r="A159">
        <v>10</v>
      </c>
      <c r="B159" t="s">
        <v>34</v>
      </c>
      <c r="C159" s="10">
        <v>10000082</v>
      </c>
      <c r="D159" t="b">
        <v>1</v>
      </c>
      <c r="F159">
        <v>0</v>
      </c>
      <c r="G159">
        <v>0.6333333333333333</v>
      </c>
      <c r="H159">
        <v>0</v>
      </c>
      <c r="I159">
        <v>0.36666666666666659</v>
      </c>
      <c r="J159">
        <v>0</v>
      </c>
      <c r="W159">
        <v>4.4583601773109693</v>
      </c>
      <c r="X159">
        <v>1</v>
      </c>
      <c r="Y159">
        <v>0.6333333333333333</v>
      </c>
      <c r="Z159" t="s">
        <v>23</v>
      </c>
    </row>
    <row r="160" spans="1:26" hidden="1" x14ac:dyDescent="0.2">
      <c r="A160">
        <v>10</v>
      </c>
      <c r="B160" t="s">
        <v>27</v>
      </c>
      <c r="C160" s="10">
        <v>10000082</v>
      </c>
      <c r="D160" t="b">
        <v>1</v>
      </c>
      <c r="F160">
        <v>0</v>
      </c>
      <c r="G160">
        <v>0.68013615954759554</v>
      </c>
      <c r="H160">
        <v>0</v>
      </c>
      <c r="I160">
        <v>0</v>
      </c>
      <c r="J160">
        <v>0</v>
      </c>
      <c r="W160">
        <v>4.5373645868046859</v>
      </c>
      <c r="X160">
        <v>1</v>
      </c>
      <c r="Y160">
        <v>0.68013615954759554</v>
      </c>
      <c r="Z160" t="s">
        <v>23</v>
      </c>
    </row>
    <row r="161" spans="1:26" hidden="1" x14ac:dyDescent="0.2">
      <c r="A161">
        <v>10</v>
      </c>
      <c r="B161" t="s">
        <v>27</v>
      </c>
      <c r="C161" s="10">
        <v>10000073</v>
      </c>
      <c r="D161" t="b">
        <v>0</v>
      </c>
      <c r="E161">
        <v>0</v>
      </c>
      <c r="F161">
        <v>0</v>
      </c>
      <c r="G161">
        <v>0.5</v>
      </c>
      <c r="H161">
        <v>0.5</v>
      </c>
      <c r="I161">
        <v>0.46121896915692112</v>
      </c>
      <c r="J161">
        <v>0.46121896915692112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5.0025004164584352</v>
      </c>
      <c r="X161">
        <v>0.5</v>
      </c>
      <c r="Y161">
        <v>0.5</v>
      </c>
      <c r="Z161" t="s">
        <v>23</v>
      </c>
    </row>
    <row r="162" spans="1:26" hidden="1" x14ac:dyDescent="0.2">
      <c r="A162">
        <v>10</v>
      </c>
      <c r="B162" t="s">
        <v>27</v>
      </c>
      <c r="C162" s="10">
        <v>10000033</v>
      </c>
      <c r="D162" t="b">
        <v>0</v>
      </c>
      <c r="E162">
        <v>0</v>
      </c>
      <c r="F162">
        <v>0.28758542361889972</v>
      </c>
      <c r="G162">
        <v>0.66407803415024069</v>
      </c>
      <c r="H162">
        <v>0.33333333333333348</v>
      </c>
      <c r="I162">
        <v>0.33592196584975931</v>
      </c>
      <c r="J162">
        <v>0.33333333333333348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4.2926716551302508</v>
      </c>
      <c r="X162">
        <v>0.66407803415024069</v>
      </c>
      <c r="Y162">
        <v>0.33592196584975931</v>
      </c>
      <c r="Z162" t="s">
        <v>23</v>
      </c>
    </row>
    <row r="163" spans="1:26" hidden="1" x14ac:dyDescent="0.2">
      <c r="A163">
        <v>10</v>
      </c>
      <c r="B163" t="s">
        <v>27</v>
      </c>
      <c r="C163" s="10">
        <v>10000047</v>
      </c>
      <c r="D163" t="b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3.1666666666666679</v>
      </c>
      <c r="X163">
        <v>1</v>
      </c>
      <c r="Y163">
        <v>0</v>
      </c>
      <c r="Z163" t="s">
        <v>23</v>
      </c>
    </row>
    <row r="164" spans="1:26" hidden="1" x14ac:dyDescent="0.2">
      <c r="A164">
        <v>11</v>
      </c>
      <c r="B164" t="s">
        <v>28</v>
      </c>
      <c r="C164" s="10">
        <v>10000082</v>
      </c>
      <c r="D164" t="b">
        <v>1</v>
      </c>
      <c r="F164">
        <v>0</v>
      </c>
      <c r="G164">
        <v>0</v>
      </c>
      <c r="H164">
        <v>0</v>
      </c>
      <c r="I164">
        <v>0</v>
      </c>
      <c r="J164">
        <v>0.81735405354412671</v>
      </c>
      <c r="W164">
        <v>3.1666666666666679</v>
      </c>
      <c r="X164">
        <v>1</v>
      </c>
      <c r="Y164">
        <v>0</v>
      </c>
      <c r="Z164" t="s">
        <v>23</v>
      </c>
    </row>
    <row r="165" spans="1:26" hidden="1" x14ac:dyDescent="0.2">
      <c r="A165">
        <v>11</v>
      </c>
      <c r="B165" t="s">
        <v>28</v>
      </c>
      <c r="C165" s="10">
        <v>10000033</v>
      </c>
      <c r="D165" t="b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0.30882977802696898</v>
      </c>
      <c r="Q165">
        <v>0</v>
      </c>
      <c r="R165">
        <v>0.1015106751132618</v>
      </c>
      <c r="S165">
        <v>0</v>
      </c>
      <c r="T165">
        <v>0.1015106751132618</v>
      </c>
      <c r="U165">
        <v>0</v>
      </c>
      <c r="V165">
        <v>0.69117022197303091</v>
      </c>
      <c r="W165">
        <v>6.3719375175971509</v>
      </c>
      <c r="X165">
        <v>0.1015106751132618</v>
      </c>
      <c r="Y165">
        <v>0.69117022197303091</v>
      </c>
      <c r="Z165" t="s">
        <v>24</v>
      </c>
    </row>
    <row r="166" spans="1:26" hidden="1" x14ac:dyDescent="0.2">
      <c r="A166">
        <v>11</v>
      </c>
      <c r="B166" t="s">
        <v>30</v>
      </c>
      <c r="C166" s="10">
        <v>10000082</v>
      </c>
      <c r="D166" t="b">
        <v>1</v>
      </c>
      <c r="F166">
        <v>0</v>
      </c>
      <c r="G166">
        <v>0</v>
      </c>
      <c r="H166">
        <v>0</v>
      </c>
      <c r="I166">
        <v>4.4906234103695378E-3</v>
      </c>
      <c r="J166">
        <v>0.99550937658963046</v>
      </c>
      <c r="W166">
        <v>3.1767210952632441</v>
      </c>
      <c r="X166">
        <v>1</v>
      </c>
      <c r="Y166">
        <v>4.4906234103695378E-3</v>
      </c>
      <c r="Z166" t="s">
        <v>23</v>
      </c>
    </row>
    <row r="167" spans="1:26" hidden="1" x14ac:dyDescent="0.2">
      <c r="A167">
        <v>11</v>
      </c>
      <c r="B167" t="s">
        <v>30</v>
      </c>
      <c r="C167" s="10">
        <v>10000073</v>
      </c>
      <c r="D167" t="b">
        <v>1</v>
      </c>
      <c r="E167">
        <v>0</v>
      </c>
      <c r="F167">
        <v>0</v>
      </c>
      <c r="G167">
        <v>0</v>
      </c>
      <c r="H167">
        <v>0</v>
      </c>
      <c r="I167">
        <v>0.56843257283635951</v>
      </c>
      <c r="J167">
        <v>0.25208497577581079</v>
      </c>
      <c r="W167">
        <v>5.7910381453357802</v>
      </c>
      <c r="X167">
        <v>0.25208497577581079</v>
      </c>
      <c r="Y167">
        <v>0.56843257283635951</v>
      </c>
      <c r="Z167" t="s">
        <v>24</v>
      </c>
    </row>
    <row r="168" spans="1:26" hidden="1" x14ac:dyDescent="0.2">
      <c r="A168">
        <v>11</v>
      </c>
      <c r="B168" t="s">
        <v>31</v>
      </c>
      <c r="C168" s="10">
        <v>10000082</v>
      </c>
      <c r="D168" t="b">
        <v>1</v>
      </c>
      <c r="F168">
        <v>0</v>
      </c>
      <c r="G168">
        <v>0</v>
      </c>
      <c r="H168">
        <v>0</v>
      </c>
      <c r="I168">
        <v>6.4676623731638946E-2</v>
      </c>
      <c r="J168">
        <v>0.93532337626836104</v>
      </c>
      <c r="W168">
        <v>3.3111798773998218</v>
      </c>
      <c r="X168">
        <v>1</v>
      </c>
      <c r="Y168">
        <v>6.4676623731638946E-2</v>
      </c>
      <c r="Z168" t="s">
        <v>23</v>
      </c>
    </row>
    <row r="169" spans="1:26" hidden="1" x14ac:dyDescent="0.2">
      <c r="A169">
        <v>11</v>
      </c>
      <c r="B169" t="s">
        <v>31</v>
      </c>
      <c r="C169" s="10">
        <v>10000047</v>
      </c>
      <c r="D169" t="b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0.74891018792204322</v>
      </c>
      <c r="P169">
        <v>0</v>
      </c>
      <c r="Q169">
        <v>0.25108981207795678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6.0345564232062996</v>
      </c>
      <c r="X169">
        <v>0.25108981207795678</v>
      </c>
      <c r="Y169">
        <v>0.74891018792204322</v>
      </c>
      <c r="Z169" t="s">
        <v>24</v>
      </c>
    </row>
    <row r="170" spans="1:26" hidden="1" x14ac:dyDescent="0.2">
      <c r="A170">
        <v>11</v>
      </c>
      <c r="B170" t="s">
        <v>29</v>
      </c>
      <c r="C170" s="10">
        <v>10000082</v>
      </c>
      <c r="D170" t="b">
        <v>1</v>
      </c>
      <c r="F170">
        <v>0</v>
      </c>
      <c r="G170">
        <v>0</v>
      </c>
      <c r="H170">
        <v>0</v>
      </c>
      <c r="I170">
        <v>0.76490190776574518</v>
      </c>
      <c r="J170">
        <v>0.5850963416004461</v>
      </c>
      <c r="W170">
        <v>4.6733827161044257</v>
      </c>
      <c r="X170">
        <v>1</v>
      </c>
      <c r="Y170">
        <v>0.76490190776574518</v>
      </c>
      <c r="Z170" t="s">
        <v>23</v>
      </c>
    </row>
    <row r="171" spans="1:26" hidden="1" x14ac:dyDescent="0.2">
      <c r="A171">
        <v>11</v>
      </c>
      <c r="B171" t="s">
        <v>29</v>
      </c>
      <c r="C171" s="10">
        <v>10000047</v>
      </c>
      <c r="D171" t="b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0.69842558630795959</v>
      </c>
      <c r="P171">
        <v>0</v>
      </c>
      <c r="Q171">
        <v>0.30157441369204041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5.8458484643284594</v>
      </c>
      <c r="X171">
        <v>0.30157441369204041</v>
      </c>
      <c r="Y171">
        <v>0.69842558630795959</v>
      </c>
      <c r="Z171" t="s">
        <v>24</v>
      </c>
    </row>
    <row r="172" spans="1:26" hidden="1" x14ac:dyDescent="0.2">
      <c r="A172">
        <v>11</v>
      </c>
      <c r="B172" t="s">
        <v>35</v>
      </c>
      <c r="C172" s="10">
        <v>10000073</v>
      </c>
      <c r="D172" t="b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0.45969922609384212</v>
      </c>
      <c r="P172">
        <v>0</v>
      </c>
      <c r="Q172">
        <v>0.45011014791471249</v>
      </c>
      <c r="R172">
        <v>0</v>
      </c>
      <c r="S172">
        <v>0.45011014791471249</v>
      </c>
      <c r="T172">
        <v>0</v>
      </c>
      <c r="U172">
        <v>0.54030077390615794</v>
      </c>
      <c r="V172">
        <v>0</v>
      </c>
      <c r="W172">
        <v>5.2108843133281422</v>
      </c>
      <c r="X172">
        <v>0.45011014791471249</v>
      </c>
      <c r="Y172">
        <v>0.54030077390615794</v>
      </c>
      <c r="Z172" t="s">
        <v>24</v>
      </c>
    </row>
    <row r="173" spans="1:26" hidden="1" x14ac:dyDescent="0.2">
      <c r="A173">
        <v>11</v>
      </c>
      <c r="B173" t="s">
        <v>26</v>
      </c>
      <c r="C173" s="10">
        <v>10000082</v>
      </c>
      <c r="D173" t="b">
        <v>1</v>
      </c>
      <c r="F173">
        <v>0</v>
      </c>
      <c r="G173">
        <v>0</v>
      </c>
      <c r="H173">
        <v>0</v>
      </c>
      <c r="I173">
        <v>1</v>
      </c>
      <c r="J173">
        <v>0</v>
      </c>
      <c r="W173">
        <v>5.0025004164584352</v>
      </c>
      <c r="X173">
        <v>1</v>
      </c>
      <c r="Y173">
        <v>1</v>
      </c>
      <c r="Z173" t="s">
        <v>23</v>
      </c>
    </row>
    <row r="174" spans="1:26" hidden="1" x14ac:dyDescent="0.2">
      <c r="A174">
        <v>11</v>
      </c>
      <c r="B174" t="s">
        <v>34</v>
      </c>
      <c r="C174" s="10">
        <v>10000047</v>
      </c>
      <c r="D174" t="b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0.61017470157866882</v>
      </c>
      <c r="P174">
        <v>0</v>
      </c>
      <c r="Q174">
        <v>0.38982529842133118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5.4915603499652041</v>
      </c>
      <c r="X174">
        <v>0.38982529842133118</v>
      </c>
      <c r="Y174">
        <v>0.61017470157866882</v>
      </c>
      <c r="Z174" t="s">
        <v>24</v>
      </c>
    </row>
    <row r="175" spans="1:26" hidden="1" x14ac:dyDescent="0.2">
      <c r="A175">
        <v>11</v>
      </c>
      <c r="B175" t="s">
        <v>32</v>
      </c>
      <c r="C175" s="10">
        <v>10000047</v>
      </c>
      <c r="D175" t="b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0.61017470157866882</v>
      </c>
      <c r="P175">
        <v>0</v>
      </c>
      <c r="Q175">
        <v>0.38982529842133118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5.4915603499652041</v>
      </c>
      <c r="X175">
        <v>0.38982529842133118</v>
      </c>
      <c r="Y175">
        <v>0.61017470157866882</v>
      </c>
      <c r="Z175" t="s">
        <v>24</v>
      </c>
    </row>
    <row r="176" spans="1:26" hidden="1" x14ac:dyDescent="0.2">
      <c r="A176">
        <v>11</v>
      </c>
      <c r="B176" t="s">
        <v>33</v>
      </c>
      <c r="C176" s="10">
        <v>10000082</v>
      </c>
      <c r="D176" t="b">
        <v>1</v>
      </c>
      <c r="F176">
        <v>0</v>
      </c>
      <c r="G176">
        <v>0</v>
      </c>
      <c r="H176">
        <v>0</v>
      </c>
      <c r="I176">
        <v>1</v>
      </c>
      <c r="J176">
        <v>0</v>
      </c>
      <c r="W176">
        <v>5.0025004164584352</v>
      </c>
      <c r="X176">
        <v>1</v>
      </c>
      <c r="Y176">
        <v>1</v>
      </c>
      <c r="Z176" t="s">
        <v>23</v>
      </c>
    </row>
    <row r="177" spans="1:26" hidden="1" x14ac:dyDescent="0.2">
      <c r="A177">
        <v>11</v>
      </c>
      <c r="B177" t="s">
        <v>26</v>
      </c>
      <c r="C177" s="10">
        <v>10000073</v>
      </c>
      <c r="D177" t="b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0.46259902602469027</v>
      </c>
      <c r="P177">
        <v>0</v>
      </c>
      <c r="Q177">
        <v>0.45056818335241439</v>
      </c>
      <c r="R177">
        <v>0</v>
      </c>
      <c r="S177">
        <v>0.45056818335241439</v>
      </c>
      <c r="T177">
        <v>0</v>
      </c>
      <c r="U177">
        <v>0.53740097397530961</v>
      </c>
      <c r="V177">
        <v>0</v>
      </c>
      <c r="W177">
        <v>5.203706399570744</v>
      </c>
      <c r="X177">
        <v>0.45056818335241439</v>
      </c>
      <c r="Y177">
        <v>0.53740097397530961</v>
      </c>
      <c r="Z177" t="s">
        <v>24</v>
      </c>
    </row>
    <row r="178" spans="1:26" hidden="1" x14ac:dyDescent="0.2">
      <c r="A178">
        <v>11</v>
      </c>
      <c r="B178" t="s">
        <v>33</v>
      </c>
      <c r="C178" s="10">
        <v>10000033</v>
      </c>
      <c r="D178" t="b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0.34498399609268399</v>
      </c>
      <c r="Q178">
        <v>0</v>
      </c>
      <c r="R178">
        <v>0.3122780231371306</v>
      </c>
      <c r="S178">
        <v>0</v>
      </c>
      <c r="T178">
        <v>0.3122780231371306</v>
      </c>
      <c r="U178">
        <v>0</v>
      </c>
      <c r="V178">
        <v>0.65501600390731607</v>
      </c>
      <c r="W178">
        <v>5.7581271414026984</v>
      </c>
      <c r="X178">
        <v>0.3122780231371306</v>
      </c>
      <c r="Y178">
        <v>0.65501600390731607</v>
      </c>
      <c r="Z178" t="s">
        <v>24</v>
      </c>
    </row>
    <row r="179" spans="1:26" hidden="1" x14ac:dyDescent="0.2">
      <c r="A179">
        <v>11</v>
      </c>
      <c r="B179" t="s">
        <v>27</v>
      </c>
      <c r="C179" s="10">
        <v>10000082</v>
      </c>
      <c r="D179" t="b">
        <v>1</v>
      </c>
      <c r="F179">
        <v>0</v>
      </c>
      <c r="G179">
        <v>0.26666666666666672</v>
      </c>
      <c r="H179">
        <v>0</v>
      </c>
      <c r="I179">
        <v>0.73333333333333328</v>
      </c>
      <c r="J179">
        <v>0</v>
      </c>
      <c r="W179">
        <v>4.6237987828453297</v>
      </c>
      <c r="X179">
        <v>1</v>
      </c>
      <c r="Y179">
        <v>0.73333333333333328</v>
      </c>
      <c r="Z179" t="s">
        <v>23</v>
      </c>
    </row>
    <row r="180" spans="1:26" hidden="1" x14ac:dyDescent="0.2">
      <c r="A180">
        <v>11</v>
      </c>
      <c r="B180" t="s">
        <v>27</v>
      </c>
      <c r="C180" s="10">
        <v>10000033</v>
      </c>
      <c r="D180" t="b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0.65593215140331784</v>
      </c>
      <c r="M180">
        <v>0.31264416828431207</v>
      </c>
      <c r="N180">
        <v>0</v>
      </c>
      <c r="O180">
        <v>0</v>
      </c>
      <c r="P180">
        <v>6.6666666666666666E-2</v>
      </c>
      <c r="Q180">
        <v>0</v>
      </c>
      <c r="R180">
        <v>6.6666666666666666E-2</v>
      </c>
      <c r="S180">
        <v>0</v>
      </c>
      <c r="T180">
        <v>6.6666666666666666E-2</v>
      </c>
      <c r="U180">
        <v>0</v>
      </c>
      <c r="V180">
        <v>6.6666666666666666E-2</v>
      </c>
      <c r="W180">
        <v>5.7585251083345064</v>
      </c>
      <c r="X180">
        <v>0.31264416828431207</v>
      </c>
      <c r="Y180">
        <v>0.65593215140331784</v>
      </c>
      <c r="Z180" t="s">
        <v>24</v>
      </c>
    </row>
    <row r="181" spans="1:26" hidden="1" x14ac:dyDescent="0.2">
      <c r="A181">
        <v>12</v>
      </c>
      <c r="B181" t="s">
        <v>27</v>
      </c>
      <c r="C181" s="10">
        <v>10000082</v>
      </c>
      <c r="D181" t="b">
        <v>1</v>
      </c>
      <c r="F181">
        <v>0</v>
      </c>
      <c r="G181">
        <v>0</v>
      </c>
      <c r="H181">
        <v>0</v>
      </c>
      <c r="I181">
        <v>1</v>
      </c>
      <c r="J181">
        <v>0</v>
      </c>
      <c r="W181">
        <v>5.0025004164584352</v>
      </c>
      <c r="X181">
        <v>1</v>
      </c>
      <c r="Y181">
        <v>1</v>
      </c>
      <c r="Z181" t="s">
        <v>23</v>
      </c>
    </row>
    <row r="182" spans="1:26" hidden="1" x14ac:dyDescent="0.2">
      <c r="A182">
        <v>12</v>
      </c>
      <c r="B182" t="s">
        <v>27</v>
      </c>
      <c r="C182" s="10">
        <v>10000047</v>
      </c>
      <c r="D182" t="b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0.76556965075722072</v>
      </c>
      <c r="P182">
        <v>0</v>
      </c>
      <c r="Q182">
        <v>0.23443034924277931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6.0946868821544928</v>
      </c>
      <c r="X182">
        <v>0.23443034924277931</v>
      </c>
      <c r="Y182">
        <v>0.76556965075722072</v>
      </c>
      <c r="Z182" t="s">
        <v>24</v>
      </c>
    </row>
    <row r="183" spans="1:26" hidden="1" x14ac:dyDescent="0.2">
      <c r="A183">
        <v>12</v>
      </c>
      <c r="B183" t="s">
        <v>31</v>
      </c>
      <c r="C183" s="10">
        <v>10000033</v>
      </c>
      <c r="D183" t="b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0.3113799053192508</v>
      </c>
      <c r="Q183">
        <v>0</v>
      </c>
      <c r="R183">
        <v>0.20283974070558161</v>
      </c>
      <c r="S183">
        <v>0</v>
      </c>
      <c r="T183">
        <v>0.20283974070558161</v>
      </c>
      <c r="U183">
        <v>0</v>
      </c>
      <c r="V183">
        <v>0.68862009468074925</v>
      </c>
      <c r="W183">
        <v>6.0894786062044171</v>
      </c>
      <c r="X183">
        <v>0.20283974070558161</v>
      </c>
      <c r="Y183">
        <v>0.68862009468074925</v>
      </c>
      <c r="Z183" t="s">
        <v>24</v>
      </c>
    </row>
    <row r="184" spans="1:26" hidden="1" x14ac:dyDescent="0.2">
      <c r="A184">
        <v>12</v>
      </c>
      <c r="B184" t="s">
        <v>29</v>
      </c>
      <c r="C184" s="10">
        <v>10000082</v>
      </c>
      <c r="D184" t="b">
        <v>1</v>
      </c>
      <c r="F184">
        <v>0</v>
      </c>
      <c r="G184">
        <v>0</v>
      </c>
      <c r="H184">
        <v>0</v>
      </c>
      <c r="I184">
        <v>0.99886522710350001</v>
      </c>
      <c r="J184">
        <v>0.42544221578889269</v>
      </c>
      <c r="W184">
        <v>5.0010804364205814</v>
      </c>
      <c r="X184">
        <v>1</v>
      </c>
      <c r="Y184">
        <v>0.99886522710350001</v>
      </c>
      <c r="Z184" t="s">
        <v>23</v>
      </c>
    </row>
    <row r="185" spans="1:26" hidden="1" x14ac:dyDescent="0.2">
      <c r="A185">
        <v>12</v>
      </c>
      <c r="B185" t="s">
        <v>29</v>
      </c>
      <c r="C185" s="10">
        <v>10000033</v>
      </c>
      <c r="D185" t="b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0.31083691503905853</v>
      </c>
      <c r="Q185">
        <v>0</v>
      </c>
      <c r="R185">
        <v>0.2300684110920212</v>
      </c>
      <c r="S185">
        <v>0</v>
      </c>
      <c r="T185">
        <v>0.2300684110920212</v>
      </c>
      <c r="U185">
        <v>0</v>
      </c>
      <c r="V185">
        <v>0.68916308496094147</v>
      </c>
      <c r="W185">
        <v>6.0176156198244568</v>
      </c>
      <c r="X185">
        <v>0.2300684110920212</v>
      </c>
      <c r="Y185">
        <v>0.68916308496094147</v>
      </c>
      <c r="Z185" t="s">
        <v>24</v>
      </c>
    </row>
    <row r="186" spans="1:26" hidden="1" x14ac:dyDescent="0.2">
      <c r="A186">
        <v>12</v>
      </c>
      <c r="B186" t="s">
        <v>34</v>
      </c>
      <c r="C186" s="10">
        <v>10000033</v>
      </c>
      <c r="D186" t="b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0.30212604406284682</v>
      </c>
      <c r="Q186">
        <v>6.6666666666666874E-2</v>
      </c>
      <c r="R186">
        <v>0.2300684110920212</v>
      </c>
      <c r="S186">
        <v>0</v>
      </c>
      <c r="T186">
        <v>0.2300684110920212</v>
      </c>
      <c r="U186">
        <v>0</v>
      </c>
      <c r="V186">
        <v>0.69787395593715329</v>
      </c>
      <c r="W186">
        <v>6.0281259325558292</v>
      </c>
      <c r="X186">
        <v>0.2300684110920212</v>
      </c>
      <c r="Y186">
        <v>0.69787395593715329</v>
      </c>
      <c r="Z186" t="s">
        <v>24</v>
      </c>
    </row>
    <row r="187" spans="1:26" hidden="1" x14ac:dyDescent="0.2">
      <c r="A187">
        <v>12</v>
      </c>
      <c r="B187" t="s">
        <v>35</v>
      </c>
      <c r="C187" s="10">
        <v>10000047</v>
      </c>
      <c r="D187" t="b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0.67523679805706927</v>
      </c>
      <c r="P187">
        <v>0.18181818181818171</v>
      </c>
      <c r="Q187">
        <v>0.32476320194293068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5.7558238051844048</v>
      </c>
      <c r="X187">
        <v>0.32476320194293068</v>
      </c>
      <c r="Y187">
        <v>0.67523679805706927</v>
      </c>
      <c r="Z187" t="s">
        <v>24</v>
      </c>
    </row>
    <row r="188" spans="1:26" hidden="1" x14ac:dyDescent="0.2">
      <c r="A188">
        <v>12</v>
      </c>
      <c r="B188" t="s">
        <v>28</v>
      </c>
      <c r="C188" s="10">
        <v>10000073</v>
      </c>
      <c r="D188" t="b">
        <v>1</v>
      </c>
      <c r="E188">
        <v>0</v>
      </c>
      <c r="F188">
        <v>0</v>
      </c>
      <c r="G188">
        <v>0</v>
      </c>
      <c r="H188">
        <v>0</v>
      </c>
      <c r="I188">
        <v>0.55518097345355411</v>
      </c>
      <c r="J188">
        <v>0.3889035854947816</v>
      </c>
      <c r="W188">
        <v>5.3937791779270228</v>
      </c>
      <c r="X188">
        <v>0.3889035854947816</v>
      </c>
      <c r="Y188">
        <v>0.55518097345355411</v>
      </c>
      <c r="Z188" t="s">
        <v>24</v>
      </c>
    </row>
    <row r="189" spans="1:26" hidden="1" x14ac:dyDescent="0.2">
      <c r="A189">
        <v>12</v>
      </c>
      <c r="B189" t="s">
        <v>32</v>
      </c>
      <c r="C189" s="10">
        <v>10000073</v>
      </c>
      <c r="D189" t="b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0.44342151172156008</v>
      </c>
      <c r="P189">
        <v>0.3889035854947816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0.55657848827843992</v>
      </c>
      <c r="W189">
        <v>6.5885165927207359</v>
      </c>
      <c r="X189">
        <v>0</v>
      </c>
      <c r="Y189">
        <v>0.55657848827843992</v>
      </c>
      <c r="Z189" t="s">
        <v>24</v>
      </c>
    </row>
    <row r="190" spans="1:26" hidden="1" x14ac:dyDescent="0.2">
      <c r="A190">
        <v>12</v>
      </c>
      <c r="B190" t="s">
        <v>32</v>
      </c>
      <c r="C190" s="10">
        <v>10000082</v>
      </c>
      <c r="D190" t="b">
        <v>1</v>
      </c>
      <c r="F190">
        <v>0</v>
      </c>
      <c r="G190">
        <v>0</v>
      </c>
      <c r="H190">
        <v>0</v>
      </c>
      <c r="I190">
        <v>0.99826669342693208</v>
      </c>
      <c r="J190">
        <v>0.31685678347685992</v>
      </c>
      <c r="W190">
        <v>5.0003308214806674</v>
      </c>
      <c r="X190">
        <v>1</v>
      </c>
      <c r="Y190">
        <v>0.99826669342693208</v>
      </c>
      <c r="Z190" t="s">
        <v>23</v>
      </c>
    </row>
    <row r="191" spans="1:26" hidden="1" x14ac:dyDescent="0.2">
      <c r="A191">
        <v>12</v>
      </c>
      <c r="B191" t="s">
        <v>30</v>
      </c>
      <c r="C191" s="10">
        <v>10000073</v>
      </c>
      <c r="D191" t="b">
        <v>0</v>
      </c>
      <c r="E191">
        <v>0.44677325076772251</v>
      </c>
      <c r="F191">
        <v>0</v>
      </c>
      <c r="G191">
        <v>0.55322674923227744</v>
      </c>
      <c r="H191">
        <v>0</v>
      </c>
      <c r="I191">
        <v>0</v>
      </c>
      <c r="J191">
        <v>0</v>
      </c>
      <c r="K191">
        <v>0.36666666666666659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3.4159366996958518</v>
      </c>
      <c r="X191">
        <v>0.55322674923227744</v>
      </c>
      <c r="Y191">
        <v>0</v>
      </c>
      <c r="Z191" t="s">
        <v>23</v>
      </c>
    </row>
    <row r="192" spans="1:26" hidden="1" x14ac:dyDescent="0.2">
      <c r="A192">
        <v>12</v>
      </c>
      <c r="B192" t="s">
        <v>33</v>
      </c>
      <c r="C192" s="10">
        <v>10000073</v>
      </c>
      <c r="D192" t="b">
        <v>0</v>
      </c>
      <c r="E192">
        <v>0.44677325076772251</v>
      </c>
      <c r="F192">
        <v>0</v>
      </c>
      <c r="G192">
        <v>0.55322674923227744</v>
      </c>
      <c r="H192">
        <v>0</v>
      </c>
      <c r="I192">
        <v>0</v>
      </c>
      <c r="J192">
        <v>0</v>
      </c>
      <c r="K192">
        <v>0.33333333333333331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3.4159366996958518</v>
      </c>
      <c r="X192">
        <v>0.55322674923227744</v>
      </c>
      <c r="Y192">
        <v>0</v>
      </c>
      <c r="Z192" t="s">
        <v>23</v>
      </c>
    </row>
    <row r="193" spans="1:26" hidden="1" x14ac:dyDescent="0.2">
      <c r="A193">
        <v>12</v>
      </c>
      <c r="B193" t="s">
        <v>30</v>
      </c>
      <c r="C193" s="10">
        <v>10000047</v>
      </c>
      <c r="D193" t="b">
        <v>0</v>
      </c>
      <c r="E193">
        <v>0.58823529411764697</v>
      </c>
      <c r="F193">
        <v>0</v>
      </c>
      <c r="G193">
        <v>0</v>
      </c>
      <c r="H193">
        <v>0</v>
      </c>
      <c r="I193">
        <v>0.41176470588235298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4.606275887443446</v>
      </c>
      <c r="X193">
        <v>0.58823529411764697</v>
      </c>
      <c r="Y193">
        <v>0.41176470588235298</v>
      </c>
      <c r="Z193" t="s">
        <v>23</v>
      </c>
    </row>
    <row r="194" spans="1:26" hidden="1" x14ac:dyDescent="0.2">
      <c r="A194">
        <v>12</v>
      </c>
      <c r="B194" t="s">
        <v>33</v>
      </c>
      <c r="C194" s="10">
        <v>10000082</v>
      </c>
      <c r="D194" t="b">
        <v>1</v>
      </c>
      <c r="F194">
        <v>0</v>
      </c>
      <c r="G194">
        <v>0.99945255486408924</v>
      </c>
      <c r="H194">
        <v>0</v>
      </c>
      <c r="I194">
        <v>0</v>
      </c>
      <c r="J194">
        <v>0</v>
      </c>
      <c r="W194">
        <v>5.001815580809013</v>
      </c>
      <c r="X194">
        <v>1</v>
      </c>
      <c r="Y194">
        <v>0.99945255486408924</v>
      </c>
      <c r="Z194" t="s">
        <v>23</v>
      </c>
    </row>
    <row r="195" spans="1:26" hidden="1" x14ac:dyDescent="0.2">
      <c r="A195">
        <v>12</v>
      </c>
      <c r="B195" t="s">
        <v>30</v>
      </c>
      <c r="C195" s="10">
        <v>10000082</v>
      </c>
      <c r="D195" t="b">
        <v>1</v>
      </c>
      <c r="F195">
        <v>0</v>
      </c>
      <c r="G195">
        <v>0.99945255486408924</v>
      </c>
      <c r="H195">
        <v>0</v>
      </c>
      <c r="I195">
        <v>0</v>
      </c>
      <c r="J195">
        <v>0</v>
      </c>
      <c r="W195">
        <v>5.001815580809013</v>
      </c>
      <c r="X195">
        <v>1</v>
      </c>
      <c r="Y195">
        <v>0.99945255486408924</v>
      </c>
      <c r="Z195" t="s">
        <v>23</v>
      </c>
    </row>
    <row r="196" spans="1:26" hidden="1" x14ac:dyDescent="0.2">
      <c r="A196">
        <v>12</v>
      </c>
      <c r="B196" t="s">
        <v>30</v>
      </c>
      <c r="C196" s="10">
        <v>10000033</v>
      </c>
      <c r="D196" t="b">
        <v>0</v>
      </c>
      <c r="E196">
        <v>0</v>
      </c>
      <c r="F196">
        <v>0.3101748883404255</v>
      </c>
      <c r="G196">
        <v>0.67974474697870657</v>
      </c>
      <c r="H196">
        <v>0.20000000000000021</v>
      </c>
      <c r="I196">
        <v>0.32025525302129337</v>
      </c>
      <c r="J196">
        <v>0.20000000000000021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4.2308411877920653</v>
      </c>
      <c r="X196">
        <v>0.67974474697870657</v>
      </c>
      <c r="Y196">
        <v>0.32025525302129337</v>
      </c>
      <c r="Z196" t="s">
        <v>23</v>
      </c>
    </row>
    <row r="197" spans="1:26" hidden="1" x14ac:dyDescent="0.2">
      <c r="A197">
        <v>12</v>
      </c>
      <c r="B197" t="s">
        <v>33</v>
      </c>
      <c r="C197" s="10">
        <v>10000033</v>
      </c>
      <c r="D197" t="b">
        <v>0</v>
      </c>
      <c r="E197">
        <v>0</v>
      </c>
      <c r="F197">
        <v>0.3101748883404255</v>
      </c>
      <c r="G197">
        <v>0.67721772919667189</v>
      </c>
      <c r="H197">
        <v>0.20000000000000021</v>
      </c>
      <c r="I197">
        <v>0.32278227080332811</v>
      </c>
      <c r="J197">
        <v>0.20000000000000021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4.2407481983246056</v>
      </c>
      <c r="X197">
        <v>0.67721772919667189</v>
      </c>
      <c r="Y197">
        <v>0.32278227080332811</v>
      </c>
      <c r="Z197" t="s">
        <v>23</v>
      </c>
    </row>
    <row r="198" spans="1:26" hidden="1" x14ac:dyDescent="0.2">
      <c r="A198">
        <v>12</v>
      </c>
      <c r="B198" t="s">
        <v>33</v>
      </c>
      <c r="C198" s="10">
        <v>10000047</v>
      </c>
      <c r="D198" t="b">
        <v>0</v>
      </c>
      <c r="E198">
        <v>0.58823529411764697</v>
      </c>
      <c r="F198">
        <v>0</v>
      </c>
      <c r="G198">
        <v>0</v>
      </c>
      <c r="H198">
        <v>0</v>
      </c>
      <c r="I198">
        <v>0.41176470588235298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4.606275887443446</v>
      </c>
      <c r="X198">
        <v>0.58823529411764697</v>
      </c>
      <c r="Y198">
        <v>0.41176470588235298</v>
      </c>
      <c r="Z198" t="s">
        <v>23</v>
      </c>
    </row>
    <row r="199" spans="1:26" hidden="1" x14ac:dyDescent="0.2">
      <c r="A199">
        <v>12</v>
      </c>
      <c r="B199" t="s">
        <v>26</v>
      </c>
      <c r="C199" s="10">
        <v>10000082</v>
      </c>
      <c r="D199" t="b">
        <v>0</v>
      </c>
      <c r="E199">
        <v>0.66666666666666674</v>
      </c>
      <c r="F199">
        <v>0</v>
      </c>
      <c r="G199">
        <v>0.66666666666666674</v>
      </c>
      <c r="H199">
        <v>0</v>
      </c>
      <c r="I199">
        <v>0.33333333333333331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4.2823877535118076</v>
      </c>
      <c r="X199">
        <v>0.66666666666666674</v>
      </c>
      <c r="Y199">
        <v>0.33333333333333331</v>
      </c>
      <c r="Z199" t="s">
        <v>23</v>
      </c>
    </row>
    <row r="200" spans="1:26" hidden="1" x14ac:dyDescent="0.2">
      <c r="A200">
        <v>12</v>
      </c>
      <c r="B200" t="s">
        <v>26</v>
      </c>
      <c r="C200" s="10">
        <v>10000073</v>
      </c>
      <c r="D200" t="b">
        <v>0</v>
      </c>
      <c r="E200">
        <v>0.4527186392743876</v>
      </c>
      <c r="F200">
        <v>0</v>
      </c>
      <c r="G200">
        <v>0.5472813607256124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3.4193907183108689</v>
      </c>
      <c r="X200">
        <v>0.5472813607256124</v>
      </c>
      <c r="Y200">
        <v>0</v>
      </c>
      <c r="Z200" t="s">
        <v>23</v>
      </c>
    </row>
    <row r="201" spans="1:26" hidden="1" x14ac:dyDescent="0.2">
      <c r="A201">
        <v>12</v>
      </c>
      <c r="B201" t="s">
        <v>26</v>
      </c>
      <c r="C201" s="10">
        <v>10000033</v>
      </c>
      <c r="D201" t="b">
        <v>0</v>
      </c>
      <c r="E201">
        <v>0</v>
      </c>
      <c r="F201">
        <v>0.31076690971898341</v>
      </c>
      <c r="G201">
        <v>0.67481263230505684</v>
      </c>
      <c r="H201">
        <v>0.20000000000000021</v>
      </c>
      <c r="I201">
        <v>0.32518736769494322</v>
      </c>
      <c r="J201">
        <v>0.20000000000000021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4.2502004813963046</v>
      </c>
      <c r="X201">
        <v>0.67481263230505684</v>
      </c>
      <c r="Y201">
        <v>0.32518736769494322</v>
      </c>
      <c r="Z201" t="s">
        <v>23</v>
      </c>
    </row>
    <row r="202" spans="1:26" hidden="1" x14ac:dyDescent="0.2">
      <c r="A202">
        <v>12</v>
      </c>
      <c r="B202" t="s">
        <v>26</v>
      </c>
      <c r="C202" s="10">
        <v>10000047</v>
      </c>
      <c r="D202" t="b">
        <v>0</v>
      </c>
      <c r="E202">
        <v>0.58823529411764697</v>
      </c>
      <c r="F202">
        <v>0</v>
      </c>
      <c r="G202">
        <v>0</v>
      </c>
      <c r="H202">
        <v>0</v>
      </c>
      <c r="I202">
        <v>0.41176470588235298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4.606275887443446</v>
      </c>
      <c r="X202">
        <v>0.58823529411764697</v>
      </c>
      <c r="Y202">
        <v>0.41176470588235298</v>
      </c>
      <c r="Z202" t="s">
        <v>23</v>
      </c>
    </row>
    <row r="203" spans="1:26" hidden="1" x14ac:dyDescent="0.2">
      <c r="A203">
        <v>13</v>
      </c>
      <c r="B203" t="s">
        <v>31</v>
      </c>
      <c r="C203" s="10">
        <v>10000082</v>
      </c>
      <c r="D203" t="b">
        <v>1</v>
      </c>
      <c r="F203">
        <v>0</v>
      </c>
      <c r="G203">
        <v>0</v>
      </c>
      <c r="H203">
        <v>0</v>
      </c>
      <c r="I203">
        <v>1</v>
      </c>
      <c r="J203">
        <v>0</v>
      </c>
      <c r="W203">
        <v>5.0025004164584352</v>
      </c>
      <c r="X203">
        <v>1</v>
      </c>
      <c r="Y203">
        <v>1</v>
      </c>
      <c r="Z203" t="s">
        <v>23</v>
      </c>
    </row>
    <row r="204" spans="1:26" hidden="1" x14ac:dyDescent="0.2">
      <c r="A204">
        <v>13</v>
      </c>
      <c r="B204" t="s">
        <v>31</v>
      </c>
      <c r="C204" s="10">
        <v>10000033</v>
      </c>
      <c r="D204" t="b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0.30882977802696898</v>
      </c>
      <c r="Q204">
        <v>0</v>
      </c>
      <c r="R204">
        <v>5.9474820361584489E-2</v>
      </c>
      <c r="S204">
        <v>0</v>
      </c>
      <c r="T204">
        <v>5.9474820361584489E-2</v>
      </c>
      <c r="U204">
        <v>0</v>
      </c>
      <c r="V204">
        <v>0.69117022197303091</v>
      </c>
      <c r="W204">
        <v>6.492141973953566</v>
      </c>
      <c r="X204">
        <v>5.9474820361584489E-2</v>
      </c>
      <c r="Y204">
        <v>0.69117022197303091</v>
      </c>
      <c r="Z204" t="s">
        <v>24</v>
      </c>
    </row>
    <row r="205" spans="1:26" hidden="1" x14ac:dyDescent="0.2">
      <c r="A205">
        <v>13</v>
      </c>
      <c r="B205" t="s">
        <v>27</v>
      </c>
      <c r="C205" s="10">
        <v>10000082</v>
      </c>
      <c r="D205" t="b">
        <v>1</v>
      </c>
      <c r="F205">
        <v>0</v>
      </c>
      <c r="G205">
        <v>0</v>
      </c>
      <c r="H205">
        <v>0</v>
      </c>
      <c r="I205">
        <v>0.99760035420800508</v>
      </c>
      <c r="J205">
        <v>9.3120088170617454E-2</v>
      </c>
      <c r="W205">
        <v>4.9994957574316992</v>
      </c>
      <c r="X205">
        <v>1</v>
      </c>
      <c r="Y205">
        <v>0.99760035420800508</v>
      </c>
      <c r="Z205" t="s">
        <v>23</v>
      </c>
    </row>
    <row r="206" spans="1:26" hidden="1" x14ac:dyDescent="0.2">
      <c r="A206">
        <v>13</v>
      </c>
      <c r="B206" t="s">
        <v>27</v>
      </c>
      <c r="C206" s="10">
        <v>10000033</v>
      </c>
      <c r="D206" t="b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0.30265820934364968</v>
      </c>
      <c r="Q206">
        <v>0.30265820934364968</v>
      </c>
      <c r="R206">
        <v>6.4212709464441436E-2</v>
      </c>
      <c r="S206">
        <v>0</v>
      </c>
      <c r="T206">
        <v>6.4212709464441436E-2</v>
      </c>
      <c r="U206">
        <v>0</v>
      </c>
      <c r="V206">
        <v>0.60000000000000009</v>
      </c>
      <c r="W206">
        <v>5.6996543204610628</v>
      </c>
      <c r="X206">
        <v>0.30265820934364968</v>
      </c>
      <c r="Y206">
        <v>0.60000000000000009</v>
      </c>
      <c r="Z206" t="s">
        <v>24</v>
      </c>
    </row>
    <row r="207" spans="1:26" hidden="1" x14ac:dyDescent="0.2">
      <c r="A207">
        <v>13</v>
      </c>
      <c r="B207" t="s">
        <v>29</v>
      </c>
      <c r="C207" s="10">
        <v>10000047</v>
      </c>
      <c r="D207" t="b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0.74776943512631833</v>
      </c>
      <c r="P207">
        <v>0</v>
      </c>
      <c r="Q207">
        <v>0.25223056487368167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6.0304011385254972</v>
      </c>
      <c r="X207">
        <v>0.25223056487368167</v>
      </c>
      <c r="Y207">
        <v>0.74776943512631833</v>
      </c>
      <c r="Z207" t="s">
        <v>24</v>
      </c>
    </row>
    <row r="208" spans="1:26" hidden="1" x14ac:dyDescent="0.2">
      <c r="A208">
        <v>13</v>
      </c>
      <c r="B208" t="s">
        <v>29</v>
      </c>
      <c r="C208" s="10">
        <v>10000073</v>
      </c>
      <c r="D208" t="b">
        <v>1</v>
      </c>
      <c r="E208">
        <v>0</v>
      </c>
      <c r="F208">
        <v>0</v>
      </c>
      <c r="G208">
        <v>0</v>
      </c>
      <c r="H208">
        <v>0</v>
      </c>
      <c r="I208">
        <v>0.56637786541642821</v>
      </c>
      <c r="J208">
        <v>0.2859561965862859</v>
      </c>
      <c r="W208">
        <v>5.6910822258511384</v>
      </c>
      <c r="X208">
        <v>0.2859561965862859</v>
      </c>
      <c r="Y208">
        <v>0.56637786541642821</v>
      </c>
      <c r="Z208" t="s">
        <v>24</v>
      </c>
    </row>
    <row r="209" spans="1:26" hidden="1" x14ac:dyDescent="0.2">
      <c r="A209">
        <v>13</v>
      </c>
      <c r="B209" t="s">
        <v>34</v>
      </c>
      <c r="C209" s="10">
        <v>10000082</v>
      </c>
      <c r="D209" t="b">
        <v>1</v>
      </c>
      <c r="F209">
        <v>0</v>
      </c>
      <c r="G209">
        <v>0</v>
      </c>
      <c r="H209">
        <v>0</v>
      </c>
      <c r="I209">
        <v>0.99963405360611102</v>
      </c>
      <c r="J209">
        <v>2.7019842443501921E-2</v>
      </c>
      <c r="W209">
        <v>5.0020426712268167</v>
      </c>
      <c r="X209">
        <v>1</v>
      </c>
      <c r="Y209">
        <v>0.99963405360611102</v>
      </c>
      <c r="Z209" t="s">
        <v>23</v>
      </c>
    </row>
    <row r="210" spans="1:26" hidden="1" x14ac:dyDescent="0.2">
      <c r="A210">
        <v>13</v>
      </c>
      <c r="B210" t="s">
        <v>34</v>
      </c>
      <c r="C210" s="10">
        <v>10000047</v>
      </c>
      <c r="D210" t="b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0.73511757054672278</v>
      </c>
      <c r="P210">
        <v>0.26488242945327722</v>
      </c>
      <c r="Q210">
        <v>0.26488242945327722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5.9839768180845816</v>
      </c>
      <c r="X210">
        <v>0.26488242945327722</v>
      </c>
      <c r="Y210">
        <v>0.73511757054672278</v>
      </c>
      <c r="Z210" t="s">
        <v>24</v>
      </c>
    </row>
    <row r="211" spans="1:26" hidden="1" x14ac:dyDescent="0.2">
      <c r="A211">
        <v>13</v>
      </c>
      <c r="B211" t="s">
        <v>30</v>
      </c>
      <c r="C211" s="10">
        <v>10000033</v>
      </c>
      <c r="D211" t="b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0.29816176831805419</v>
      </c>
      <c r="Q211">
        <v>0.29816176831805419</v>
      </c>
      <c r="R211">
        <v>0.22721078427018479</v>
      </c>
      <c r="S211">
        <v>0</v>
      </c>
      <c r="T211">
        <v>0.22721078427018479</v>
      </c>
      <c r="U211">
        <v>0</v>
      </c>
      <c r="V211">
        <v>0.66666666666666652</v>
      </c>
      <c r="W211">
        <v>5.8109352187707071</v>
      </c>
      <c r="X211">
        <v>0.29816176831805419</v>
      </c>
      <c r="Y211">
        <v>0.66666666666666652</v>
      </c>
      <c r="Z211" t="s">
        <v>24</v>
      </c>
    </row>
    <row r="212" spans="1:26" hidden="1" x14ac:dyDescent="0.2">
      <c r="A212">
        <v>13</v>
      </c>
      <c r="B212" t="s">
        <v>26</v>
      </c>
      <c r="C212" s="10">
        <v>10000033</v>
      </c>
      <c r="D212" t="b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0.29493206219620471</v>
      </c>
      <c r="Q212">
        <v>0.23076923076923081</v>
      </c>
      <c r="R212">
        <v>0.25549002539403548</v>
      </c>
      <c r="S212">
        <v>0</v>
      </c>
      <c r="T212">
        <v>0.25549002539403548</v>
      </c>
      <c r="U212">
        <v>0</v>
      </c>
      <c r="V212">
        <v>0.7050679378037954</v>
      </c>
      <c r="W212">
        <v>5.971015473079083</v>
      </c>
      <c r="X212">
        <v>0.25549002539403548</v>
      </c>
      <c r="Y212">
        <v>0.7050679378037954</v>
      </c>
      <c r="Z212" t="s">
        <v>24</v>
      </c>
    </row>
    <row r="213" spans="1:26" hidden="1" x14ac:dyDescent="0.2">
      <c r="A213">
        <v>13</v>
      </c>
      <c r="B213" t="s">
        <v>32</v>
      </c>
      <c r="C213" s="10">
        <v>10000033</v>
      </c>
      <c r="D213" t="b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0.31639196434853278</v>
      </c>
      <c r="Q213">
        <v>0</v>
      </c>
      <c r="R213">
        <v>0.25650901977280721</v>
      </c>
      <c r="S213">
        <v>0</v>
      </c>
      <c r="T213">
        <v>0.25650901977280721</v>
      </c>
      <c r="U213">
        <v>0</v>
      </c>
      <c r="V213">
        <v>0.68360803565146722</v>
      </c>
      <c r="W213">
        <v>5.9413399208017097</v>
      </c>
      <c r="X213">
        <v>0.25650901977280721</v>
      </c>
      <c r="Y213">
        <v>0.68360803565146722</v>
      </c>
      <c r="Z213" t="s">
        <v>24</v>
      </c>
    </row>
    <row r="214" spans="1:26" hidden="1" x14ac:dyDescent="0.2">
      <c r="A214">
        <v>13</v>
      </c>
      <c r="B214" t="s">
        <v>28</v>
      </c>
      <c r="C214" s="10">
        <v>10000082</v>
      </c>
      <c r="D214" t="b">
        <v>1</v>
      </c>
      <c r="F214">
        <v>0</v>
      </c>
      <c r="G214">
        <v>0</v>
      </c>
      <c r="H214">
        <v>0</v>
      </c>
      <c r="I214">
        <v>0.99926984894063486</v>
      </c>
      <c r="J214">
        <v>0.2897144203328989</v>
      </c>
      <c r="W214">
        <v>5.0015869383480398</v>
      </c>
      <c r="X214">
        <v>1</v>
      </c>
      <c r="Y214">
        <v>0.99926984894063486</v>
      </c>
      <c r="Z214" t="s">
        <v>23</v>
      </c>
    </row>
    <row r="215" spans="1:26" hidden="1" x14ac:dyDescent="0.2">
      <c r="A215">
        <v>13</v>
      </c>
      <c r="B215" t="s">
        <v>35</v>
      </c>
      <c r="C215" s="10">
        <v>10000082</v>
      </c>
      <c r="D215" t="b">
        <v>1</v>
      </c>
      <c r="F215">
        <v>0</v>
      </c>
      <c r="G215">
        <v>0</v>
      </c>
      <c r="H215">
        <v>0</v>
      </c>
      <c r="I215">
        <v>0.99926984894063486</v>
      </c>
      <c r="J215">
        <v>0.2897144203328989</v>
      </c>
      <c r="W215">
        <v>5.0015869383480398</v>
      </c>
      <c r="X215">
        <v>1</v>
      </c>
      <c r="Y215">
        <v>0.99926984894063486</v>
      </c>
      <c r="Z215" t="s">
        <v>23</v>
      </c>
    </row>
    <row r="216" spans="1:26" hidden="1" x14ac:dyDescent="0.2">
      <c r="A216">
        <v>13</v>
      </c>
      <c r="B216" t="s">
        <v>28</v>
      </c>
      <c r="C216" s="10">
        <v>10000033</v>
      </c>
      <c r="D216" t="b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0.33058665381217811</v>
      </c>
      <c r="Q216">
        <v>0</v>
      </c>
      <c r="R216">
        <v>0.25650901977280721</v>
      </c>
      <c r="S216">
        <v>0</v>
      </c>
      <c r="T216">
        <v>0.25650901977280721</v>
      </c>
      <c r="U216">
        <v>0</v>
      </c>
      <c r="V216">
        <v>0.669413346187822</v>
      </c>
      <c r="W216">
        <v>5.922937754446604</v>
      </c>
      <c r="X216">
        <v>0.25650901977280721</v>
      </c>
      <c r="Y216">
        <v>0.669413346187822</v>
      </c>
      <c r="Z216" t="s">
        <v>24</v>
      </c>
    </row>
    <row r="217" spans="1:26" hidden="1" x14ac:dyDescent="0.2">
      <c r="A217">
        <v>13</v>
      </c>
      <c r="B217" t="s">
        <v>35</v>
      </c>
      <c r="C217" s="10">
        <v>10000033</v>
      </c>
      <c r="D217" t="b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0.43333333333333329</v>
      </c>
      <c r="M217">
        <v>0.25650901977280721</v>
      </c>
      <c r="N217">
        <v>0</v>
      </c>
      <c r="O217">
        <v>0</v>
      </c>
      <c r="P217">
        <v>0.31307771571766618</v>
      </c>
      <c r="Q217">
        <v>0</v>
      </c>
      <c r="R217">
        <v>0.25650901977280721</v>
      </c>
      <c r="S217">
        <v>0</v>
      </c>
      <c r="T217">
        <v>0.25650901977280721</v>
      </c>
      <c r="U217">
        <v>0</v>
      </c>
      <c r="V217">
        <v>0.56666666666666665</v>
      </c>
      <c r="W217">
        <v>5.7754815395158108</v>
      </c>
      <c r="X217">
        <v>0.25650901977280721</v>
      </c>
      <c r="Y217">
        <v>0.56666666666666665</v>
      </c>
      <c r="Z217" t="s">
        <v>24</v>
      </c>
    </row>
    <row r="218" spans="1:26" hidden="1" x14ac:dyDescent="0.2">
      <c r="A218">
        <v>13</v>
      </c>
      <c r="B218" t="s">
        <v>33</v>
      </c>
      <c r="C218" s="10">
        <v>10000082</v>
      </c>
      <c r="D218" t="b">
        <v>1</v>
      </c>
      <c r="F218">
        <v>0</v>
      </c>
      <c r="G218">
        <v>0.99983344925135198</v>
      </c>
      <c r="H218">
        <v>0</v>
      </c>
      <c r="I218">
        <v>0</v>
      </c>
      <c r="J218">
        <v>0</v>
      </c>
      <c r="W218">
        <v>5.0022921066767134</v>
      </c>
      <c r="X218">
        <v>1</v>
      </c>
      <c r="Y218">
        <v>0.99983344925135198</v>
      </c>
      <c r="Z218" t="s">
        <v>23</v>
      </c>
    </row>
    <row r="219" spans="1:26" hidden="1" x14ac:dyDescent="0.2">
      <c r="A219">
        <v>13</v>
      </c>
      <c r="B219" t="s">
        <v>33</v>
      </c>
      <c r="C219" s="10">
        <v>10000033</v>
      </c>
      <c r="D219" t="b">
        <v>0</v>
      </c>
      <c r="E219">
        <v>0</v>
      </c>
      <c r="F219">
        <v>2.857142857142847E-2</v>
      </c>
      <c r="G219">
        <v>2.857142857142847E-2</v>
      </c>
      <c r="H219">
        <v>0.69015682363815212</v>
      </c>
      <c r="I219">
        <v>2.857142857142847E-2</v>
      </c>
      <c r="J219">
        <v>0.30984317636184788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6.5812041372039838</v>
      </c>
      <c r="X219">
        <v>2.857142857142847E-2</v>
      </c>
      <c r="Y219">
        <v>0.69015682363815212</v>
      </c>
      <c r="Z219" t="s">
        <v>24</v>
      </c>
    </row>
    <row r="220" spans="1:26" hidden="1" x14ac:dyDescent="0.2">
      <c r="A220">
        <v>14</v>
      </c>
      <c r="B220" t="s">
        <v>35</v>
      </c>
      <c r="C220" s="10">
        <v>10000082</v>
      </c>
      <c r="D220" t="b">
        <v>1</v>
      </c>
      <c r="F220">
        <v>0</v>
      </c>
      <c r="G220">
        <v>0</v>
      </c>
      <c r="H220">
        <v>0</v>
      </c>
      <c r="I220">
        <v>0.92464952233541797</v>
      </c>
      <c r="J220">
        <v>0.39511189366420407</v>
      </c>
      <c r="W220">
        <v>4.9046906107210004</v>
      </c>
      <c r="X220">
        <v>1</v>
      </c>
      <c r="Y220">
        <v>0.92464952233541797</v>
      </c>
      <c r="Z220" t="s">
        <v>23</v>
      </c>
    </row>
    <row r="221" spans="1:26" hidden="1" x14ac:dyDescent="0.2">
      <c r="A221">
        <v>14</v>
      </c>
      <c r="B221" t="s">
        <v>35</v>
      </c>
      <c r="C221" s="10">
        <v>10000033</v>
      </c>
      <c r="D221" t="b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0.30882977802696898</v>
      </c>
      <c r="Q221">
        <v>0</v>
      </c>
      <c r="R221">
        <v>6.7743700451839264E-2</v>
      </c>
      <c r="S221">
        <v>0</v>
      </c>
      <c r="T221">
        <v>6.7743700451839264E-2</v>
      </c>
      <c r="U221">
        <v>0</v>
      </c>
      <c r="V221">
        <v>0.69117022197303091</v>
      </c>
      <c r="W221">
        <v>6.4683218571944154</v>
      </c>
      <c r="X221">
        <v>6.7743700451839264E-2</v>
      </c>
      <c r="Y221">
        <v>0.69117022197303091</v>
      </c>
      <c r="Z221" t="s">
        <v>24</v>
      </c>
    </row>
    <row r="222" spans="1:26" hidden="1" x14ac:dyDescent="0.2">
      <c r="A222">
        <v>14</v>
      </c>
      <c r="B222" t="s">
        <v>27</v>
      </c>
      <c r="C222" s="10">
        <v>10000033</v>
      </c>
      <c r="D222" t="b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0.30609822823695187</v>
      </c>
      <c r="Q222">
        <v>0.30609822823695187</v>
      </c>
      <c r="R222">
        <v>0.1046189928586021</v>
      </c>
      <c r="S222">
        <v>0</v>
      </c>
      <c r="T222">
        <v>0.1046189928586021</v>
      </c>
      <c r="U222">
        <v>0</v>
      </c>
      <c r="V222">
        <v>0.66666666666666652</v>
      </c>
      <c r="W222">
        <v>5.7906584988372147</v>
      </c>
      <c r="X222">
        <v>0.30609822823695187</v>
      </c>
      <c r="Y222">
        <v>0.66666666666666652</v>
      </c>
      <c r="Z222" t="s">
        <v>24</v>
      </c>
    </row>
    <row r="223" spans="1:26" hidden="1" x14ac:dyDescent="0.2">
      <c r="A223">
        <v>14</v>
      </c>
      <c r="B223" t="s">
        <v>26</v>
      </c>
      <c r="C223" s="10">
        <v>10000082</v>
      </c>
      <c r="D223" t="b">
        <v>1</v>
      </c>
      <c r="F223">
        <v>0</v>
      </c>
      <c r="G223">
        <v>0</v>
      </c>
      <c r="H223">
        <v>0</v>
      </c>
      <c r="I223">
        <v>0.73934775643029604</v>
      </c>
      <c r="J223">
        <v>0.47487973239618347</v>
      </c>
      <c r="W223">
        <v>4.63334367937256</v>
      </c>
      <c r="X223">
        <v>1</v>
      </c>
      <c r="Y223">
        <v>0.73934775643029604</v>
      </c>
      <c r="Z223" t="s">
        <v>23</v>
      </c>
    </row>
    <row r="224" spans="1:26" hidden="1" x14ac:dyDescent="0.2">
      <c r="A224">
        <v>14</v>
      </c>
      <c r="B224" t="s">
        <v>26</v>
      </c>
      <c r="C224" s="10">
        <v>10000073</v>
      </c>
      <c r="D224" t="b">
        <v>1</v>
      </c>
      <c r="E224">
        <v>0</v>
      </c>
      <c r="F224">
        <v>0</v>
      </c>
      <c r="G224">
        <v>0</v>
      </c>
      <c r="H224">
        <v>0</v>
      </c>
      <c r="I224">
        <v>0.55740692009424186</v>
      </c>
      <c r="J224">
        <v>0.24289548095214081</v>
      </c>
      <c r="W224">
        <v>5.8006319828900059</v>
      </c>
      <c r="X224">
        <v>0.24289548095214081</v>
      </c>
      <c r="Y224">
        <v>0.55740692009424186</v>
      </c>
      <c r="Z224" t="s">
        <v>24</v>
      </c>
    </row>
    <row r="225" spans="1:26" hidden="1" x14ac:dyDescent="0.2">
      <c r="A225">
        <v>14</v>
      </c>
      <c r="B225" t="s">
        <v>33</v>
      </c>
      <c r="C225" s="10">
        <v>10000033</v>
      </c>
      <c r="D225" t="b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0.31403412464086999</v>
      </c>
      <c r="Q225">
        <v>0</v>
      </c>
      <c r="R225">
        <v>0.1132016974736902</v>
      </c>
      <c r="S225">
        <v>0</v>
      </c>
      <c r="T225">
        <v>0.1132016974736902</v>
      </c>
      <c r="U225">
        <v>0</v>
      </c>
      <c r="V225">
        <v>0.6859658753591299</v>
      </c>
      <c r="W225">
        <v>6.3341240694378227</v>
      </c>
      <c r="X225">
        <v>0.1132016974736902</v>
      </c>
      <c r="Y225">
        <v>0.6859658753591299</v>
      </c>
      <c r="Z225" t="s">
        <v>24</v>
      </c>
    </row>
    <row r="226" spans="1:26" hidden="1" x14ac:dyDescent="0.2">
      <c r="A226">
        <v>14</v>
      </c>
      <c r="B226" t="s">
        <v>33</v>
      </c>
      <c r="C226" s="10">
        <v>10000082</v>
      </c>
      <c r="D226" t="b">
        <v>1</v>
      </c>
      <c r="F226">
        <v>0</v>
      </c>
      <c r="G226">
        <v>0</v>
      </c>
      <c r="H226">
        <v>0</v>
      </c>
      <c r="I226">
        <v>0.70844160895378683</v>
      </c>
      <c r="J226">
        <v>0.48906884564339242</v>
      </c>
      <c r="W226">
        <v>4.5838032318394166</v>
      </c>
      <c r="X226">
        <v>1</v>
      </c>
      <c r="Y226">
        <v>0.70844160895378683</v>
      </c>
      <c r="Z226" t="s">
        <v>23</v>
      </c>
    </row>
    <row r="227" spans="1:26" hidden="1" x14ac:dyDescent="0.2">
      <c r="A227">
        <v>14</v>
      </c>
      <c r="B227" t="s">
        <v>31</v>
      </c>
      <c r="C227" s="10">
        <v>10000082</v>
      </c>
      <c r="D227" t="b">
        <v>1</v>
      </c>
      <c r="F227">
        <v>0</v>
      </c>
      <c r="G227">
        <v>0</v>
      </c>
      <c r="H227">
        <v>0</v>
      </c>
      <c r="I227">
        <v>0.61686366335484899</v>
      </c>
      <c r="J227">
        <v>0.53233571247975409</v>
      </c>
      <c r="W227">
        <v>4.429906659051511</v>
      </c>
      <c r="X227">
        <v>1</v>
      </c>
      <c r="Y227">
        <v>0.61686366335484899</v>
      </c>
      <c r="Z227" t="s">
        <v>23</v>
      </c>
    </row>
    <row r="228" spans="1:26" hidden="1" x14ac:dyDescent="0.2">
      <c r="A228">
        <v>14</v>
      </c>
      <c r="B228" t="s">
        <v>32</v>
      </c>
      <c r="C228" s="10">
        <v>10000082</v>
      </c>
      <c r="D228" t="b">
        <v>1</v>
      </c>
      <c r="F228">
        <v>0</v>
      </c>
      <c r="G228">
        <v>0</v>
      </c>
      <c r="H228">
        <v>0</v>
      </c>
      <c r="I228">
        <v>0.61686366335484899</v>
      </c>
      <c r="J228">
        <v>0.53233571247975409</v>
      </c>
      <c r="W228">
        <v>4.429906659051511</v>
      </c>
      <c r="X228">
        <v>1</v>
      </c>
      <c r="Y228">
        <v>0.61686366335484899</v>
      </c>
      <c r="Z228" t="s">
        <v>23</v>
      </c>
    </row>
    <row r="229" spans="1:26" hidden="1" x14ac:dyDescent="0.2">
      <c r="A229">
        <v>14</v>
      </c>
      <c r="B229" t="s">
        <v>31</v>
      </c>
      <c r="C229" s="10">
        <v>10000033</v>
      </c>
      <c r="D229" t="b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0.28858202834983349</v>
      </c>
      <c r="Q229">
        <v>0</v>
      </c>
      <c r="R229">
        <v>0.13339645677770709</v>
      </c>
      <c r="S229">
        <v>0</v>
      </c>
      <c r="T229">
        <v>0.13339645677770709</v>
      </c>
      <c r="U229">
        <v>0</v>
      </c>
      <c r="V229">
        <v>0.71141797165016651</v>
      </c>
      <c r="W229">
        <v>6.301814435830158</v>
      </c>
      <c r="X229">
        <v>0.13339645677770709</v>
      </c>
      <c r="Y229">
        <v>0.71141797165016651</v>
      </c>
      <c r="Z229" t="s">
        <v>24</v>
      </c>
    </row>
    <row r="230" spans="1:26" hidden="1" x14ac:dyDescent="0.2">
      <c r="A230">
        <v>14</v>
      </c>
      <c r="B230" t="s">
        <v>32</v>
      </c>
      <c r="C230" s="10">
        <v>10000033</v>
      </c>
      <c r="D230" t="b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0.2983831185665034</v>
      </c>
      <c r="Q230">
        <v>0</v>
      </c>
      <c r="R230">
        <v>0.13339645677770709</v>
      </c>
      <c r="S230">
        <v>0</v>
      </c>
      <c r="T230">
        <v>0.13339645677770709</v>
      </c>
      <c r="U230">
        <v>0</v>
      </c>
      <c r="V230">
        <v>0.70161688143349665</v>
      </c>
      <c r="W230">
        <v>6.2924468731386556</v>
      </c>
      <c r="X230">
        <v>0.13339645677770709</v>
      </c>
      <c r="Y230">
        <v>0.70161688143349665</v>
      </c>
      <c r="Z230" t="s">
        <v>24</v>
      </c>
    </row>
    <row r="231" spans="1:26" hidden="1" x14ac:dyDescent="0.2">
      <c r="A231">
        <v>14</v>
      </c>
      <c r="B231" t="s">
        <v>34</v>
      </c>
      <c r="C231" s="10">
        <v>10000047</v>
      </c>
      <c r="D231" t="b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6.6666666666666666E-2</v>
      </c>
      <c r="L231">
        <v>6.6666666666666666E-2</v>
      </c>
      <c r="M231">
        <v>0</v>
      </c>
      <c r="N231">
        <v>0</v>
      </c>
      <c r="O231">
        <v>0.78123341108367095</v>
      </c>
      <c r="P231">
        <v>0</v>
      </c>
      <c r="Q231">
        <v>0.21876658891632911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6.1502746455586212</v>
      </c>
      <c r="X231">
        <v>0.21876658891632911</v>
      </c>
      <c r="Y231">
        <v>0.78123341108367095</v>
      </c>
      <c r="Z231" t="s">
        <v>24</v>
      </c>
    </row>
    <row r="232" spans="1:26" hidden="1" x14ac:dyDescent="0.2">
      <c r="A232">
        <v>14</v>
      </c>
      <c r="B232" t="s">
        <v>30</v>
      </c>
      <c r="C232" s="10">
        <v>10000073</v>
      </c>
      <c r="D232" t="b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0.3</v>
      </c>
      <c r="L232">
        <v>0</v>
      </c>
      <c r="M232">
        <v>0</v>
      </c>
      <c r="N232">
        <v>0</v>
      </c>
      <c r="O232">
        <v>0.4275923826591882</v>
      </c>
      <c r="P232">
        <v>0</v>
      </c>
      <c r="Q232">
        <v>0.26349475126013761</v>
      </c>
      <c r="R232">
        <v>0</v>
      </c>
      <c r="S232">
        <v>0.26349475126013761</v>
      </c>
      <c r="T232">
        <v>0</v>
      </c>
      <c r="U232">
        <v>0.5724076173408118</v>
      </c>
      <c r="V232">
        <v>0</v>
      </c>
      <c r="W232">
        <v>5.6619621260926376</v>
      </c>
      <c r="X232">
        <v>0.3</v>
      </c>
      <c r="Y232">
        <v>0.5724076173408118</v>
      </c>
      <c r="Z232" t="s">
        <v>24</v>
      </c>
    </row>
    <row r="233" spans="1:26" hidden="1" x14ac:dyDescent="0.2">
      <c r="A233">
        <v>14</v>
      </c>
      <c r="B233" t="s">
        <v>29</v>
      </c>
      <c r="C233" s="10">
        <v>10000073</v>
      </c>
      <c r="D233" t="b">
        <v>0</v>
      </c>
      <c r="E233">
        <v>0.39886091353804631</v>
      </c>
      <c r="F233">
        <v>0</v>
      </c>
      <c r="G233">
        <v>0.43333333333333329</v>
      </c>
      <c r="H233">
        <v>0</v>
      </c>
      <c r="I233">
        <v>0</v>
      </c>
      <c r="J233">
        <v>0</v>
      </c>
      <c r="K233">
        <v>0.56666666666666665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3.4081427852966302</v>
      </c>
      <c r="X233">
        <v>0.56666666666666665</v>
      </c>
      <c r="Y233">
        <v>0</v>
      </c>
      <c r="Z233" t="s">
        <v>23</v>
      </c>
    </row>
    <row r="234" spans="1:26" hidden="1" x14ac:dyDescent="0.2">
      <c r="A234">
        <v>14</v>
      </c>
      <c r="B234" t="s">
        <v>29</v>
      </c>
      <c r="C234" s="10">
        <v>10000047</v>
      </c>
      <c r="D234" t="b">
        <v>0</v>
      </c>
      <c r="E234">
        <v>0</v>
      </c>
      <c r="F234">
        <v>0</v>
      </c>
      <c r="G234">
        <v>0</v>
      </c>
      <c r="H234">
        <v>0</v>
      </c>
      <c r="I234">
        <v>0.46666666666666667</v>
      </c>
      <c r="J234">
        <v>0</v>
      </c>
      <c r="K234">
        <v>0</v>
      </c>
      <c r="L234">
        <v>0.53333333333333333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6.5750050999331302</v>
      </c>
      <c r="X234">
        <v>0</v>
      </c>
      <c r="Y234">
        <v>0.53333333333333333</v>
      </c>
      <c r="Z234" t="s">
        <v>24</v>
      </c>
    </row>
    <row r="235" spans="1:26" hidden="1" x14ac:dyDescent="0.2">
      <c r="A235">
        <v>14</v>
      </c>
      <c r="B235" t="s">
        <v>28</v>
      </c>
      <c r="C235" s="10">
        <v>10000047</v>
      </c>
      <c r="D235" t="b">
        <v>0</v>
      </c>
      <c r="E235">
        <v>0.18181818181818191</v>
      </c>
      <c r="F235">
        <v>0</v>
      </c>
      <c r="G235">
        <v>0</v>
      </c>
      <c r="H235">
        <v>0</v>
      </c>
      <c r="I235">
        <v>0.76025662287532847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6.2216061697176359</v>
      </c>
      <c r="X235">
        <v>0.18181818181818191</v>
      </c>
      <c r="Y235">
        <v>0.76025662287532847</v>
      </c>
      <c r="Z235" t="s">
        <v>24</v>
      </c>
    </row>
    <row r="236" spans="1:26" hidden="1" x14ac:dyDescent="0.2">
      <c r="A236">
        <v>15</v>
      </c>
      <c r="B236" t="s">
        <v>29</v>
      </c>
      <c r="C236" s="10">
        <v>10000033</v>
      </c>
      <c r="D236" t="b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0.30882977802696898</v>
      </c>
      <c r="Q236">
        <v>0</v>
      </c>
      <c r="R236">
        <v>7.2533828705603084E-2</v>
      </c>
      <c r="S236">
        <v>0</v>
      </c>
      <c r="T236">
        <v>7.2533828705603084E-2</v>
      </c>
      <c r="U236">
        <v>0</v>
      </c>
      <c r="V236">
        <v>0.69117022197303091</v>
      </c>
      <c r="W236">
        <v>6.4545598710285557</v>
      </c>
      <c r="X236">
        <v>7.2533828705603084E-2</v>
      </c>
      <c r="Y236">
        <v>0.69117022197303091</v>
      </c>
      <c r="Z236" t="s">
        <v>24</v>
      </c>
    </row>
    <row r="237" spans="1:26" hidden="1" x14ac:dyDescent="0.2">
      <c r="A237">
        <v>15</v>
      </c>
      <c r="B237" t="s">
        <v>33</v>
      </c>
      <c r="C237" s="10">
        <v>10000082</v>
      </c>
      <c r="D237" t="b">
        <v>1</v>
      </c>
      <c r="F237">
        <v>0</v>
      </c>
      <c r="G237">
        <v>0</v>
      </c>
      <c r="H237">
        <v>0</v>
      </c>
      <c r="I237">
        <v>0</v>
      </c>
      <c r="J237">
        <v>0.81471305338021383</v>
      </c>
      <c r="W237">
        <v>3.1666666666666679</v>
      </c>
      <c r="X237">
        <v>1</v>
      </c>
      <c r="Y237">
        <v>0</v>
      </c>
      <c r="Z237" t="s">
        <v>23</v>
      </c>
    </row>
    <row r="238" spans="1:26" hidden="1" x14ac:dyDescent="0.2">
      <c r="A238">
        <v>15</v>
      </c>
      <c r="B238" t="s">
        <v>33</v>
      </c>
      <c r="C238" s="10">
        <v>10000047</v>
      </c>
      <c r="D238" t="b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0.75540901903218705</v>
      </c>
      <c r="P238">
        <v>0</v>
      </c>
      <c r="Q238">
        <v>0.24459098096781301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6.0581381528969969</v>
      </c>
      <c r="X238">
        <v>0.24459098096781301</v>
      </c>
      <c r="Y238">
        <v>0.75540901903218705</v>
      </c>
      <c r="Z238" t="s">
        <v>24</v>
      </c>
    </row>
    <row r="239" spans="1:26" hidden="1" x14ac:dyDescent="0.2">
      <c r="A239">
        <v>15</v>
      </c>
      <c r="B239" t="s">
        <v>32</v>
      </c>
      <c r="C239" s="10">
        <v>10000082</v>
      </c>
      <c r="D239" t="b">
        <v>1</v>
      </c>
      <c r="F239">
        <v>0</v>
      </c>
      <c r="G239">
        <v>0</v>
      </c>
      <c r="H239">
        <v>0</v>
      </c>
      <c r="I239">
        <v>0</v>
      </c>
      <c r="J239">
        <v>0.82425450221243846</v>
      </c>
      <c r="W239">
        <v>3.1666666666666679</v>
      </c>
      <c r="X239">
        <v>1</v>
      </c>
      <c r="Y239">
        <v>0</v>
      </c>
      <c r="Z239" t="s">
        <v>23</v>
      </c>
    </row>
    <row r="240" spans="1:26" hidden="1" x14ac:dyDescent="0.2">
      <c r="A240">
        <v>15</v>
      </c>
      <c r="B240" t="s">
        <v>28</v>
      </c>
      <c r="C240" s="10">
        <v>10000082</v>
      </c>
      <c r="D240" t="b">
        <v>1</v>
      </c>
      <c r="F240">
        <v>0</v>
      </c>
      <c r="G240">
        <v>0</v>
      </c>
      <c r="H240">
        <v>0</v>
      </c>
      <c r="I240">
        <v>0</v>
      </c>
      <c r="J240">
        <v>0.82425450221243846</v>
      </c>
      <c r="W240">
        <v>3.1666666666666679</v>
      </c>
      <c r="X240">
        <v>1</v>
      </c>
      <c r="Y240">
        <v>0</v>
      </c>
      <c r="Z240" t="s">
        <v>23</v>
      </c>
    </row>
    <row r="241" spans="1:26" hidden="1" x14ac:dyDescent="0.2">
      <c r="A241">
        <v>15</v>
      </c>
      <c r="B241" t="s">
        <v>28</v>
      </c>
      <c r="C241" s="10">
        <v>10000073</v>
      </c>
      <c r="D241" t="b">
        <v>1</v>
      </c>
      <c r="E241">
        <v>0</v>
      </c>
      <c r="F241">
        <v>0</v>
      </c>
      <c r="G241">
        <v>0</v>
      </c>
      <c r="H241">
        <v>0</v>
      </c>
      <c r="I241">
        <v>0.565971487645199</v>
      </c>
      <c r="J241">
        <v>0.27838776178955432</v>
      </c>
      <c r="W241">
        <v>5.7117811237988754</v>
      </c>
      <c r="X241">
        <v>0.27838776178955432</v>
      </c>
      <c r="Y241">
        <v>0.565971487645199</v>
      </c>
      <c r="Z241" t="s">
        <v>24</v>
      </c>
    </row>
    <row r="242" spans="1:26" hidden="1" x14ac:dyDescent="0.2">
      <c r="A242">
        <v>15</v>
      </c>
      <c r="B242" t="s">
        <v>32</v>
      </c>
      <c r="C242" s="10">
        <v>10000047</v>
      </c>
      <c r="D242" t="b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0.73327746037728359</v>
      </c>
      <c r="P242">
        <v>0.26672253962271653</v>
      </c>
      <c r="Q242">
        <v>0.26672253962271653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5.9771736673487856</v>
      </c>
      <c r="X242">
        <v>0.26672253962271653</v>
      </c>
      <c r="Y242">
        <v>0.73327746037728359</v>
      </c>
      <c r="Z242" t="s">
        <v>24</v>
      </c>
    </row>
    <row r="243" spans="1:26" hidden="1" x14ac:dyDescent="0.2">
      <c r="A243">
        <v>15</v>
      </c>
      <c r="B243" t="s">
        <v>31</v>
      </c>
      <c r="C243" s="10">
        <v>10000082</v>
      </c>
      <c r="D243" t="b">
        <v>1</v>
      </c>
      <c r="F243">
        <v>0</v>
      </c>
      <c r="G243">
        <v>0</v>
      </c>
      <c r="H243">
        <v>0</v>
      </c>
      <c r="I243">
        <v>0</v>
      </c>
      <c r="J243">
        <v>0.86166455361161454</v>
      </c>
      <c r="W243">
        <v>3.1666666666666679</v>
      </c>
      <c r="X243">
        <v>1</v>
      </c>
      <c r="Y243">
        <v>0</v>
      </c>
      <c r="Z243" t="s">
        <v>23</v>
      </c>
    </row>
    <row r="244" spans="1:26" hidden="1" x14ac:dyDescent="0.2">
      <c r="A244">
        <v>15</v>
      </c>
      <c r="B244" t="s">
        <v>31</v>
      </c>
      <c r="C244" s="10">
        <v>10000073</v>
      </c>
      <c r="D244" t="b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0.41932741793517542</v>
      </c>
      <c r="P244">
        <v>0</v>
      </c>
      <c r="Q244">
        <v>0.29722883513104031</v>
      </c>
      <c r="R244">
        <v>0</v>
      </c>
      <c r="S244">
        <v>0.29722883513104031</v>
      </c>
      <c r="T244">
        <v>0</v>
      </c>
      <c r="U244">
        <v>0.58067258206482464</v>
      </c>
      <c r="V244">
        <v>0</v>
      </c>
      <c r="W244">
        <v>5.6832646570379213</v>
      </c>
      <c r="X244">
        <v>0.29722883513104031</v>
      </c>
      <c r="Y244">
        <v>0.58067258206482464</v>
      </c>
      <c r="Z244" t="s">
        <v>24</v>
      </c>
    </row>
    <row r="245" spans="1:26" hidden="1" x14ac:dyDescent="0.2">
      <c r="A245">
        <v>15</v>
      </c>
      <c r="B245" t="s">
        <v>35</v>
      </c>
      <c r="C245" s="10">
        <v>10000033</v>
      </c>
      <c r="D245" t="b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0.31055569877623379</v>
      </c>
      <c r="Q245">
        <v>0.31055569877623379</v>
      </c>
      <c r="R245">
        <v>0.17059939814382721</v>
      </c>
      <c r="S245">
        <v>0</v>
      </c>
      <c r="T245">
        <v>0.17059939814382721</v>
      </c>
      <c r="U245">
        <v>0</v>
      </c>
      <c r="V245">
        <v>0.66666666666666652</v>
      </c>
      <c r="W245">
        <v>5.7793238148183717</v>
      </c>
      <c r="X245">
        <v>0.31055569877623379</v>
      </c>
      <c r="Y245">
        <v>0.66666666666666652</v>
      </c>
      <c r="Z245" t="s">
        <v>24</v>
      </c>
    </row>
    <row r="246" spans="1:26" hidden="1" x14ac:dyDescent="0.2">
      <c r="A246">
        <v>15</v>
      </c>
      <c r="B246" t="s">
        <v>35</v>
      </c>
      <c r="C246" s="10">
        <v>10000073</v>
      </c>
      <c r="D246" t="b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0.43114308069980478</v>
      </c>
      <c r="P246">
        <v>0</v>
      </c>
      <c r="Q246">
        <v>0.29722883513104031</v>
      </c>
      <c r="R246">
        <v>0</v>
      </c>
      <c r="S246">
        <v>0.29722883513104031</v>
      </c>
      <c r="T246">
        <v>0</v>
      </c>
      <c r="U246">
        <v>0.56885691930019522</v>
      </c>
      <c r="V246">
        <v>0</v>
      </c>
      <c r="W246">
        <v>5.6636973375469708</v>
      </c>
      <c r="X246">
        <v>0.29722883513104031</v>
      </c>
      <c r="Y246">
        <v>0.56885691930019522</v>
      </c>
      <c r="Z246" t="s">
        <v>24</v>
      </c>
    </row>
    <row r="247" spans="1:26" hidden="1" x14ac:dyDescent="0.2">
      <c r="A247">
        <v>15</v>
      </c>
      <c r="B247" t="s">
        <v>34</v>
      </c>
      <c r="C247" s="10">
        <v>10000047</v>
      </c>
      <c r="D247" t="b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0.53846153846153832</v>
      </c>
      <c r="M247">
        <v>0</v>
      </c>
      <c r="N247">
        <v>0</v>
      </c>
      <c r="O247">
        <v>0.2</v>
      </c>
      <c r="P247">
        <v>0.2</v>
      </c>
      <c r="Q247">
        <v>0.2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5.9017673153440793</v>
      </c>
      <c r="X247">
        <v>0.2</v>
      </c>
      <c r="Y247">
        <v>0.53846153846153832</v>
      </c>
      <c r="Z247" t="s">
        <v>24</v>
      </c>
    </row>
    <row r="248" spans="1:26" hidden="1" x14ac:dyDescent="0.2">
      <c r="A248">
        <v>15</v>
      </c>
      <c r="B248" t="s">
        <v>26</v>
      </c>
      <c r="C248" s="10">
        <v>10000047</v>
      </c>
      <c r="D248" t="b">
        <v>0</v>
      </c>
      <c r="E248">
        <v>0</v>
      </c>
      <c r="F248">
        <v>0</v>
      </c>
      <c r="G248">
        <v>0</v>
      </c>
      <c r="H248">
        <v>0</v>
      </c>
      <c r="I248">
        <v>0.6333333333333333</v>
      </c>
      <c r="J248">
        <v>0.1333333333333333</v>
      </c>
      <c r="K248">
        <v>0</v>
      </c>
      <c r="L248">
        <v>0.36666666666666659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6.6327771314244037</v>
      </c>
      <c r="X248">
        <v>0</v>
      </c>
      <c r="Y248">
        <v>0.6333333333333333</v>
      </c>
      <c r="Z248" t="s">
        <v>24</v>
      </c>
    </row>
    <row r="249" spans="1:26" hidden="1" x14ac:dyDescent="0.2">
      <c r="A249">
        <v>15</v>
      </c>
      <c r="B249" t="s">
        <v>27</v>
      </c>
      <c r="C249" s="10">
        <v>10000073</v>
      </c>
      <c r="D249" t="b">
        <v>0</v>
      </c>
      <c r="E249">
        <v>0.43856064873426781</v>
      </c>
      <c r="F249">
        <v>0</v>
      </c>
      <c r="G249">
        <v>0.56143935126573219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3.4111719803218739</v>
      </c>
      <c r="X249">
        <v>0.56143935126573219</v>
      </c>
      <c r="Y249">
        <v>0</v>
      </c>
      <c r="Z249" t="s">
        <v>23</v>
      </c>
    </row>
    <row r="250" spans="1:26" hidden="1" x14ac:dyDescent="0.2">
      <c r="A250">
        <v>15</v>
      </c>
      <c r="B250" t="s">
        <v>27</v>
      </c>
      <c r="C250" s="10">
        <v>10000082</v>
      </c>
      <c r="D250" t="b">
        <v>1</v>
      </c>
      <c r="F250">
        <v>1</v>
      </c>
      <c r="G250">
        <v>0</v>
      </c>
      <c r="H250">
        <v>0</v>
      </c>
      <c r="I250">
        <v>0</v>
      </c>
      <c r="J250">
        <v>0</v>
      </c>
      <c r="W250">
        <v>3.1666666666666679</v>
      </c>
      <c r="X250">
        <v>1</v>
      </c>
      <c r="Y250">
        <v>0</v>
      </c>
      <c r="Z250" t="s">
        <v>23</v>
      </c>
    </row>
    <row r="251" spans="1:26" hidden="1" x14ac:dyDescent="0.2">
      <c r="A251">
        <v>15</v>
      </c>
      <c r="B251" t="s">
        <v>27</v>
      </c>
      <c r="C251" s="10">
        <v>10000033</v>
      </c>
      <c r="D251" t="b">
        <v>0</v>
      </c>
      <c r="E251">
        <v>0.28571428571428581</v>
      </c>
      <c r="F251">
        <v>0.1754014466438113</v>
      </c>
      <c r="G251">
        <v>0.6833563509915187</v>
      </c>
      <c r="H251">
        <v>0</v>
      </c>
      <c r="I251">
        <v>0.3166436490084813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4.2167273770473246</v>
      </c>
      <c r="X251">
        <v>0.6833563509915187</v>
      </c>
      <c r="Y251">
        <v>0.3166436490084813</v>
      </c>
      <c r="Z251" t="s">
        <v>23</v>
      </c>
    </row>
    <row r="252" spans="1:26" hidden="1" x14ac:dyDescent="0.2">
      <c r="A252">
        <v>15</v>
      </c>
      <c r="B252" t="s">
        <v>27</v>
      </c>
      <c r="C252" s="10">
        <v>10000047</v>
      </c>
      <c r="D252" t="b">
        <v>0</v>
      </c>
      <c r="E252">
        <v>0</v>
      </c>
      <c r="F252">
        <v>0</v>
      </c>
      <c r="G252">
        <v>0</v>
      </c>
      <c r="H252">
        <v>0</v>
      </c>
      <c r="I252">
        <v>0.64705882352941169</v>
      </c>
      <c r="J252">
        <v>0.35294117647058831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6.6406316717233951</v>
      </c>
      <c r="X252">
        <v>0</v>
      </c>
      <c r="Y252">
        <v>0.64705882352941169</v>
      </c>
      <c r="Z252" t="s">
        <v>24</v>
      </c>
    </row>
    <row r="253" spans="1:26" hidden="1" x14ac:dyDescent="0.2">
      <c r="A253">
        <v>15</v>
      </c>
      <c r="B253" t="s">
        <v>30</v>
      </c>
      <c r="C253" s="10">
        <v>10000082</v>
      </c>
      <c r="D253" t="b">
        <v>1</v>
      </c>
      <c r="F253">
        <v>1</v>
      </c>
      <c r="G253">
        <v>0</v>
      </c>
      <c r="H253">
        <v>0</v>
      </c>
      <c r="I253">
        <v>0</v>
      </c>
      <c r="J253">
        <v>0</v>
      </c>
      <c r="W253">
        <v>3.1666666666666679</v>
      </c>
      <c r="X253">
        <v>1</v>
      </c>
      <c r="Y253">
        <v>0</v>
      </c>
      <c r="Z253" t="s">
        <v>23</v>
      </c>
    </row>
    <row r="254" spans="1:26" hidden="1" x14ac:dyDescent="0.2">
      <c r="A254">
        <v>15</v>
      </c>
      <c r="B254" t="s">
        <v>30</v>
      </c>
      <c r="C254" s="10">
        <v>10000033</v>
      </c>
      <c r="D254" t="b">
        <v>0</v>
      </c>
      <c r="E254">
        <v>0.28571428571428581</v>
      </c>
      <c r="F254">
        <v>0.17559779556489841</v>
      </c>
      <c r="G254">
        <v>0.68126890203104273</v>
      </c>
      <c r="H254">
        <v>0</v>
      </c>
      <c r="I254">
        <v>0.31873109796895732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4.2248790019549274</v>
      </c>
      <c r="X254">
        <v>0.68126890203104273</v>
      </c>
      <c r="Y254">
        <v>0.31873109796895732</v>
      </c>
      <c r="Z254" t="s">
        <v>23</v>
      </c>
    </row>
    <row r="255" spans="1:26" hidden="1" x14ac:dyDescent="0.2">
      <c r="A255">
        <v>15</v>
      </c>
      <c r="B255" t="s">
        <v>30</v>
      </c>
      <c r="C255" s="10">
        <v>10000047</v>
      </c>
      <c r="D255" t="b">
        <v>0</v>
      </c>
      <c r="E255">
        <v>0</v>
      </c>
      <c r="F255">
        <v>0</v>
      </c>
      <c r="G255">
        <v>0</v>
      </c>
      <c r="H255">
        <v>0</v>
      </c>
      <c r="I255">
        <v>0.70644311792074477</v>
      </c>
      <c r="J255">
        <v>0.22222222222222229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6.6744037671157743</v>
      </c>
      <c r="X255">
        <v>0</v>
      </c>
      <c r="Y255">
        <v>0.70644311792074477</v>
      </c>
      <c r="Z255" t="s">
        <v>24</v>
      </c>
    </row>
    <row r="256" spans="1:26" hidden="1" x14ac:dyDescent="0.2">
      <c r="A256">
        <v>16</v>
      </c>
      <c r="B256" t="s">
        <v>33</v>
      </c>
      <c r="C256" s="10">
        <v>10000033</v>
      </c>
      <c r="D256" t="b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0.30882977802696898</v>
      </c>
      <c r="Q256">
        <v>0</v>
      </c>
      <c r="R256">
        <v>4.9936435222541618E-2</v>
      </c>
      <c r="S256">
        <v>0</v>
      </c>
      <c r="T256">
        <v>4.9936435222541618E-2</v>
      </c>
      <c r="U256">
        <v>0</v>
      </c>
      <c r="V256">
        <v>0.69117022197303091</v>
      </c>
      <c r="W256">
        <v>6.5197194292695864</v>
      </c>
      <c r="X256">
        <v>4.9936435222541618E-2</v>
      </c>
      <c r="Y256">
        <v>0.69117022197303091</v>
      </c>
      <c r="Z256" t="s">
        <v>24</v>
      </c>
    </row>
    <row r="257" spans="1:26" hidden="1" x14ac:dyDescent="0.2">
      <c r="A257">
        <v>16</v>
      </c>
      <c r="B257" t="s">
        <v>28</v>
      </c>
      <c r="C257" s="10">
        <v>10000082</v>
      </c>
      <c r="D257" t="b">
        <v>1</v>
      </c>
      <c r="F257">
        <v>0</v>
      </c>
      <c r="G257">
        <v>0</v>
      </c>
      <c r="H257">
        <v>0</v>
      </c>
      <c r="I257">
        <v>0</v>
      </c>
      <c r="J257">
        <v>0.9396621733965479</v>
      </c>
      <c r="W257">
        <v>3.1666666666666679</v>
      </c>
      <c r="X257">
        <v>1</v>
      </c>
      <c r="Y257">
        <v>0</v>
      </c>
      <c r="Z257" t="s">
        <v>23</v>
      </c>
    </row>
    <row r="258" spans="1:26" hidden="1" x14ac:dyDescent="0.2">
      <c r="A258">
        <v>16</v>
      </c>
      <c r="B258" t="s">
        <v>28</v>
      </c>
      <c r="C258" s="10">
        <v>10000033</v>
      </c>
      <c r="D258" t="b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0.31520671761058949</v>
      </c>
      <c r="Q258">
        <v>0</v>
      </c>
      <c r="R258">
        <v>0.21049034602505801</v>
      </c>
      <c r="S258">
        <v>0</v>
      </c>
      <c r="T258">
        <v>0.21049034602505801</v>
      </c>
      <c r="U258">
        <v>0</v>
      </c>
      <c r="V258">
        <v>0.68479328238941051</v>
      </c>
      <c r="W258">
        <v>6.0644816043036363</v>
      </c>
      <c r="X258">
        <v>0.21049034602505801</v>
      </c>
      <c r="Y258">
        <v>0.68479328238941051</v>
      </c>
      <c r="Z258" t="s">
        <v>24</v>
      </c>
    </row>
    <row r="259" spans="1:26" hidden="1" x14ac:dyDescent="0.2">
      <c r="A259">
        <v>16</v>
      </c>
      <c r="B259" t="s">
        <v>31</v>
      </c>
      <c r="C259" s="10">
        <v>10000082</v>
      </c>
      <c r="D259" t="b">
        <v>1</v>
      </c>
      <c r="F259">
        <v>0</v>
      </c>
      <c r="G259">
        <v>0</v>
      </c>
      <c r="H259">
        <v>0</v>
      </c>
      <c r="I259">
        <v>0</v>
      </c>
      <c r="J259">
        <v>0.94727508841644747</v>
      </c>
      <c r="W259">
        <v>3.1666666666666679</v>
      </c>
      <c r="X259">
        <v>1</v>
      </c>
      <c r="Y259">
        <v>0</v>
      </c>
      <c r="Z259" t="s">
        <v>23</v>
      </c>
    </row>
    <row r="260" spans="1:26" hidden="1" x14ac:dyDescent="0.2">
      <c r="A260">
        <v>16</v>
      </c>
      <c r="B260" t="s">
        <v>30</v>
      </c>
      <c r="C260" s="10">
        <v>10000033</v>
      </c>
      <c r="D260" t="b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0.29510121658218308</v>
      </c>
      <c r="Q260">
        <v>0</v>
      </c>
      <c r="R260">
        <v>0.21315881057922531</v>
      </c>
      <c r="S260">
        <v>0</v>
      </c>
      <c r="T260">
        <v>0.21315881057922531</v>
      </c>
      <c r="U260">
        <v>0</v>
      </c>
      <c r="V260">
        <v>0.70489878341781698</v>
      </c>
      <c r="W260">
        <v>6.0807867174023684</v>
      </c>
      <c r="X260">
        <v>0.21315881057922531</v>
      </c>
      <c r="Y260">
        <v>0.70489878341781698</v>
      </c>
      <c r="Z260" t="s">
        <v>24</v>
      </c>
    </row>
    <row r="261" spans="1:26" hidden="1" x14ac:dyDescent="0.2">
      <c r="A261">
        <v>16</v>
      </c>
      <c r="B261" t="s">
        <v>31</v>
      </c>
      <c r="C261" s="10">
        <v>10000033</v>
      </c>
      <c r="D261" t="b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0.29859158072650749</v>
      </c>
      <c r="Q261">
        <v>0</v>
      </c>
      <c r="R261">
        <v>0.21315881057922531</v>
      </c>
      <c r="S261">
        <v>0</v>
      </c>
      <c r="T261">
        <v>0.21315881057922531</v>
      </c>
      <c r="U261">
        <v>0</v>
      </c>
      <c r="V261">
        <v>0.70140841927349251</v>
      </c>
      <c r="W261">
        <v>6.0767641038550826</v>
      </c>
      <c r="X261">
        <v>0.21315881057922531</v>
      </c>
      <c r="Y261">
        <v>0.70140841927349251</v>
      </c>
      <c r="Z261" t="s">
        <v>24</v>
      </c>
    </row>
    <row r="262" spans="1:26" hidden="1" x14ac:dyDescent="0.2">
      <c r="A262">
        <v>16</v>
      </c>
      <c r="B262" t="s">
        <v>27</v>
      </c>
      <c r="C262" s="10">
        <v>10000033</v>
      </c>
      <c r="D262" t="b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0.29227257328056272</v>
      </c>
      <c r="Q262">
        <v>0</v>
      </c>
      <c r="R262">
        <v>0.21566381283995029</v>
      </c>
      <c r="S262">
        <v>0</v>
      </c>
      <c r="T262">
        <v>0.21566381283995029</v>
      </c>
      <c r="U262">
        <v>0</v>
      </c>
      <c r="V262">
        <v>0.70772742671943734</v>
      </c>
      <c r="W262">
        <v>6.0774595208471576</v>
      </c>
      <c r="X262">
        <v>0.21566381283995029</v>
      </c>
      <c r="Y262">
        <v>0.70772742671943734</v>
      </c>
      <c r="Z262" t="s">
        <v>24</v>
      </c>
    </row>
    <row r="263" spans="1:26" hidden="1" x14ac:dyDescent="0.2">
      <c r="A263">
        <v>16</v>
      </c>
      <c r="B263" t="s">
        <v>34</v>
      </c>
      <c r="C263" s="10">
        <v>10000033</v>
      </c>
      <c r="D263" t="b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0.29799394554277581</v>
      </c>
      <c r="Q263">
        <v>0</v>
      </c>
      <c r="R263">
        <v>0.21566381283995029</v>
      </c>
      <c r="S263">
        <v>0</v>
      </c>
      <c r="T263">
        <v>0.21566381283995029</v>
      </c>
      <c r="U263">
        <v>0</v>
      </c>
      <c r="V263">
        <v>0.7020060544572243</v>
      </c>
      <c r="W263">
        <v>6.0708509113741957</v>
      </c>
      <c r="X263">
        <v>0.21566381283995029</v>
      </c>
      <c r="Y263">
        <v>0.7020060544572243</v>
      </c>
      <c r="Z263" t="s">
        <v>24</v>
      </c>
    </row>
    <row r="264" spans="1:26" hidden="1" x14ac:dyDescent="0.2">
      <c r="A264">
        <v>16</v>
      </c>
      <c r="B264" t="s">
        <v>32</v>
      </c>
      <c r="C264" s="10">
        <v>10000033</v>
      </c>
      <c r="D264" t="b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0.3</v>
      </c>
      <c r="M264">
        <v>0.24658418550463579</v>
      </c>
      <c r="N264">
        <v>0</v>
      </c>
      <c r="O264">
        <v>0</v>
      </c>
      <c r="P264">
        <v>0.2942525978623638</v>
      </c>
      <c r="Q264">
        <v>0</v>
      </c>
      <c r="R264">
        <v>0.24658418550463579</v>
      </c>
      <c r="S264">
        <v>0</v>
      </c>
      <c r="T264">
        <v>0.24658418550463579</v>
      </c>
      <c r="U264">
        <v>0</v>
      </c>
      <c r="V264">
        <v>0.7</v>
      </c>
      <c r="W264">
        <v>5.9876948991601298</v>
      </c>
      <c r="X264">
        <v>0.24658418550463579</v>
      </c>
      <c r="Y264">
        <v>0.7</v>
      </c>
      <c r="Z264" t="s">
        <v>24</v>
      </c>
    </row>
    <row r="265" spans="1:26" hidden="1" x14ac:dyDescent="0.2">
      <c r="A265">
        <v>16</v>
      </c>
      <c r="B265" t="s">
        <v>29</v>
      </c>
      <c r="C265" s="10">
        <v>10000033</v>
      </c>
      <c r="D265" t="b">
        <v>0</v>
      </c>
      <c r="E265">
        <v>0</v>
      </c>
      <c r="F265">
        <v>0</v>
      </c>
      <c r="G265">
        <v>0</v>
      </c>
      <c r="H265">
        <v>0.6</v>
      </c>
      <c r="I265">
        <v>0</v>
      </c>
      <c r="J265">
        <v>0.29175004660401632</v>
      </c>
      <c r="K265">
        <v>0</v>
      </c>
      <c r="L265">
        <v>0.4</v>
      </c>
      <c r="M265">
        <v>0.27356318056142997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5.7789751092651436</v>
      </c>
      <c r="X265">
        <v>0.27356318056142997</v>
      </c>
      <c r="Y265">
        <v>0.6</v>
      </c>
      <c r="Z265" t="s">
        <v>24</v>
      </c>
    </row>
    <row r="266" spans="1:26" hidden="1" x14ac:dyDescent="0.2">
      <c r="A266">
        <v>16</v>
      </c>
      <c r="B266" t="s">
        <v>35</v>
      </c>
      <c r="C266" s="10">
        <v>10000047</v>
      </c>
      <c r="D266" t="b">
        <v>0</v>
      </c>
      <c r="E266">
        <v>0.6333333333333333</v>
      </c>
      <c r="F266">
        <v>0</v>
      </c>
      <c r="G266">
        <v>0</v>
      </c>
      <c r="H266">
        <v>0</v>
      </c>
      <c r="I266">
        <v>0.14285714285714279</v>
      </c>
      <c r="J266">
        <v>0</v>
      </c>
      <c r="K266">
        <v>0.36666666666666659</v>
      </c>
      <c r="L266">
        <v>0.14285714285714279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3.8076913562452002</v>
      </c>
      <c r="X266">
        <v>0.6333333333333333</v>
      </c>
      <c r="Y266">
        <v>0.14285714285714279</v>
      </c>
      <c r="Z266" t="s">
        <v>23</v>
      </c>
    </row>
    <row r="267" spans="1:26" hidden="1" x14ac:dyDescent="0.2">
      <c r="A267">
        <v>16</v>
      </c>
      <c r="B267" t="s">
        <v>35</v>
      </c>
      <c r="C267" s="10">
        <v>10000033</v>
      </c>
      <c r="D267" t="b">
        <v>0</v>
      </c>
      <c r="E267">
        <v>0</v>
      </c>
      <c r="F267">
        <v>0</v>
      </c>
      <c r="G267">
        <v>0</v>
      </c>
      <c r="H267">
        <v>0.70496590930161718</v>
      </c>
      <c r="I267">
        <v>0</v>
      </c>
      <c r="J267">
        <v>0.29503409069838282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6.6735673948843024</v>
      </c>
      <c r="X267">
        <v>0</v>
      </c>
      <c r="Y267">
        <v>0.70496590930161718</v>
      </c>
      <c r="Z267" t="s">
        <v>24</v>
      </c>
    </row>
    <row r="268" spans="1:26" hidden="1" x14ac:dyDescent="0.2">
      <c r="A268">
        <v>16</v>
      </c>
      <c r="B268" t="s">
        <v>26</v>
      </c>
      <c r="C268" s="10">
        <v>10000082</v>
      </c>
      <c r="D268" t="b">
        <v>1</v>
      </c>
      <c r="F268">
        <v>0</v>
      </c>
      <c r="G268">
        <v>0.77345185157281948</v>
      </c>
      <c r="H268">
        <v>0</v>
      </c>
      <c r="I268">
        <v>0</v>
      </c>
      <c r="J268">
        <v>0</v>
      </c>
      <c r="W268">
        <v>4.6865922211514048</v>
      </c>
      <c r="X268">
        <v>1</v>
      </c>
      <c r="Y268">
        <v>0.77345185157281948</v>
      </c>
      <c r="Z268" t="s">
        <v>23</v>
      </c>
    </row>
    <row r="269" spans="1:26" hidden="1" x14ac:dyDescent="0.2">
      <c r="A269">
        <v>16</v>
      </c>
      <c r="B269" t="s">
        <v>26</v>
      </c>
      <c r="C269" s="10">
        <v>10000033</v>
      </c>
      <c r="D269" t="b">
        <v>0</v>
      </c>
      <c r="E269">
        <v>0</v>
      </c>
      <c r="F269">
        <v>0</v>
      </c>
      <c r="G269">
        <v>0</v>
      </c>
      <c r="H269">
        <v>0.69491543043494475</v>
      </c>
      <c r="I269">
        <v>0</v>
      </c>
      <c r="J269">
        <v>0.30508456956505531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6.6678751261888891</v>
      </c>
      <c r="X269">
        <v>0</v>
      </c>
      <c r="Y269">
        <v>0.69491543043494475</v>
      </c>
      <c r="Z269" t="s">
        <v>24</v>
      </c>
    </row>
    <row r="270" spans="1:26" hidden="1" x14ac:dyDescent="0.2">
      <c r="A270">
        <v>16</v>
      </c>
      <c r="B270" t="s">
        <v>26</v>
      </c>
      <c r="C270" s="10">
        <v>10000047</v>
      </c>
      <c r="D270" t="b">
        <v>0</v>
      </c>
      <c r="E270">
        <v>0.85714285714285721</v>
      </c>
      <c r="F270">
        <v>0</v>
      </c>
      <c r="G270">
        <v>0</v>
      </c>
      <c r="H270">
        <v>0</v>
      </c>
      <c r="I270">
        <v>0.14285714285714279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3.596428214761783</v>
      </c>
      <c r="X270">
        <v>0.85714285714285721</v>
      </c>
      <c r="Y270">
        <v>0.14285714285714279</v>
      </c>
      <c r="Z270" t="s">
        <v>23</v>
      </c>
    </row>
    <row r="271" spans="1:26" hidden="1" x14ac:dyDescent="0.2">
      <c r="A271">
        <v>17</v>
      </c>
      <c r="B271" t="s">
        <v>26</v>
      </c>
      <c r="C271" s="10">
        <v>10000033</v>
      </c>
      <c r="D271" t="b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0.30882977802696898</v>
      </c>
      <c r="Q271">
        <v>0</v>
      </c>
      <c r="R271">
        <v>7.4860709489321678E-2</v>
      </c>
      <c r="S271">
        <v>0</v>
      </c>
      <c r="T271">
        <v>7.4860709489321678E-2</v>
      </c>
      <c r="U271">
        <v>0</v>
      </c>
      <c r="V271">
        <v>0.69117022197303091</v>
      </c>
      <c r="W271">
        <v>6.4478841093947166</v>
      </c>
      <c r="X271">
        <v>7.4860709489321678E-2</v>
      </c>
      <c r="Y271">
        <v>0.69117022197303091</v>
      </c>
      <c r="Z271" t="s">
        <v>24</v>
      </c>
    </row>
    <row r="272" spans="1:26" hidden="1" x14ac:dyDescent="0.2">
      <c r="A272">
        <v>17</v>
      </c>
      <c r="B272" t="s">
        <v>27</v>
      </c>
      <c r="C272" s="10">
        <v>10000082</v>
      </c>
      <c r="D272" t="b">
        <v>1</v>
      </c>
      <c r="F272">
        <v>0</v>
      </c>
      <c r="G272">
        <v>0</v>
      </c>
      <c r="H272">
        <v>0</v>
      </c>
      <c r="I272">
        <v>0.23234499608508319</v>
      </c>
      <c r="J272">
        <v>0.77334822679817561</v>
      </c>
      <c r="W272">
        <v>3.6783621331592351</v>
      </c>
      <c r="X272">
        <v>1</v>
      </c>
      <c r="Y272">
        <v>0.23234499608508319</v>
      </c>
      <c r="Z272" t="s">
        <v>23</v>
      </c>
    </row>
    <row r="273" spans="1:26" hidden="1" x14ac:dyDescent="0.2">
      <c r="A273">
        <v>17</v>
      </c>
      <c r="B273" t="s">
        <v>27</v>
      </c>
      <c r="C273" s="10">
        <v>10000073</v>
      </c>
      <c r="D273" t="b">
        <v>1</v>
      </c>
      <c r="E273">
        <v>0</v>
      </c>
      <c r="F273">
        <v>0</v>
      </c>
      <c r="G273">
        <v>0</v>
      </c>
      <c r="H273">
        <v>0</v>
      </c>
      <c r="I273">
        <v>0.59041907620001222</v>
      </c>
      <c r="J273">
        <v>0.2384127851035204</v>
      </c>
      <c r="W273">
        <v>5.863557410013617</v>
      </c>
      <c r="X273">
        <v>0.2384127851035204</v>
      </c>
      <c r="Y273">
        <v>0.59041907620001222</v>
      </c>
      <c r="Z273" t="s">
        <v>24</v>
      </c>
    </row>
    <row r="274" spans="1:26" hidden="1" x14ac:dyDescent="0.2">
      <c r="A274">
        <v>17</v>
      </c>
      <c r="B274" t="s">
        <v>29</v>
      </c>
      <c r="C274" s="10">
        <v>10000082</v>
      </c>
      <c r="D274" t="b">
        <v>1</v>
      </c>
      <c r="F274">
        <v>0</v>
      </c>
      <c r="G274">
        <v>0</v>
      </c>
      <c r="H274">
        <v>0</v>
      </c>
      <c r="I274">
        <v>0.23234499608508319</v>
      </c>
      <c r="J274">
        <v>0.77334822679817561</v>
      </c>
      <c r="W274">
        <v>3.6783621331592351</v>
      </c>
      <c r="X274">
        <v>1</v>
      </c>
      <c r="Y274">
        <v>0.23234499608508319</v>
      </c>
      <c r="Z274" t="s">
        <v>23</v>
      </c>
    </row>
    <row r="275" spans="1:26" hidden="1" x14ac:dyDescent="0.2">
      <c r="A275">
        <v>17</v>
      </c>
      <c r="B275" t="s">
        <v>29</v>
      </c>
      <c r="C275" s="10">
        <v>10000073</v>
      </c>
      <c r="D275" t="b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0.41298372476757472</v>
      </c>
      <c r="P275">
        <v>0.2384127851035204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0.58701627523242539</v>
      </c>
      <c r="W275">
        <v>6.6061356380517768</v>
      </c>
      <c r="X275">
        <v>0</v>
      </c>
      <c r="Y275">
        <v>0.58701627523242539</v>
      </c>
      <c r="Z275" t="s">
        <v>24</v>
      </c>
    </row>
    <row r="276" spans="1:26" hidden="1" x14ac:dyDescent="0.2">
      <c r="A276">
        <v>17</v>
      </c>
      <c r="B276" t="s">
        <v>33</v>
      </c>
      <c r="C276" s="10">
        <v>10000073</v>
      </c>
      <c r="D276" t="b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0.40695752194097867</v>
      </c>
      <c r="P276">
        <v>0</v>
      </c>
      <c r="Q276">
        <v>0.30943309522512791</v>
      </c>
      <c r="R276">
        <v>0</v>
      </c>
      <c r="S276">
        <v>0.30943309522512791</v>
      </c>
      <c r="T276">
        <v>0</v>
      </c>
      <c r="U276">
        <v>0.59304247805902133</v>
      </c>
      <c r="V276">
        <v>0.33333333333333331</v>
      </c>
      <c r="W276">
        <v>5.6702338667754191</v>
      </c>
      <c r="X276">
        <v>0.30943309522512791</v>
      </c>
      <c r="Y276">
        <v>0.59304247805902133</v>
      </c>
      <c r="Z276" t="s">
        <v>24</v>
      </c>
    </row>
    <row r="277" spans="1:26" hidden="1" x14ac:dyDescent="0.2">
      <c r="A277">
        <v>17</v>
      </c>
      <c r="B277" t="s">
        <v>30</v>
      </c>
      <c r="C277" s="10">
        <v>10000082</v>
      </c>
      <c r="D277" t="b">
        <v>1</v>
      </c>
      <c r="F277">
        <v>0</v>
      </c>
      <c r="G277">
        <v>0</v>
      </c>
      <c r="H277">
        <v>0</v>
      </c>
      <c r="I277">
        <v>0</v>
      </c>
      <c r="J277">
        <v>0.66709178193717722</v>
      </c>
      <c r="W277">
        <v>3.1666666666666679</v>
      </c>
      <c r="X277">
        <v>1</v>
      </c>
      <c r="Y277">
        <v>0</v>
      </c>
      <c r="Z277" t="s">
        <v>23</v>
      </c>
    </row>
    <row r="278" spans="1:26" hidden="1" x14ac:dyDescent="0.2">
      <c r="A278">
        <v>17</v>
      </c>
      <c r="B278" t="s">
        <v>34</v>
      </c>
      <c r="C278" s="10">
        <v>10000047</v>
      </c>
      <c r="D278" t="b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0.69837719384191144</v>
      </c>
      <c r="P278">
        <v>0</v>
      </c>
      <c r="Q278">
        <v>0.30162280615808862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5.8456628061832436</v>
      </c>
      <c r="X278">
        <v>0.30162280615808862</v>
      </c>
      <c r="Y278">
        <v>0.69837719384191144</v>
      </c>
      <c r="Z278" t="s">
        <v>24</v>
      </c>
    </row>
    <row r="279" spans="1:26" hidden="1" x14ac:dyDescent="0.2">
      <c r="A279">
        <v>17</v>
      </c>
      <c r="B279" t="s">
        <v>35</v>
      </c>
      <c r="C279" s="10">
        <v>10000033</v>
      </c>
      <c r="D279" t="b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0.28541331683166948</v>
      </c>
      <c r="Q279">
        <v>0</v>
      </c>
      <c r="R279">
        <v>0.27822927250514318</v>
      </c>
      <c r="S279">
        <v>0</v>
      </c>
      <c r="T279">
        <v>0.27822927250514318</v>
      </c>
      <c r="U279">
        <v>0</v>
      </c>
      <c r="V279">
        <v>0.71458668316833041</v>
      </c>
      <c r="W279">
        <v>5.9252972057074844</v>
      </c>
      <c r="X279">
        <v>0.27822927250514318</v>
      </c>
      <c r="Y279">
        <v>0.71458668316833041</v>
      </c>
      <c r="Z279" t="s">
        <v>24</v>
      </c>
    </row>
    <row r="280" spans="1:26" hidden="1" x14ac:dyDescent="0.2">
      <c r="A280">
        <v>17</v>
      </c>
      <c r="B280" t="s">
        <v>31</v>
      </c>
      <c r="C280" s="10">
        <v>10000073</v>
      </c>
      <c r="D280" t="b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0.40596288774127193</v>
      </c>
      <c r="P280">
        <v>0</v>
      </c>
      <c r="Q280">
        <v>0.36467246809144921</v>
      </c>
      <c r="R280">
        <v>0</v>
      </c>
      <c r="S280">
        <v>0.36467246809144921</v>
      </c>
      <c r="T280">
        <v>0</v>
      </c>
      <c r="U280">
        <v>0.59403711225872802</v>
      </c>
      <c r="V280">
        <v>0</v>
      </c>
      <c r="W280">
        <v>5.5268795429480591</v>
      </c>
      <c r="X280">
        <v>0.36467246809144921</v>
      </c>
      <c r="Y280">
        <v>0.59403711225872802</v>
      </c>
      <c r="Z280" t="s">
        <v>24</v>
      </c>
    </row>
    <row r="281" spans="1:26" hidden="1" x14ac:dyDescent="0.2">
      <c r="A281">
        <v>17</v>
      </c>
      <c r="B281" t="s">
        <v>30</v>
      </c>
      <c r="C281" s="10">
        <v>10000033</v>
      </c>
      <c r="D281" t="b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0.29433390879223409</v>
      </c>
      <c r="Q281">
        <v>0</v>
      </c>
      <c r="R281">
        <v>0.28391534167707189</v>
      </c>
      <c r="S281">
        <v>0</v>
      </c>
      <c r="T281">
        <v>0.28391534167707189</v>
      </c>
      <c r="U281">
        <v>0</v>
      </c>
      <c r="V281">
        <v>0.70566609120776591</v>
      </c>
      <c r="W281">
        <v>5.8996188129106137</v>
      </c>
      <c r="X281">
        <v>0.28391534167707189</v>
      </c>
      <c r="Y281">
        <v>0.70566609120776591</v>
      </c>
      <c r="Z281" t="s">
        <v>24</v>
      </c>
    </row>
    <row r="282" spans="1:26" hidden="1" x14ac:dyDescent="0.2">
      <c r="A282">
        <v>17</v>
      </c>
      <c r="B282" t="s">
        <v>28</v>
      </c>
      <c r="C282" s="10">
        <v>10000047</v>
      </c>
      <c r="D282" t="b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0.56666666666666665</v>
      </c>
      <c r="L282">
        <v>0</v>
      </c>
      <c r="M282">
        <v>0</v>
      </c>
      <c r="N282">
        <v>0</v>
      </c>
      <c r="O282">
        <v>0.43333333333333329</v>
      </c>
      <c r="P282">
        <v>0</v>
      </c>
      <c r="Q282">
        <v>0.38059123321970811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4.6999244144928483</v>
      </c>
      <c r="X282">
        <v>0.56666666666666665</v>
      </c>
      <c r="Y282">
        <v>0.43333333333333329</v>
      </c>
      <c r="Z282" t="s">
        <v>23</v>
      </c>
    </row>
    <row r="283" spans="1:26" hidden="1" x14ac:dyDescent="0.2">
      <c r="A283">
        <v>17</v>
      </c>
      <c r="B283" t="s">
        <v>32</v>
      </c>
      <c r="C283" s="10">
        <v>10000082</v>
      </c>
      <c r="D283" t="b">
        <v>1</v>
      </c>
      <c r="F283">
        <v>0</v>
      </c>
      <c r="G283">
        <v>0.9</v>
      </c>
      <c r="H283">
        <v>0</v>
      </c>
      <c r="I283">
        <v>9.8398920930676415E-3</v>
      </c>
      <c r="J283">
        <v>0.1</v>
      </c>
      <c r="W283">
        <v>4.8711313088858583</v>
      </c>
      <c r="X283">
        <v>1</v>
      </c>
      <c r="Y283">
        <v>0.9</v>
      </c>
      <c r="Z283" t="s">
        <v>23</v>
      </c>
    </row>
    <row r="284" spans="1:26" hidden="1" x14ac:dyDescent="0.2">
      <c r="A284">
        <v>17</v>
      </c>
      <c r="B284" t="s">
        <v>28</v>
      </c>
      <c r="C284" s="10">
        <v>10000082</v>
      </c>
      <c r="D284" t="b">
        <v>1</v>
      </c>
      <c r="F284">
        <v>0</v>
      </c>
      <c r="G284">
        <v>0.96666666666666667</v>
      </c>
      <c r="H284">
        <v>0</v>
      </c>
      <c r="I284">
        <v>9.8398920930676415E-3</v>
      </c>
      <c r="J284">
        <v>3.3333333333333333E-2</v>
      </c>
      <c r="W284">
        <v>4.9601156013752314</v>
      </c>
      <c r="X284">
        <v>1</v>
      </c>
      <c r="Y284">
        <v>0.96666666666666667</v>
      </c>
      <c r="Z284" t="s">
        <v>23</v>
      </c>
    </row>
    <row r="285" spans="1:26" hidden="1" x14ac:dyDescent="0.2">
      <c r="A285">
        <v>17</v>
      </c>
      <c r="B285" t="s">
        <v>28</v>
      </c>
      <c r="C285" s="10">
        <v>10000033</v>
      </c>
      <c r="D285" t="b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0.6170346082109448</v>
      </c>
      <c r="M285">
        <v>0.3829653917890552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5.5202537140543377</v>
      </c>
      <c r="X285">
        <v>0.3829653917890552</v>
      </c>
      <c r="Y285">
        <v>0.6170346082109448</v>
      </c>
      <c r="Z285" t="s">
        <v>24</v>
      </c>
    </row>
    <row r="286" spans="1:26" hidden="1" x14ac:dyDescent="0.2">
      <c r="A286">
        <v>17</v>
      </c>
      <c r="B286" t="s">
        <v>32</v>
      </c>
      <c r="C286" s="10">
        <v>10000033</v>
      </c>
      <c r="D286" t="b">
        <v>0</v>
      </c>
      <c r="E286">
        <v>0</v>
      </c>
      <c r="F286">
        <v>0</v>
      </c>
      <c r="G286">
        <v>0</v>
      </c>
      <c r="H286">
        <v>0.2</v>
      </c>
      <c r="I286">
        <v>0</v>
      </c>
      <c r="J286">
        <v>0.2</v>
      </c>
      <c r="K286">
        <v>0</v>
      </c>
      <c r="L286">
        <v>0.6170346082109448</v>
      </c>
      <c r="M286">
        <v>0.3829653917890552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5.5202537140543377</v>
      </c>
      <c r="X286">
        <v>0.3829653917890552</v>
      </c>
      <c r="Y286">
        <v>0.6170346082109448</v>
      </c>
      <c r="Z286" t="s">
        <v>24</v>
      </c>
    </row>
    <row r="287" spans="1:26" hidden="1" x14ac:dyDescent="0.2">
      <c r="A287">
        <v>18</v>
      </c>
      <c r="B287" t="s">
        <v>26</v>
      </c>
      <c r="C287" s="10">
        <v>10000082</v>
      </c>
      <c r="D287" t="b">
        <v>1</v>
      </c>
      <c r="F287">
        <v>0</v>
      </c>
      <c r="G287">
        <v>0</v>
      </c>
      <c r="H287">
        <v>0</v>
      </c>
      <c r="I287">
        <v>0</v>
      </c>
      <c r="J287">
        <v>0.66042191237679493</v>
      </c>
      <c r="W287">
        <v>3.1666666666666679</v>
      </c>
      <c r="X287">
        <v>1</v>
      </c>
      <c r="Y287">
        <v>0</v>
      </c>
      <c r="Z287" t="s">
        <v>23</v>
      </c>
    </row>
    <row r="288" spans="1:26" hidden="1" x14ac:dyDescent="0.2">
      <c r="A288">
        <v>18</v>
      </c>
      <c r="B288" t="s">
        <v>26</v>
      </c>
      <c r="C288" s="10">
        <v>10000073</v>
      </c>
      <c r="D288" t="b">
        <v>1</v>
      </c>
      <c r="E288">
        <v>0</v>
      </c>
      <c r="F288">
        <v>0</v>
      </c>
      <c r="G288">
        <v>0</v>
      </c>
      <c r="H288">
        <v>0</v>
      </c>
      <c r="I288">
        <v>0.56863916504108691</v>
      </c>
      <c r="J288">
        <v>0.20720387132594001</v>
      </c>
      <c r="W288">
        <v>5.9236980032135422</v>
      </c>
      <c r="X288">
        <v>0.20720387132594001</v>
      </c>
      <c r="Y288">
        <v>0.56863916504108691</v>
      </c>
      <c r="Z288" t="s">
        <v>24</v>
      </c>
    </row>
    <row r="289" spans="1:26" hidden="1" x14ac:dyDescent="0.2">
      <c r="A289">
        <v>18</v>
      </c>
      <c r="B289" t="s">
        <v>28</v>
      </c>
      <c r="C289" s="10">
        <v>10000082</v>
      </c>
      <c r="D289" t="b">
        <v>1</v>
      </c>
      <c r="F289">
        <v>0</v>
      </c>
      <c r="G289">
        <v>0</v>
      </c>
      <c r="H289">
        <v>0</v>
      </c>
      <c r="I289">
        <v>0</v>
      </c>
      <c r="J289">
        <v>1</v>
      </c>
      <c r="W289">
        <v>3.1666666666666679</v>
      </c>
      <c r="X289">
        <v>1</v>
      </c>
      <c r="Y289">
        <v>0</v>
      </c>
      <c r="Z289" t="s">
        <v>23</v>
      </c>
    </row>
    <row r="290" spans="1:26" hidden="1" x14ac:dyDescent="0.2">
      <c r="A290">
        <v>18</v>
      </c>
      <c r="B290" t="s">
        <v>31</v>
      </c>
      <c r="C290" s="10">
        <v>10000082</v>
      </c>
      <c r="D290" t="b">
        <v>1</v>
      </c>
      <c r="F290">
        <v>0</v>
      </c>
      <c r="G290">
        <v>0</v>
      </c>
      <c r="H290">
        <v>0</v>
      </c>
      <c r="I290">
        <v>0</v>
      </c>
      <c r="J290">
        <v>1</v>
      </c>
      <c r="W290">
        <v>3.1666666666666679</v>
      </c>
      <c r="X290">
        <v>1</v>
      </c>
      <c r="Y290">
        <v>0</v>
      </c>
      <c r="Z290" t="s">
        <v>23</v>
      </c>
    </row>
    <row r="291" spans="1:26" hidden="1" x14ac:dyDescent="0.2">
      <c r="A291">
        <v>18</v>
      </c>
      <c r="B291" t="s">
        <v>31</v>
      </c>
      <c r="C291" s="10">
        <v>10000047</v>
      </c>
      <c r="D291" t="b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0.80020861121677855</v>
      </c>
      <c r="P291">
        <v>0</v>
      </c>
      <c r="Q291">
        <v>0.1997913887832215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6.2163978637069182</v>
      </c>
      <c r="X291">
        <v>0.1997913887832215</v>
      </c>
      <c r="Y291">
        <v>0.80020861121677855</v>
      </c>
      <c r="Z291" t="s">
        <v>24</v>
      </c>
    </row>
    <row r="292" spans="1:26" hidden="1" x14ac:dyDescent="0.2">
      <c r="A292">
        <v>18</v>
      </c>
      <c r="B292" t="s">
        <v>28</v>
      </c>
      <c r="C292" s="10">
        <v>10000033</v>
      </c>
      <c r="D292" t="b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0.31117129172678981</v>
      </c>
      <c r="Q292">
        <v>0</v>
      </c>
      <c r="R292">
        <v>6.6833030929784723E-2</v>
      </c>
      <c r="S292">
        <v>0</v>
      </c>
      <c r="T292">
        <v>6.6833030929784723E-2</v>
      </c>
      <c r="U292">
        <v>0</v>
      </c>
      <c r="V292">
        <v>0.68882870827321019</v>
      </c>
      <c r="W292">
        <v>6.4691034990670166</v>
      </c>
      <c r="X292">
        <v>6.6833030929784723E-2</v>
      </c>
      <c r="Y292">
        <v>0.68882870827321019</v>
      </c>
      <c r="Z292" t="s">
        <v>24</v>
      </c>
    </row>
    <row r="293" spans="1:26" hidden="1" x14ac:dyDescent="0.2">
      <c r="A293">
        <v>18</v>
      </c>
      <c r="B293" t="s">
        <v>27</v>
      </c>
      <c r="C293" s="10">
        <v>10000047</v>
      </c>
      <c r="D293" t="b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0.79827282048624215</v>
      </c>
      <c r="P293">
        <v>0</v>
      </c>
      <c r="Q293">
        <v>0.20172717951375779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6.2097118383938454</v>
      </c>
      <c r="X293">
        <v>0.20172717951375779</v>
      </c>
      <c r="Y293">
        <v>0.79827282048624215</v>
      </c>
      <c r="Z293" t="s">
        <v>24</v>
      </c>
    </row>
    <row r="294" spans="1:26" hidden="1" x14ac:dyDescent="0.2">
      <c r="A294">
        <v>18</v>
      </c>
      <c r="B294" t="s">
        <v>35</v>
      </c>
      <c r="C294" s="10">
        <v>10000033</v>
      </c>
      <c r="D294" t="b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0.32812785816227258</v>
      </c>
      <c r="Q294">
        <v>0</v>
      </c>
      <c r="R294">
        <v>7.8961406688729308E-2</v>
      </c>
      <c r="S294">
        <v>0</v>
      </c>
      <c r="T294">
        <v>7.8961406688729308E-2</v>
      </c>
      <c r="U294">
        <v>0</v>
      </c>
      <c r="V294">
        <v>0.67187214183772748</v>
      </c>
      <c r="W294">
        <v>6.4201632757775977</v>
      </c>
      <c r="X294">
        <v>7.8961406688729308E-2</v>
      </c>
      <c r="Y294">
        <v>0.67187214183772748</v>
      </c>
      <c r="Z294" t="s">
        <v>24</v>
      </c>
    </row>
    <row r="295" spans="1:26" hidden="1" x14ac:dyDescent="0.2">
      <c r="A295">
        <v>18</v>
      </c>
      <c r="B295" t="s">
        <v>30</v>
      </c>
      <c r="C295" s="10">
        <v>10000073</v>
      </c>
      <c r="D295" t="b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0.4631041886158343</v>
      </c>
      <c r="P295">
        <v>0</v>
      </c>
      <c r="Q295">
        <v>0.24554256576520239</v>
      </c>
      <c r="R295">
        <v>0</v>
      </c>
      <c r="S295">
        <v>0.24554256576520239</v>
      </c>
      <c r="T295">
        <v>0</v>
      </c>
      <c r="U295">
        <v>0.53689581138416576</v>
      </c>
      <c r="V295">
        <v>0</v>
      </c>
      <c r="W295">
        <v>5.7598060192994653</v>
      </c>
      <c r="X295">
        <v>0.24554256576520239</v>
      </c>
      <c r="Y295">
        <v>0.53689581138416576</v>
      </c>
      <c r="Z295" t="s">
        <v>24</v>
      </c>
    </row>
    <row r="296" spans="1:26" hidden="1" x14ac:dyDescent="0.2">
      <c r="A296">
        <v>18</v>
      </c>
      <c r="B296" t="s">
        <v>29</v>
      </c>
      <c r="C296" s="10">
        <v>10000082</v>
      </c>
      <c r="D296" t="b">
        <v>1</v>
      </c>
      <c r="F296">
        <v>0</v>
      </c>
      <c r="G296">
        <v>0</v>
      </c>
      <c r="H296">
        <v>0</v>
      </c>
      <c r="I296">
        <v>0.21252995264679661</v>
      </c>
      <c r="J296">
        <v>0.8191528218015135</v>
      </c>
      <c r="W296">
        <v>3.635824888339394</v>
      </c>
      <c r="X296">
        <v>1</v>
      </c>
      <c r="Y296">
        <v>0.21252995264679661</v>
      </c>
      <c r="Z296" t="s">
        <v>23</v>
      </c>
    </row>
    <row r="297" spans="1:26" hidden="1" x14ac:dyDescent="0.2">
      <c r="A297">
        <v>18</v>
      </c>
      <c r="B297" t="s">
        <v>29</v>
      </c>
      <c r="C297" s="10">
        <v>10000047</v>
      </c>
      <c r="D297" t="b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0.67738608027160896</v>
      </c>
      <c r="P297">
        <v>0</v>
      </c>
      <c r="Q297">
        <v>0.3226139197283911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5.7642579128637728</v>
      </c>
      <c r="X297">
        <v>0.3226139197283911</v>
      </c>
      <c r="Y297">
        <v>0.67738608027160896</v>
      </c>
      <c r="Z297" t="s">
        <v>24</v>
      </c>
    </row>
    <row r="298" spans="1:26" hidden="1" x14ac:dyDescent="0.2">
      <c r="A298">
        <v>18</v>
      </c>
      <c r="B298" t="s">
        <v>33</v>
      </c>
      <c r="C298" s="10">
        <v>10000073</v>
      </c>
      <c r="D298" t="b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0.52432548000132884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6.5697530235692287</v>
      </c>
      <c r="X298">
        <v>0</v>
      </c>
      <c r="Y298">
        <v>0.52432548000132884</v>
      </c>
      <c r="Z298" t="s">
        <v>24</v>
      </c>
    </row>
    <row r="299" spans="1:26" hidden="1" x14ac:dyDescent="0.2">
      <c r="A299">
        <v>18</v>
      </c>
      <c r="B299" t="s">
        <v>34</v>
      </c>
      <c r="C299" s="10">
        <v>10000073</v>
      </c>
      <c r="D299" t="b">
        <v>0</v>
      </c>
      <c r="E299">
        <v>0.47470101543190568</v>
      </c>
      <c r="F299">
        <v>0</v>
      </c>
      <c r="G299">
        <v>0.52529898456809432</v>
      </c>
      <c r="H299">
        <v>0</v>
      </c>
      <c r="I299">
        <v>0.2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4.1221669996962396</v>
      </c>
      <c r="X299">
        <v>0.52529898456809432</v>
      </c>
      <c r="Y299">
        <v>0.2</v>
      </c>
      <c r="Z299" t="s">
        <v>23</v>
      </c>
    </row>
    <row r="300" spans="1:26" hidden="1" x14ac:dyDescent="0.2">
      <c r="A300">
        <v>18</v>
      </c>
      <c r="B300" t="s">
        <v>34</v>
      </c>
      <c r="C300" s="10">
        <v>10000082</v>
      </c>
      <c r="D300" t="b">
        <v>1</v>
      </c>
      <c r="F300">
        <v>0.87303352129350653</v>
      </c>
      <c r="G300">
        <v>0.12696647870649341</v>
      </c>
      <c r="H300">
        <v>0</v>
      </c>
      <c r="I300">
        <v>0</v>
      </c>
      <c r="J300">
        <v>0</v>
      </c>
      <c r="W300">
        <v>3.4492600427459141</v>
      </c>
      <c r="X300">
        <v>1</v>
      </c>
      <c r="Y300">
        <v>0.12696647870649341</v>
      </c>
      <c r="Z300" t="s">
        <v>23</v>
      </c>
    </row>
    <row r="301" spans="1:26" hidden="1" x14ac:dyDescent="0.2">
      <c r="A301">
        <v>18</v>
      </c>
      <c r="B301" t="s">
        <v>34</v>
      </c>
      <c r="C301" s="10">
        <v>10000047</v>
      </c>
      <c r="D301" t="b">
        <v>0</v>
      </c>
      <c r="E301">
        <v>0.94736842105263164</v>
      </c>
      <c r="F301">
        <v>0</v>
      </c>
      <c r="G301">
        <v>0</v>
      </c>
      <c r="H301">
        <v>0</v>
      </c>
      <c r="I301">
        <v>5.2631578947368363E-2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3.3170659223259209</v>
      </c>
      <c r="X301">
        <v>0.94736842105263164</v>
      </c>
      <c r="Y301">
        <v>5.2631578947368363E-2</v>
      </c>
      <c r="Z301" t="s">
        <v>23</v>
      </c>
    </row>
    <row r="302" spans="1:26" hidden="1" x14ac:dyDescent="0.2">
      <c r="A302">
        <v>18</v>
      </c>
      <c r="B302" t="s">
        <v>34</v>
      </c>
      <c r="C302" s="10">
        <v>10000033</v>
      </c>
      <c r="D302" t="b">
        <v>0</v>
      </c>
      <c r="E302">
        <v>0.15384615384615369</v>
      </c>
      <c r="F302">
        <v>0.34979785538949421</v>
      </c>
      <c r="G302">
        <v>0.65020214461050585</v>
      </c>
      <c r="H302">
        <v>0</v>
      </c>
      <c r="I302">
        <v>0.34979785538949421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4.3482643127777214</v>
      </c>
      <c r="X302">
        <v>0.65020214461050585</v>
      </c>
      <c r="Y302">
        <v>0.34979785538949421</v>
      </c>
      <c r="Z302" t="s">
        <v>23</v>
      </c>
    </row>
    <row r="303" spans="1:26" hidden="1" x14ac:dyDescent="0.2">
      <c r="A303">
        <v>18</v>
      </c>
      <c r="B303" t="s">
        <v>32</v>
      </c>
      <c r="C303" s="10">
        <v>10000033</v>
      </c>
      <c r="D303" t="b">
        <v>0</v>
      </c>
      <c r="E303">
        <v>0</v>
      </c>
      <c r="F303">
        <v>0.33333333333333348</v>
      </c>
      <c r="G303">
        <v>0.33333333333333348</v>
      </c>
      <c r="H303">
        <v>0.63708569113566926</v>
      </c>
      <c r="I303">
        <v>0.33333333333333348</v>
      </c>
      <c r="J303">
        <v>0.36291430886433079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5.6774397110760928</v>
      </c>
      <c r="X303">
        <v>0.33333333333333348</v>
      </c>
      <c r="Y303">
        <v>0.63708569113566926</v>
      </c>
      <c r="Z303" t="s">
        <v>24</v>
      </c>
    </row>
    <row r="304" spans="1:26" hidden="1" x14ac:dyDescent="0.2">
      <c r="A304">
        <v>19</v>
      </c>
      <c r="B304" t="s">
        <v>34</v>
      </c>
      <c r="C304" s="10">
        <v>10000082</v>
      </c>
      <c r="D304" t="b">
        <v>1</v>
      </c>
      <c r="F304">
        <v>0</v>
      </c>
      <c r="G304">
        <v>0</v>
      </c>
      <c r="H304">
        <v>0</v>
      </c>
      <c r="I304">
        <v>0</v>
      </c>
      <c r="J304">
        <v>0.5992761880802655</v>
      </c>
      <c r="W304">
        <v>3.1666666666666679</v>
      </c>
      <c r="X304">
        <v>1</v>
      </c>
      <c r="Y304">
        <v>0</v>
      </c>
      <c r="Z304" t="s">
        <v>23</v>
      </c>
    </row>
    <row r="305" spans="1:26" hidden="1" x14ac:dyDescent="0.2">
      <c r="A305">
        <v>19</v>
      </c>
      <c r="B305" t="s">
        <v>34</v>
      </c>
      <c r="C305" s="10">
        <v>10000033</v>
      </c>
      <c r="D305" t="b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0.30882977802696898</v>
      </c>
      <c r="Q305">
        <v>0</v>
      </c>
      <c r="R305">
        <v>4.2912704660804553E-2</v>
      </c>
      <c r="S305">
        <v>0</v>
      </c>
      <c r="T305">
        <v>4.2912704660804553E-2</v>
      </c>
      <c r="U305">
        <v>0</v>
      </c>
      <c r="V305">
        <v>0.69117022197303091</v>
      </c>
      <c r="W305">
        <v>6.5400966193830143</v>
      </c>
      <c r="X305">
        <v>4.2912704660804553E-2</v>
      </c>
      <c r="Y305">
        <v>0.69117022197303091</v>
      </c>
      <c r="Z305" t="s">
        <v>24</v>
      </c>
    </row>
    <row r="306" spans="1:26" hidden="1" x14ac:dyDescent="0.2">
      <c r="A306">
        <v>19</v>
      </c>
      <c r="B306" t="s">
        <v>26</v>
      </c>
      <c r="C306" s="10">
        <v>10000082</v>
      </c>
      <c r="D306" t="b">
        <v>1</v>
      </c>
      <c r="F306">
        <v>0</v>
      </c>
      <c r="G306">
        <v>0</v>
      </c>
      <c r="H306">
        <v>0</v>
      </c>
      <c r="I306">
        <v>0.99569093378713847</v>
      </c>
      <c r="J306">
        <v>8.9555032493081152E-2</v>
      </c>
      <c r="W306">
        <v>4.997099766689967</v>
      </c>
      <c r="X306">
        <v>1</v>
      </c>
      <c r="Y306">
        <v>0.99569093378713847</v>
      </c>
      <c r="Z306" t="s">
        <v>23</v>
      </c>
    </row>
    <row r="307" spans="1:26" hidden="1" x14ac:dyDescent="0.2">
      <c r="A307">
        <v>19</v>
      </c>
      <c r="B307" t="s">
        <v>26</v>
      </c>
      <c r="C307" s="10">
        <v>10000033</v>
      </c>
      <c r="D307" t="b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0.31335645397526513</v>
      </c>
      <c r="Q307">
        <v>0</v>
      </c>
      <c r="R307">
        <v>8.6486832793851456E-2</v>
      </c>
      <c r="S307">
        <v>0</v>
      </c>
      <c r="T307">
        <v>8.6486832793851456E-2</v>
      </c>
      <c r="U307">
        <v>0</v>
      </c>
      <c r="V307">
        <v>0.68664354602473487</v>
      </c>
      <c r="W307">
        <v>6.4108185193439953</v>
      </c>
      <c r="X307">
        <v>8.6486832793851456E-2</v>
      </c>
      <c r="Y307">
        <v>0.68664354602473487</v>
      </c>
      <c r="Z307" t="s">
        <v>24</v>
      </c>
    </row>
    <row r="308" spans="1:26" hidden="1" x14ac:dyDescent="0.2">
      <c r="A308">
        <v>19</v>
      </c>
      <c r="B308" t="s">
        <v>28</v>
      </c>
      <c r="C308" s="10">
        <v>10000033</v>
      </c>
      <c r="D308" t="b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0.30867383120877329</v>
      </c>
      <c r="Q308">
        <v>0</v>
      </c>
      <c r="R308">
        <v>8.9896427209750884E-2</v>
      </c>
      <c r="S308">
        <v>0</v>
      </c>
      <c r="T308">
        <v>8.9896427209750884E-2</v>
      </c>
      <c r="U308">
        <v>0</v>
      </c>
      <c r="V308">
        <v>0.69132616879122666</v>
      </c>
      <c r="W308">
        <v>6.4050538260117369</v>
      </c>
      <c r="X308">
        <v>8.9896427209750884E-2</v>
      </c>
      <c r="Y308">
        <v>0.69132616879122666</v>
      </c>
      <c r="Z308" t="s">
        <v>24</v>
      </c>
    </row>
    <row r="309" spans="1:26" hidden="1" x14ac:dyDescent="0.2">
      <c r="A309">
        <v>19</v>
      </c>
      <c r="B309" t="s">
        <v>29</v>
      </c>
      <c r="C309" s="10">
        <v>10000082</v>
      </c>
      <c r="D309" t="b">
        <v>1</v>
      </c>
      <c r="F309">
        <v>0</v>
      </c>
      <c r="G309">
        <v>0</v>
      </c>
      <c r="H309">
        <v>0</v>
      </c>
      <c r="I309">
        <v>1</v>
      </c>
      <c r="J309">
        <v>0</v>
      </c>
      <c r="W309">
        <v>5.0025004164584352</v>
      </c>
      <c r="X309">
        <v>1</v>
      </c>
      <c r="Y309">
        <v>1</v>
      </c>
      <c r="Z309" t="s">
        <v>23</v>
      </c>
    </row>
    <row r="310" spans="1:26" hidden="1" x14ac:dyDescent="0.2">
      <c r="A310">
        <v>19</v>
      </c>
      <c r="B310" t="s">
        <v>29</v>
      </c>
      <c r="C310" s="10">
        <v>10000047</v>
      </c>
      <c r="D310" t="b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0.79229142538833752</v>
      </c>
      <c r="P310">
        <v>0</v>
      </c>
      <c r="Q310">
        <v>0.20770857461166251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6.1889700014297011</v>
      </c>
      <c r="X310">
        <v>0.20770857461166251</v>
      </c>
      <c r="Y310">
        <v>0.79229142538833752</v>
      </c>
      <c r="Z310" t="s">
        <v>24</v>
      </c>
    </row>
    <row r="311" spans="1:26" hidden="1" x14ac:dyDescent="0.2">
      <c r="A311">
        <v>19</v>
      </c>
      <c r="B311" t="s">
        <v>35</v>
      </c>
      <c r="C311" s="10">
        <v>10000033</v>
      </c>
      <c r="D311" t="b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0.30825427056032512</v>
      </c>
      <c r="Q311">
        <v>0</v>
      </c>
      <c r="R311">
        <v>9.7798896599088733E-2</v>
      </c>
      <c r="S311">
        <v>0</v>
      </c>
      <c r="T311">
        <v>9.7798896599088733E-2</v>
      </c>
      <c r="U311">
        <v>0</v>
      </c>
      <c r="V311">
        <v>0.69174572943967494</v>
      </c>
      <c r="W311">
        <v>6.3829615029557099</v>
      </c>
      <c r="X311">
        <v>9.7798896599088733E-2</v>
      </c>
      <c r="Y311">
        <v>0.69174572943967494</v>
      </c>
      <c r="Z311" t="s">
        <v>24</v>
      </c>
    </row>
    <row r="312" spans="1:26" hidden="1" x14ac:dyDescent="0.2">
      <c r="A312">
        <v>19</v>
      </c>
      <c r="B312" t="s">
        <v>27</v>
      </c>
      <c r="C312" s="10">
        <v>10000033</v>
      </c>
      <c r="D312" t="b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0.31261916935550749</v>
      </c>
      <c r="Q312">
        <v>0.31261916935550749</v>
      </c>
      <c r="R312">
        <v>9.7798896599088733E-2</v>
      </c>
      <c r="S312">
        <v>0</v>
      </c>
      <c r="T312">
        <v>9.7798896599088733E-2</v>
      </c>
      <c r="U312">
        <v>0</v>
      </c>
      <c r="V312">
        <v>0.52631578947368407</v>
      </c>
      <c r="W312">
        <v>5.545047376078367</v>
      </c>
      <c r="X312">
        <v>0.31261916935550749</v>
      </c>
      <c r="Y312">
        <v>0.52631578947368407</v>
      </c>
      <c r="Z312" t="s">
        <v>24</v>
      </c>
    </row>
    <row r="313" spans="1:26" hidden="1" x14ac:dyDescent="0.2">
      <c r="A313">
        <v>19</v>
      </c>
      <c r="B313" t="s">
        <v>33</v>
      </c>
      <c r="C313" s="10">
        <v>10000033</v>
      </c>
      <c r="D313" t="b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0.31163719892304848</v>
      </c>
      <c r="Q313">
        <v>0.31163719892304848</v>
      </c>
      <c r="R313">
        <v>9.7798896599088733E-2</v>
      </c>
      <c r="S313">
        <v>0</v>
      </c>
      <c r="T313">
        <v>9.7798896599088733E-2</v>
      </c>
      <c r="U313">
        <v>0</v>
      </c>
      <c r="V313">
        <v>0.66666666666666652</v>
      </c>
      <c r="W313">
        <v>5.7765808739600946</v>
      </c>
      <c r="X313">
        <v>0.31163719892304848</v>
      </c>
      <c r="Y313">
        <v>0.66666666666666652</v>
      </c>
      <c r="Z313" t="s">
        <v>24</v>
      </c>
    </row>
    <row r="314" spans="1:26" hidden="1" x14ac:dyDescent="0.2">
      <c r="A314">
        <v>19</v>
      </c>
      <c r="B314" t="s">
        <v>31</v>
      </c>
      <c r="C314" s="10">
        <v>10000047</v>
      </c>
      <c r="D314" t="b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0.77986206470195074</v>
      </c>
      <c r="P314">
        <v>0</v>
      </c>
      <c r="Q314">
        <v>0.22013793529804929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6.14544535635922</v>
      </c>
      <c r="X314">
        <v>0.22013793529804929</v>
      </c>
      <c r="Y314">
        <v>0.77986206470195074</v>
      </c>
      <c r="Z314" t="s">
        <v>24</v>
      </c>
    </row>
    <row r="315" spans="1:26" hidden="1" x14ac:dyDescent="0.2">
      <c r="A315">
        <v>19</v>
      </c>
      <c r="B315" t="s">
        <v>30</v>
      </c>
      <c r="C315" s="10">
        <v>10000033</v>
      </c>
      <c r="D315" t="b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0.23333333333333331</v>
      </c>
      <c r="M315">
        <v>0.23333333333333331</v>
      </c>
      <c r="N315">
        <v>0</v>
      </c>
      <c r="O315">
        <v>0</v>
      </c>
      <c r="P315">
        <v>0.30283792594666059</v>
      </c>
      <c r="Q315">
        <v>0.16666666666666649</v>
      </c>
      <c r="R315">
        <v>0.30283792594666059</v>
      </c>
      <c r="S315">
        <v>0</v>
      </c>
      <c r="T315">
        <v>0.32713450950458423</v>
      </c>
      <c r="U315">
        <v>0</v>
      </c>
      <c r="V315">
        <v>0.67286549049541589</v>
      </c>
      <c r="W315">
        <v>5.7464965744097753</v>
      </c>
      <c r="X315">
        <v>0.32713450950458423</v>
      </c>
      <c r="Y315">
        <v>0.67286549049541589</v>
      </c>
      <c r="Z315" t="s">
        <v>24</v>
      </c>
    </row>
    <row r="316" spans="1:26" hidden="1" x14ac:dyDescent="0.2">
      <c r="A316">
        <v>19</v>
      </c>
      <c r="B316" t="s">
        <v>32</v>
      </c>
      <c r="C316" s="10">
        <v>10000047</v>
      </c>
      <c r="D316" t="b">
        <v>0</v>
      </c>
      <c r="E316">
        <v>0</v>
      </c>
      <c r="F316">
        <v>0</v>
      </c>
      <c r="G316">
        <v>0</v>
      </c>
      <c r="H316">
        <v>0</v>
      </c>
      <c r="I316">
        <v>0.63685754494908953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6.634795127878637</v>
      </c>
      <c r="X316">
        <v>0</v>
      </c>
      <c r="Y316">
        <v>0.63685754494908953</v>
      </c>
      <c r="Z316" t="s">
        <v>24</v>
      </c>
    </row>
    <row r="317" spans="1:26" hidden="1" x14ac:dyDescent="0.2">
      <c r="A317">
        <v>20</v>
      </c>
      <c r="B317" t="s">
        <v>29</v>
      </c>
      <c r="C317" s="10">
        <v>10000033</v>
      </c>
      <c r="D317" t="b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0.30882977802696898</v>
      </c>
      <c r="Q317">
        <v>0</v>
      </c>
      <c r="R317">
        <v>6.9662124812586379E-2</v>
      </c>
      <c r="S317">
        <v>0</v>
      </c>
      <c r="T317">
        <v>6.9662124812586379E-2</v>
      </c>
      <c r="U317">
        <v>0</v>
      </c>
      <c r="V317">
        <v>0.69117022197303091</v>
      </c>
      <c r="W317">
        <v>6.4628042845320923</v>
      </c>
      <c r="X317">
        <v>6.9662124812586379E-2</v>
      </c>
      <c r="Y317">
        <v>0.69117022197303091</v>
      </c>
      <c r="Z317" t="s">
        <v>24</v>
      </c>
    </row>
    <row r="318" spans="1:26" hidden="1" x14ac:dyDescent="0.2">
      <c r="A318">
        <v>20</v>
      </c>
      <c r="B318" t="s">
        <v>27</v>
      </c>
      <c r="C318" s="10">
        <v>10000082</v>
      </c>
      <c r="D318" t="b">
        <v>1</v>
      </c>
      <c r="F318">
        <v>0</v>
      </c>
      <c r="G318">
        <v>0</v>
      </c>
      <c r="H318">
        <v>0</v>
      </c>
      <c r="I318">
        <v>0</v>
      </c>
      <c r="J318">
        <v>1</v>
      </c>
      <c r="W318">
        <v>3.1666666666666679</v>
      </c>
      <c r="X318">
        <v>1</v>
      </c>
      <c r="Y318">
        <v>0</v>
      </c>
      <c r="Z318" t="s">
        <v>23</v>
      </c>
    </row>
    <row r="319" spans="1:26" hidden="1" x14ac:dyDescent="0.2">
      <c r="A319">
        <v>20</v>
      </c>
      <c r="B319" t="s">
        <v>26</v>
      </c>
      <c r="C319" s="10">
        <v>10000082</v>
      </c>
      <c r="D319" t="b">
        <v>1</v>
      </c>
      <c r="F319">
        <v>0</v>
      </c>
      <c r="G319">
        <v>0</v>
      </c>
      <c r="H319">
        <v>0</v>
      </c>
      <c r="I319">
        <v>0</v>
      </c>
      <c r="J319">
        <v>1</v>
      </c>
      <c r="W319">
        <v>3.1666666666666679</v>
      </c>
      <c r="X319">
        <v>1</v>
      </c>
      <c r="Y319">
        <v>0</v>
      </c>
      <c r="Z319" t="s">
        <v>23</v>
      </c>
    </row>
    <row r="320" spans="1:26" hidden="1" x14ac:dyDescent="0.2">
      <c r="A320">
        <v>20</v>
      </c>
      <c r="B320" t="s">
        <v>27</v>
      </c>
      <c r="C320" s="10">
        <v>10000033</v>
      </c>
      <c r="D320" t="b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0.30529016037658369</v>
      </c>
      <c r="Q320">
        <v>0</v>
      </c>
      <c r="R320">
        <v>7.2277994497694731E-2</v>
      </c>
      <c r="S320">
        <v>0</v>
      </c>
      <c r="T320">
        <v>7.2277994497694731E-2</v>
      </c>
      <c r="U320">
        <v>0</v>
      </c>
      <c r="V320">
        <v>0.69470983962341626</v>
      </c>
      <c r="W320">
        <v>6.4581206644393312</v>
      </c>
      <c r="X320">
        <v>7.2277994497694731E-2</v>
      </c>
      <c r="Y320">
        <v>0.69470983962341626</v>
      </c>
      <c r="Z320" t="s">
        <v>24</v>
      </c>
    </row>
    <row r="321" spans="1:26" hidden="1" x14ac:dyDescent="0.2">
      <c r="A321">
        <v>20</v>
      </c>
      <c r="B321" t="s">
        <v>26</v>
      </c>
      <c r="C321" s="10">
        <v>10000073</v>
      </c>
      <c r="D321" t="b">
        <v>1</v>
      </c>
      <c r="E321">
        <v>0</v>
      </c>
      <c r="F321">
        <v>0</v>
      </c>
      <c r="G321">
        <v>0</v>
      </c>
      <c r="H321">
        <v>0</v>
      </c>
      <c r="I321">
        <v>0.56227250886023439</v>
      </c>
      <c r="J321">
        <v>0.24223369820206681</v>
      </c>
      <c r="W321">
        <v>5.8101669532462292</v>
      </c>
      <c r="X321">
        <v>0.24223369820206681</v>
      </c>
      <c r="Y321">
        <v>0.56227250886023439</v>
      </c>
      <c r="Z321" t="s">
        <v>24</v>
      </c>
    </row>
    <row r="322" spans="1:26" hidden="1" x14ac:dyDescent="0.2">
      <c r="A322">
        <v>20</v>
      </c>
      <c r="B322" t="s">
        <v>33</v>
      </c>
      <c r="C322" s="10">
        <v>10000082</v>
      </c>
      <c r="D322" t="b">
        <v>1</v>
      </c>
      <c r="F322">
        <v>0</v>
      </c>
      <c r="G322">
        <v>0</v>
      </c>
      <c r="H322">
        <v>0</v>
      </c>
      <c r="I322">
        <v>0</v>
      </c>
      <c r="J322">
        <v>1</v>
      </c>
      <c r="W322">
        <v>3.1666666666666679</v>
      </c>
      <c r="X322">
        <v>1</v>
      </c>
      <c r="Y322">
        <v>0</v>
      </c>
      <c r="Z322" t="s">
        <v>23</v>
      </c>
    </row>
    <row r="323" spans="1:26" hidden="1" x14ac:dyDescent="0.2">
      <c r="A323">
        <v>20</v>
      </c>
      <c r="B323" t="s">
        <v>33</v>
      </c>
      <c r="C323" s="10">
        <v>10000073</v>
      </c>
      <c r="D323" t="b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0.44865245271295467</v>
      </c>
      <c r="P323">
        <v>0</v>
      </c>
      <c r="Q323">
        <v>0.24223369820206681</v>
      </c>
      <c r="R323">
        <v>0</v>
      </c>
      <c r="S323">
        <v>0.24223369820206681</v>
      </c>
      <c r="T323">
        <v>0</v>
      </c>
      <c r="U323">
        <v>0.55134754728704527</v>
      </c>
      <c r="V323">
        <v>0</v>
      </c>
      <c r="W323">
        <v>5.7930314529885241</v>
      </c>
      <c r="X323">
        <v>0.24223369820206681</v>
      </c>
      <c r="Y323">
        <v>0.55134754728704527</v>
      </c>
      <c r="Z323" t="s">
        <v>24</v>
      </c>
    </row>
    <row r="324" spans="1:26" hidden="1" x14ac:dyDescent="0.2">
      <c r="A324">
        <v>20</v>
      </c>
      <c r="B324" t="s">
        <v>28</v>
      </c>
      <c r="C324" s="10">
        <v>10000033</v>
      </c>
      <c r="D324" t="b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0.31977689005906751</v>
      </c>
      <c r="Q324">
        <v>0</v>
      </c>
      <c r="R324">
        <v>8.1667593196123045E-2</v>
      </c>
      <c r="S324">
        <v>0</v>
      </c>
      <c r="T324">
        <v>8.1667593196123045E-2</v>
      </c>
      <c r="U324">
        <v>0</v>
      </c>
      <c r="V324">
        <v>0.68022310994093249</v>
      </c>
      <c r="W324">
        <v>6.4192849172674711</v>
      </c>
      <c r="X324">
        <v>8.1667593196123045E-2</v>
      </c>
      <c r="Y324">
        <v>0.68022310994093249</v>
      </c>
      <c r="Z324" t="s">
        <v>24</v>
      </c>
    </row>
    <row r="325" spans="1:26" hidden="1" x14ac:dyDescent="0.2">
      <c r="A325">
        <v>20</v>
      </c>
      <c r="B325" t="s">
        <v>34</v>
      </c>
      <c r="C325" s="10">
        <v>10000033</v>
      </c>
      <c r="D325" t="b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0.33199214707877861</v>
      </c>
      <c r="Q325">
        <v>0</v>
      </c>
      <c r="R325">
        <v>9.0915614283697252E-2</v>
      </c>
      <c r="S325">
        <v>0</v>
      </c>
      <c r="T325">
        <v>9.0915614283697252E-2</v>
      </c>
      <c r="U325">
        <v>0</v>
      </c>
      <c r="V325">
        <v>0.66800785292122145</v>
      </c>
      <c r="W325">
        <v>6.3819625076564401</v>
      </c>
      <c r="X325">
        <v>9.0915614283697252E-2</v>
      </c>
      <c r="Y325">
        <v>0.66800785292122145</v>
      </c>
      <c r="Z325" t="s">
        <v>24</v>
      </c>
    </row>
    <row r="326" spans="1:26" hidden="1" x14ac:dyDescent="0.2">
      <c r="A326">
        <v>20</v>
      </c>
      <c r="B326" t="s">
        <v>31</v>
      </c>
      <c r="C326" s="10">
        <v>10000082</v>
      </c>
      <c r="D326" t="b">
        <v>1</v>
      </c>
      <c r="F326">
        <v>0</v>
      </c>
      <c r="G326">
        <v>0</v>
      </c>
      <c r="H326">
        <v>0.1333333333333333</v>
      </c>
      <c r="I326">
        <v>0</v>
      </c>
      <c r="J326">
        <v>0.8666666666666667</v>
      </c>
      <c r="W326">
        <v>3.1666666666666679</v>
      </c>
      <c r="X326">
        <v>1</v>
      </c>
      <c r="Y326">
        <v>0</v>
      </c>
      <c r="Z326" t="s">
        <v>23</v>
      </c>
    </row>
    <row r="327" spans="1:26" hidden="1" x14ac:dyDescent="0.2">
      <c r="A327">
        <v>20</v>
      </c>
      <c r="B327" t="s">
        <v>31</v>
      </c>
      <c r="C327" s="10">
        <v>10000047</v>
      </c>
      <c r="D327" t="b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0.76666666666666672</v>
      </c>
      <c r="L327">
        <v>0.14285714285714279</v>
      </c>
      <c r="M327">
        <v>0</v>
      </c>
      <c r="N327">
        <v>0</v>
      </c>
      <c r="O327">
        <v>0.23333333333333331</v>
      </c>
      <c r="P327">
        <v>0</v>
      </c>
      <c r="Q327">
        <v>0.22530992044675299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3.9052870252202432</v>
      </c>
      <c r="X327">
        <v>0.76666666666666672</v>
      </c>
      <c r="Y327">
        <v>0.23333333333333331</v>
      </c>
      <c r="Z327" t="s">
        <v>23</v>
      </c>
    </row>
    <row r="328" spans="1:26" hidden="1" x14ac:dyDescent="0.2">
      <c r="A328">
        <v>20</v>
      </c>
      <c r="B328" t="s">
        <v>32</v>
      </c>
      <c r="C328" s="10">
        <v>10000033</v>
      </c>
      <c r="D328" t="b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0.66573675458552617</v>
      </c>
      <c r="M328">
        <v>0.12882833424140999</v>
      </c>
      <c r="N328">
        <v>0</v>
      </c>
      <c r="O328">
        <v>0</v>
      </c>
      <c r="P328">
        <v>0.2</v>
      </c>
      <c r="Q328">
        <v>0</v>
      </c>
      <c r="R328">
        <v>0.12882833424140999</v>
      </c>
      <c r="S328">
        <v>0</v>
      </c>
      <c r="T328">
        <v>0.12882833424140999</v>
      </c>
      <c r="U328">
        <v>0</v>
      </c>
      <c r="V328">
        <v>0.2</v>
      </c>
      <c r="W328">
        <v>6.2702170101875749</v>
      </c>
      <c r="X328">
        <v>0.12882833424140999</v>
      </c>
      <c r="Y328">
        <v>0.66573675458552617</v>
      </c>
      <c r="Z328" t="s">
        <v>24</v>
      </c>
    </row>
    <row r="329" spans="1:26" hidden="1" x14ac:dyDescent="0.2">
      <c r="A329">
        <v>20</v>
      </c>
      <c r="B329" t="s">
        <v>31</v>
      </c>
      <c r="C329" s="10">
        <v>10000033</v>
      </c>
      <c r="D329" t="b">
        <v>0</v>
      </c>
      <c r="E329">
        <v>0</v>
      </c>
      <c r="F329">
        <v>0</v>
      </c>
      <c r="G329">
        <v>0</v>
      </c>
      <c r="H329">
        <v>0.26666666666666672</v>
      </c>
      <c r="I329">
        <v>0</v>
      </c>
      <c r="J329">
        <v>0.26666666666666672</v>
      </c>
      <c r="K329">
        <v>0</v>
      </c>
      <c r="L329">
        <v>0.6630899473558135</v>
      </c>
      <c r="M329">
        <v>0.1387999057601304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6.23900677958581</v>
      </c>
      <c r="X329">
        <v>0.1387999057601304</v>
      </c>
      <c r="Y329">
        <v>0.6630899473558135</v>
      </c>
      <c r="Z329" t="s">
        <v>24</v>
      </c>
    </row>
    <row r="330" spans="1:26" hidden="1" x14ac:dyDescent="0.2">
      <c r="A330">
        <v>20</v>
      </c>
      <c r="B330" t="s">
        <v>35</v>
      </c>
      <c r="C330" s="10">
        <v>10000033</v>
      </c>
      <c r="D330" t="b">
        <v>0</v>
      </c>
      <c r="E330">
        <v>0</v>
      </c>
      <c r="F330">
        <v>0</v>
      </c>
      <c r="G330">
        <v>0</v>
      </c>
      <c r="H330">
        <v>0.33333333333333331</v>
      </c>
      <c r="I330">
        <v>0</v>
      </c>
      <c r="J330">
        <v>0.33333333333333331</v>
      </c>
      <c r="K330">
        <v>0</v>
      </c>
      <c r="L330">
        <v>0.66201012242529689</v>
      </c>
      <c r="M330">
        <v>0.15724250379383231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6.1854228205656323</v>
      </c>
      <c r="X330">
        <v>0.15724250379383231</v>
      </c>
      <c r="Y330">
        <v>0.66201012242529689</v>
      </c>
      <c r="Z330" t="s">
        <v>24</v>
      </c>
    </row>
    <row r="331" spans="1:26" hidden="1" x14ac:dyDescent="0.2">
      <c r="A331">
        <v>20</v>
      </c>
      <c r="B331" t="s">
        <v>30</v>
      </c>
      <c r="C331" s="10">
        <v>10000047</v>
      </c>
      <c r="D331" t="b">
        <v>0</v>
      </c>
      <c r="E331">
        <v>0.8</v>
      </c>
      <c r="F331">
        <v>0</v>
      </c>
      <c r="G331">
        <v>0</v>
      </c>
      <c r="H331">
        <v>0</v>
      </c>
      <c r="I331">
        <v>0.14285714285714279</v>
      </c>
      <c r="J331">
        <v>0</v>
      </c>
      <c r="K331">
        <v>0.2</v>
      </c>
      <c r="L331">
        <v>0.14285714285714279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3.645431365926632</v>
      </c>
      <c r="X331">
        <v>0.8</v>
      </c>
      <c r="Y331">
        <v>0.14285714285714279</v>
      </c>
      <c r="Z331" t="s">
        <v>23</v>
      </c>
    </row>
    <row r="332" spans="1:26" hidden="1" x14ac:dyDescent="0.2">
      <c r="A332">
        <v>20</v>
      </c>
      <c r="B332" t="s">
        <v>30</v>
      </c>
      <c r="C332" s="10">
        <v>10000033</v>
      </c>
      <c r="D332" t="b">
        <v>0</v>
      </c>
      <c r="E332">
        <v>0</v>
      </c>
      <c r="F332">
        <v>0</v>
      </c>
      <c r="G332">
        <v>0</v>
      </c>
      <c r="H332">
        <v>0.66355597502539077</v>
      </c>
      <c r="I332">
        <v>0</v>
      </c>
      <c r="J332">
        <v>0.33644402497460929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6.6500476465277574</v>
      </c>
      <c r="X332">
        <v>0</v>
      </c>
      <c r="Y332">
        <v>0.66355597502539077</v>
      </c>
      <c r="Z332" t="s">
        <v>24</v>
      </c>
    </row>
    <row r="333" spans="1:26" hidden="1" x14ac:dyDescent="0.2">
      <c r="A333">
        <v>21</v>
      </c>
      <c r="B333" t="s">
        <v>31</v>
      </c>
      <c r="C333" s="10">
        <v>10000033</v>
      </c>
      <c r="D333" t="b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0.30882977802696898</v>
      </c>
      <c r="Q333">
        <v>0</v>
      </c>
      <c r="R333">
        <v>0.10849563332256421</v>
      </c>
      <c r="S333">
        <v>0</v>
      </c>
      <c r="T333">
        <v>0.10849563332256421</v>
      </c>
      <c r="U333">
        <v>0</v>
      </c>
      <c r="V333">
        <v>0.69117022197303091</v>
      </c>
      <c r="W333">
        <v>6.3521897356592456</v>
      </c>
      <c r="X333">
        <v>0.10849563332256421</v>
      </c>
      <c r="Y333">
        <v>0.69117022197303091</v>
      </c>
      <c r="Z333" t="s">
        <v>24</v>
      </c>
    </row>
    <row r="334" spans="1:26" hidden="1" x14ac:dyDescent="0.2">
      <c r="A334">
        <v>21</v>
      </c>
      <c r="B334" t="s">
        <v>27</v>
      </c>
      <c r="C334" s="10">
        <v>10000073</v>
      </c>
      <c r="D334" t="b">
        <v>1</v>
      </c>
      <c r="E334">
        <v>0</v>
      </c>
      <c r="F334">
        <v>0</v>
      </c>
      <c r="G334">
        <v>0</v>
      </c>
      <c r="H334">
        <v>0</v>
      </c>
      <c r="I334">
        <v>0.55006511591970975</v>
      </c>
      <c r="J334">
        <v>0.27317421529355868</v>
      </c>
      <c r="W334">
        <v>5.7003193728533708</v>
      </c>
      <c r="X334">
        <v>0.27317421529355868</v>
      </c>
      <c r="Y334">
        <v>0.55006511591970975</v>
      </c>
      <c r="Z334" t="s">
        <v>24</v>
      </c>
    </row>
    <row r="335" spans="1:26" hidden="1" x14ac:dyDescent="0.2">
      <c r="A335">
        <v>21</v>
      </c>
      <c r="B335" t="s">
        <v>34</v>
      </c>
      <c r="C335" s="10">
        <v>10000082</v>
      </c>
      <c r="D335" t="b">
        <v>1</v>
      </c>
      <c r="F335">
        <v>0</v>
      </c>
      <c r="G335">
        <v>0</v>
      </c>
      <c r="H335">
        <v>0</v>
      </c>
      <c r="I335">
        <v>1</v>
      </c>
      <c r="J335">
        <v>0</v>
      </c>
      <c r="W335">
        <v>5.0025004164584352</v>
      </c>
      <c r="X335">
        <v>1</v>
      </c>
      <c r="Y335">
        <v>1</v>
      </c>
      <c r="Z335" t="s">
        <v>23</v>
      </c>
    </row>
    <row r="336" spans="1:26" hidden="1" x14ac:dyDescent="0.2">
      <c r="A336">
        <v>21</v>
      </c>
      <c r="B336" t="s">
        <v>34</v>
      </c>
      <c r="C336" s="10">
        <v>10000033</v>
      </c>
      <c r="D336" t="b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0.33487672033950427</v>
      </c>
      <c r="Q336">
        <v>0</v>
      </c>
      <c r="R336">
        <v>0.11696692274147211</v>
      </c>
      <c r="S336">
        <v>0</v>
      </c>
      <c r="T336">
        <v>0.11696692274147211</v>
      </c>
      <c r="U336">
        <v>0</v>
      </c>
      <c r="V336">
        <v>0.66512327966049567</v>
      </c>
      <c r="W336">
        <v>6.3037294019154766</v>
      </c>
      <c r="X336">
        <v>0.11696692274147211</v>
      </c>
      <c r="Y336">
        <v>0.66512327966049567</v>
      </c>
      <c r="Z336" t="s">
        <v>24</v>
      </c>
    </row>
    <row r="337" spans="1:26" hidden="1" x14ac:dyDescent="0.2">
      <c r="A337">
        <v>21</v>
      </c>
      <c r="B337" t="s">
        <v>26</v>
      </c>
      <c r="C337" s="10">
        <v>10000073</v>
      </c>
      <c r="D337" t="b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0.45660556978324041</v>
      </c>
      <c r="P337">
        <v>0.40633170424159137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0.54339443021675959</v>
      </c>
      <c r="W337">
        <v>6.5808585726633044</v>
      </c>
      <c r="X337">
        <v>0</v>
      </c>
      <c r="Y337">
        <v>0.54339443021675959</v>
      </c>
      <c r="Z337" t="s">
        <v>24</v>
      </c>
    </row>
    <row r="338" spans="1:26" hidden="1" x14ac:dyDescent="0.2">
      <c r="A338">
        <v>21</v>
      </c>
      <c r="B338" t="s">
        <v>30</v>
      </c>
      <c r="C338" s="10">
        <v>10000047</v>
      </c>
      <c r="D338" t="b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0.62434358525792444</v>
      </c>
      <c r="P338">
        <v>0</v>
      </c>
      <c r="Q338">
        <v>0.37565641474207562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5.5506071101874817</v>
      </c>
      <c r="X338">
        <v>0.37565641474207562</v>
      </c>
      <c r="Y338">
        <v>0.62434358525792444</v>
      </c>
      <c r="Z338" t="s">
        <v>24</v>
      </c>
    </row>
    <row r="339" spans="1:26" hidden="1" x14ac:dyDescent="0.2">
      <c r="A339">
        <v>21</v>
      </c>
      <c r="B339" t="s">
        <v>30</v>
      </c>
      <c r="C339" s="10">
        <v>10000073</v>
      </c>
      <c r="D339" t="b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0.4551344852115301</v>
      </c>
      <c r="P339">
        <v>0.40633170424159137</v>
      </c>
      <c r="Q339">
        <v>0.33333333333333348</v>
      </c>
      <c r="R339">
        <v>0</v>
      </c>
      <c r="S339">
        <v>0</v>
      </c>
      <c r="T339">
        <v>0</v>
      </c>
      <c r="U339">
        <v>0</v>
      </c>
      <c r="V339">
        <v>0.5448655147884699</v>
      </c>
      <c r="W339">
        <v>5.521784184714571</v>
      </c>
      <c r="X339">
        <v>0.33333333333333348</v>
      </c>
      <c r="Y339">
        <v>0.5448655147884699</v>
      </c>
      <c r="Z339" t="s">
        <v>24</v>
      </c>
    </row>
    <row r="340" spans="1:26" hidden="1" x14ac:dyDescent="0.2">
      <c r="A340">
        <v>21</v>
      </c>
      <c r="B340" t="s">
        <v>35</v>
      </c>
      <c r="C340" s="10">
        <v>10000082</v>
      </c>
      <c r="D340" t="b">
        <v>1</v>
      </c>
      <c r="F340">
        <v>0</v>
      </c>
      <c r="G340">
        <v>0</v>
      </c>
      <c r="H340">
        <v>0</v>
      </c>
      <c r="I340">
        <v>0.99965326278060962</v>
      </c>
      <c r="J340">
        <v>0.2197581623990619</v>
      </c>
      <c r="W340">
        <v>5.0020667032491977</v>
      </c>
      <c r="X340">
        <v>1</v>
      </c>
      <c r="Y340">
        <v>0.99965326278060962</v>
      </c>
      <c r="Z340" t="s">
        <v>23</v>
      </c>
    </row>
    <row r="341" spans="1:26" hidden="1" x14ac:dyDescent="0.2">
      <c r="A341">
        <v>21</v>
      </c>
      <c r="B341" t="s">
        <v>35</v>
      </c>
      <c r="C341" s="10">
        <v>10000073</v>
      </c>
      <c r="D341" t="b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0.45221420981504867</v>
      </c>
      <c r="P341">
        <v>0.40633170424159137</v>
      </c>
      <c r="Q341">
        <v>0.33333333333333348</v>
      </c>
      <c r="R341">
        <v>0</v>
      </c>
      <c r="S341">
        <v>0</v>
      </c>
      <c r="T341">
        <v>0</v>
      </c>
      <c r="U341">
        <v>0</v>
      </c>
      <c r="V341">
        <v>0.54778579018495122</v>
      </c>
      <c r="W341">
        <v>5.5271661287685339</v>
      </c>
      <c r="X341">
        <v>0.33333333333333348</v>
      </c>
      <c r="Y341">
        <v>0.54778579018495122</v>
      </c>
      <c r="Z341" t="s">
        <v>24</v>
      </c>
    </row>
    <row r="342" spans="1:26" hidden="1" x14ac:dyDescent="0.2">
      <c r="A342">
        <v>21</v>
      </c>
      <c r="B342" t="s">
        <v>32</v>
      </c>
      <c r="C342" s="10">
        <v>10000047</v>
      </c>
      <c r="D342" t="b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0.59047764131481351</v>
      </c>
      <c r="P342">
        <v>0</v>
      </c>
      <c r="Q342">
        <v>0.40952235868518649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5.4080582403919539</v>
      </c>
      <c r="X342">
        <v>0.40952235868518649</v>
      </c>
      <c r="Y342">
        <v>0.59047764131481351</v>
      </c>
      <c r="Z342" t="s">
        <v>24</v>
      </c>
    </row>
    <row r="343" spans="1:26" hidden="1" x14ac:dyDescent="0.2">
      <c r="A343">
        <v>21</v>
      </c>
      <c r="B343" t="s">
        <v>33</v>
      </c>
      <c r="C343" s="10">
        <v>10000033</v>
      </c>
      <c r="D343" t="b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0.3626208194008132</v>
      </c>
      <c r="Q343">
        <v>0</v>
      </c>
      <c r="R343">
        <v>0.3626208194008132</v>
      </c>
      <c r="S343">
        <v>0</v>
      </c>
      <c r="T343">
        <v>0.45039290594551562</v>
      </c>
      <c r="U343">
        <v>0</v>
      </c>
      <c r="V343">
        <v>0.54960709405448449</v>
      </c>
      <c r="W343">
        <v>5.2294156067899999</v>
      </c>
      <c r="X343">
        <v>0.45039290594551562</v>
      </c>
      <c r="Y343">
        <v>0.54960709405448449</v>
      </c>
      <c r="Z343" t="s">
        <v>24</v>
      </c>
    </row>
    <row r="344" spans="1:26" hidden="1" x14ac:dyDescent="0.2">
      <c r="A344">
        <v>21</v>
      </c>
      <c r="B344" t="s">
        <v>29</v>
      </c>
      <c r="C344" s="10">
        <v>10000082</v>
      </c>
      <c r="D344" t="b">
        <v>1</v>
      </c>
      <c r="F344">
        <v>0</v>
      </c>
      <c r="G344">
        <v>0.3</v>
      </c>
      <c r="H344">
        <v>0</v>
      </c>
      <c r="I344">
        <v>0.5096367177307074</v>
      </c>
      <c r="J344">
        <v>0.64278421946716058</v>
      </c>
      <c r="W344">
        <v>4.2365650673086597</v>
      </c>
      <c r="X344">
        <v>1</v>
      </c>
      <c r="Y344">
        <v>0.5096367177307074</v>
      </c>
      <c r="Z344" t="s">
        <v>23</v>
      </c>
    </row>
    <row r="345" spans="1:26" hidden="1" x14ac:dyDescent="0.2">
      <c r="A345">
        <v>21</v>
      </c>
      <c r="B345" t="s">
        <v>29</v>
      </c>
      <c r="C345" s="10">
        <v>10000033</v>
      </c>
      <c r="D345" t="b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0.46666666666666667</v>
      </c>
      <c r="M345">
        <v>0.45227442595408918</v>
      </c>
      <c r="N345">
        <v>0</v>
      </c>
      <c r="O345">
        <v>0</v>
      </c>
      <c r="P345">
        <v>0.37301758046537509</v>
      </c>
      <c r="Q345">
        <v>0</v>
      </c>
      <c r="R345">
        <v>0.37301758046537509</v>
      </c>
      <c r="S345">
        <v>0</v>
      </c>
      <c r="T345">
        <v>0.45227442595408918</v>
      </c>
      <c r="U345">
        <v>0</v>
      </c>
      <c r="V345">
        <v>0.53333333333333333</v>
      </c>
      <c r="W345">
        <v>5.1909770706626457</v>
      </c>
      <c r="X345">
        <v>0.45227442595408918</v>
      </c>
      <c r="Y345">
        <v>0.53333333333333333</v>
      </c>
      <c r="Z345" t="s">
        <v>24</v>
      </c>
    </row>
    <row r="346" spans="1:26" hidden="1" x14ac:dyDescent="0.2">
      <c r="A346">
        <v>21</v>
      </c>
      <c r="B346" t="s">
        <v>29</v>
      </c>
      <c r="C346" s="10">
        <v>10000047</v>
      </c>
      <c r="D346" t="b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0.46666666666666667</v>
      </c>
      <c r="L346">
        <v>0</v>
      </c>
      <c r="M346">
        <v>0</v>
      </c>
      <c r="N346">
        <v>0</v>
      </c>
      <c r="O346">
        <v>0.51591714614726425</v>
      </c>
      <c r="P346">
        <v>0</v>
      </c>
      <c r="Q346">
        <v>0.48408285385273581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5.0765425824243424</v>
      </c>
      <c r="X346">
        <v>0.48408285385273581</v>
      </c>
      <c r="Y346">
        <v>0.51591714614726425</v>
      </c>
      <c r="Z346" t="s">
        <v>24</v>
      </c>
    </row>
    <row r="347" spans="1:26" hidden="1" x14ac:dyDescent="0.2">
      <c r="A347">
        <v>21</v>
      </c>
      <c r="B347" t="s">
        <v>28</v>
      </c>
      <c r="C347" s="10">
        <v>10000033</v>
      </c>
      <c r="D347" t="b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0.54772557404591082</v>
      </c>
      <c r="M347">
        <v>0.45227442595408918</v>
      </c>
      <c r="N347">
        <v>0</v>
      </c>
      <c r="O347">
        <v>0</v>
      </c>
      <c r="P347">
        <v>0.1333333333333333</v>
      </c>
      <c r="Q347">
        <v>0</v>
      </c>
      <c r="R347">
        <v>0.1333333333333333</v>
      </c>
      <c r="S347">
        <v>0</v>
      </c>
      <c r="T347">
        <v>0.1333333333333333</v>
      </c>
      <c r="U347">
        <v>0</v>
      </c>
      <c r="V347">
        <v>0.1333333333333333</v>
      </c>
      <c r="W347">
        <v>5.2210136712697421</v>
      </c>
      <c r="X347">
        <v>0.45227442595408918</v>
      </c>
      <c r="Y347">
        <v>0.54772557404591082</v>
      </c>
      <c r="Z347" t="s">
        <v>24</v>
      </c>
    </row>
    <row r="348" spans="1:26" hidden="1" x14ac:dyDescent="0.2">
      <c r="A348">
        <v>22</v>
      </c>
      <c r="B348" t="s">
        <v>27</v>
      </c>
      <c r="C348" s="10">
        <v>10000082</v>
      </c>
      <c r="D348" t="b">
        <v>1</v>
      </c>
      <c r="F348">
        <v>0</v>
      </c>
      <c r="G348">
        <v>0</v>
      </c>
      <c r="H348">
        <v>0</v>
      </c>
      <c r="I348">
        <v>0</v>
      </c>
      <c r="J348">
        <v>0.66230378507721965</v>
      </c>
      <c r="W348">
        <v>3.1666666666666679</v>
      </c>
      <c r="X348">
        <v>1</v>
      </c>
      <c r="Y348">
        <v>0</v>
      </c>
      <c r="Z348" t="s">
        <v>23</v>
      </c>
    </row>
    <row r="349" spans="1:26" hidden="1" x14ac:dyDescent="0.2">
      <c r="A349">
        <v>22</v>
      </c>
      <c r="B349" t="s">
        <v>27</v>
      </c>
      <c r="C349" s="10">
        <v>10000047</v>
      </c>
      <c r="D349" t="b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0.81988078529274722</v>
      </c>
      <c r="P349">
        <v>0</v>
      </c>
      <c r="Q349">
        <v>0.18011921470725281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6.2835596532933824</v>
      </c>
      <c r="X349">
        <v>0.18011921470725281</v>
      </c>
      <c r="Y349">
        <v>0.81988078529274722</v>
      </c>
      <c r="Z349" t="s">
        <v>24</v>
      </c>
    </row>
    <row r="350" spans="1:26" hidden="1" x14ac:dyDescent="0.2">
      <c r="A350">
        <v>22</v>
      </c>
      <c r="B350" t="s">
        <v>34</v>
      </c>
      <c r="C350" s="10">
        <v>10000073</v>
      </c>
      <c r="D350" t="b">
        <v>1</v>
      </c>
      <c r="E350">
        <v>0</v>
      </c>
      <c r="F350">
        <v>0</v>
      </c>
      <c r="G350">
        <v>0</v>
      </c>
      <c r="H350">
        <v>0</v>
      </c>
      <c r="I350">
        <v>0.56564252938428372</v>
      </c>
      <c r="J350">
        <v>0.22422864382565519</v>
      </c>
      <c r="W350">
        <v>5.8684690851660841</v>
      </c>
      <c r="X350">
        <v>0.22422864382565519</v>
      </c>
      <c r="Y350">
        <v>0.56564252938428372</v>
      </c>
      <c r="Z350" t="s">
        <v>24</v>
      </c>
    </row>
    <row r="351" spans="1:26" hidden="1" x14ac:dyDescent="0.2">
      <c r="A351">
        <v>22</v>
      </c>
      <c r="B351" t="s">
        <v>29</v>
      </c>
      <c r="C351" s="10">
        <v>10000082</v>
      </c>
      <c r="D351" t="b">
        <v>1</v>
      </c>
      <c r="F351">
        <v>0</v>
      </c>
      <c r="G351">
        <v>0</v>
      </c>
      <c r="H351">
        <v>0</v>
      </c>
      <c r="I351">
        <v>0</v>
      </c>
      <c r="J351">
        <v>0.92566048972708426</v>
      </c>
      <c r="W351">
        <v>3.1666666666666679</v>
      </c>
      <c r="X351">
        <v>1</v>
      </c>
      <c r="Y351">
        <v>0</v>
      </c>
      <c r="Z351" t="s">
        <v>23</v>
      </c>
    </row>
    <row r="352" spans="1:26" hidden="1" x14ac:dyDescent="0.2">
      <c r="A352">
        <v>22</v>
      </c>
      <c r="B352" t="s">
        <v>29</v>
      </c>
      <c r="C352" s="10">
        <v>10000047</v>
      </c>
      <c r="D352" t="b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0.8081482492658898</v>
      </c>
      <c r="P352">
        <v>0</v>
      </c>
      <c r="Q352">
        <v>0.1918517507341102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6.2436733727842091</v>
      </c>
      <c r="X352">
        <v>0.1918517507341102</v>
      </c>
      <c r="Y352">
        <v>0.8081482492658898</v>
      </c>
      <c r="Z352" t="s">
        <v>24</v>
      </c>
    </row>
    <row r="353" spans="1:26" hidden="1" x14ac:dyDescent="0.2">
      <c r="A353">
        <v>22</v>
      </c>
      <c r="B353" t="s">
        <v>26</v>
      </c>
      <c r="C353" s="10">
        <v>10000082</v>
      </c>
      <c r="D353" t="b">
        <v>1</v>
      </c>
      <c r="F353">
        <v>0</v>
      </c>
      <c r="G353">
        <v>0</v>
      </c>
      <c r="H353">
        <v>0</v>
      </c>
      <c r="I353">
        <v>0</v>
      </c>
      <c r="J353">
        <v>0.86542438505526931</v>
      </c>
      <c r="W353">
        <v>3.1666666666666679</v>
      </c>
      <c r="X353">
        <v>1</v>
      </c>
      <c r="Y353">
        <v>0</v>
      </c>
      <c r="Z353" t="s">
        <v>23</v>
      </c>
    </row>
    <row r="354" spans="1:26" hidden="1" x14ac:dyDescent="0.2">
      <c r="A354">
        <v>22</v>
      </c>
      <c r="B354" t="s">
        <v>32</v>
      </c>
      <c r="C354" s="10">
        <v>10000047</v>
      </c>
      <c r="D354" t="b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0.78658477471569055</v>
      </c>
      <c r="P354">
        <v>0</v>
      </c>
      <c r="Q354">
        <v>0.2134152252843094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6.1690566227936543</v>
      </c>
      <c r="X354">
        <v>0.2134152252843094</v>
      </c>
      <c r="Y354">
        <v>0.78658477471569055</v>
      </c>
      <c r="Z354" t="s">
        <v>24</v>
      </c>
    </row>
    <row r="355" spans="1:26" hidden="1" x14ac:dyDescent="0.2">
      <c r="A355">
        <v>22</v>
      </c>
      <c r="B355" t="s">
        <v>30</v>
      </c>
      <c r="C355" s="10">
        <v>10000082</v>
      </c>
      <c r="D355" t="b">
        <v>1</v>
      </c>
      <c r="F355">
        <v>0</v>
      </c>
      <c r="G355">
        <v>0</v>
      </c>
      <c r="H355">
        <v>0</v>
      </c>
      <c r="I355">
        <v>0.27826510153894141</v>
      </c>
      <c r="J355">
        <v>0.72173489846105865</v>
      </c>
      <c r="W355">
        <v>3.7757972078342599</v>
      </c>
      <c r="X355">
        <v>1</v>
      </c>
      <c r="Y355">
        <v>0.27826510153894141</v>
      </c>
      <c r="Z355" t="s">
        <v>23</v>
      </c>
    </row>
    <row r="356" spans="1:26" hidden="1" x14ac:dyDescent="0.2">
      <c r="A356">
        <v>22</v>
      </c>
      <c r="B356" t="s">
        <v>26</v>
      </c>
      <c r="C356" s="10">
        <v>10000033</v>
      </c>
      <c r="D356" t="b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0.32305324711028788</v>
      </c>
      <c r="Q356">
        <v>0</v>
      </c>
      <c r="R356">
        <v>9.6225995012636859E-2</v>
      </c>
      <c r="S356">
        <v>0</v>
      </c>
      <c r="T356">
        <v>9.6225995012636859E-2</v>
      </c>
      <c r="U356">
        <v>0</v>
      </c>
      <c r="V356">
        <v>0.67694675288971207</v>
      </c>
      <c r="W356">
        <v>6.3744475038676507</v>
      </c>
      <c r="X356">
        <v>9.6225995012636859E-2</v>
      </c>
      <c r="Y356">
        <v>0.67694675288971207</v>
      </c>
      <c r="Z356" t="s">
        <v>24</v>
      </c>
    </row>
    <row r="357" spans="1:26" hidden="1" x14ac:dyDescent="0.2">
      <c r="A357">
        <v>22</v>
      </c>
      <c r="B357" t="s">
        <v>30</v>
      </c>
      <c r="C357" s="10">
        <v>10000033</v>
      </c>
      <c r="D357" t="b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0.32151845088771042</v>
      </c>
      <c r="Q357">
        <v>0</v>
      </c>
      <c r="R357">
        <v>9.6225995012636859E-2</v>
      </c>
      <c r="S357">
        <v>0</v>
      </c>
      <c r="T357">
        <v>9.6225995012636859E-2</v>
      </c>
      <c r="U357">
        <v>0</v>
      </c>
      <c r="V357">
        <v>0.67848154911228964</v>
      </c>
      <c r="W357">
        <v>6.3758042357768039</v>
      </c>
      <c r="X357">
        <v>9.6225995012636859E-2</v>
      </c>
      <c r="Y357">
        <v>0.67848154911228964</v>
      </c>
      <c r="Z357" t="s">
        <v>24</v>
      </c>
    </row>
    <row r="358" spans="1:26" hidden="1" x14ac:dyDescent="0.2">
      <c r="A358">
        <v>22</v>
      </c>
      <c r="B358" t="s">
        <v>28</v>
      </c>
      <c r="C358" s="10">
        <v>10000033</v>
      </c>
      <c r="D358" t="b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0.29338774832331088</v>
      </c>
      <c r="Q358">
        <v>0</v>
      </c>
      <c r="R358">
        <v>9.7351168057736789E-2</v>
      </c>
      <c r="S358">
        <v>0</v>
      </c>
      <c r="T358">
        <v>9.7351168057736789E-2</v>
      </c>
      <c r="U358">
        <v>0</v>
      </c>
      <c r="V358">
        <v>0.70661225167668906</v>
      </c>
      <c r="W358">
        <v>6.3971074791614573</v>
      </c>
      <c r="X358">
        <v>9.7351168057736789E-2</v>
      </c>
      <c r="Y358">
        <v>0.70661225167668906</v>
      </c>
      <c r="Z358" t="s">
        <v>24</v>
      </c>
    </row>
    <row r="359" spans="1:26" hidden="1" x14ac:dyDescent="0.2">
      <c r="A359">
        <v>22</v>
      </c>
      <c r="B359" t="s">
        <v>31</v>
      </c>
      <c r="C359" s="10">
        <v>10000073</v>
      </c>
      <c r="D359" t="b">
        <v>0</v>
      </c>
      <c r="E359">
        <v>0.41529050626780079</v>
      </c>
      <c r="F359">
        <v>0</v>
      </c>
      <c r="G359">
        <v>0.58470949373219916</v>
      </c>
      <c r="H359">
        <v>0</v>
      </c>
      <c r="I359">
        <v>0</v>
      </c>
      <c r="J359">
        <v>0</v>
      </c>
      <c r="K359">
        <v>0.4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3.3977073931877322</v>
      </c>
      <c r="X359">
        <v>0.58470949373219916</v>
      </c>
      <c r="Y359">
        <v>0</v>
      </c>
      <c r="Z359" t="s">
        <v>23</v>
      </c>
    </row>
    <row r="360" spans="1:26" hidden="1" x14ac:dyDescent="0.2">
      <c r="A360">
        <v>22</v>
      </c>
      <c r="B360" t="s">
        <v>31</v>
      </c>
      <c r="C360" s="10">
        <v>10000082</v>
      </c>
      <c r="D360" t="b">
        <v>1</v>
      </c>
      <c r="F360">
        <v>4.6579359945372018E-2</v>
      </c>
      <c r="G360">
        <v>0.6333333333333333</v>
      </c>
      <c r="H360">
        <v>4.6579359945372018E-2</v>
      </c>
      <c r="I360">
        <v>0</v>
      </c>
      <c r="J360">
        <v>0</v>
      </c>
      <c r="W360">
        <v>4.4583601773109693</v>
      </c>
      <c r="X360">
        <v>1</v>
      </c>
      <c r="Y360">
        <v>0.6333333333333333</v>
      </c>
      <c r="Z360" t="s">
        <v>23</v>
      </c>
    </row>
    <row r="361" spans="1:26" hidden="1" x14ac:dyDescent="0.2">
      <c r="A361">
        <v>22</v>
      </c>
      <c r="B361" t="s">
        <v>33</v>
      </c>
      <c r="C361" s="10">
        <v>10000033</v>
      </c>
      <c r="D361" t="b">
        <v>0</v>
      </c>
      <c r="E361">
        <v>0</v>
      </c>
      <c r="F361">
        <v>0</v>
      </c>
      <c r="G361">
        <v>0</v>
      </c>
      <c r="H361">
        <v>0.6333333333333333</v>
      </c>
      <c r="I361">
        <v>0</v>
      </c>
      <c r="J361">
        <v>0.29495122805431268</v>
      </c>
      <c r="K361">
        <v>0</v>
      </c>
      <c r="L361">
        <v>0.36666666666666659</v>
      </c>
      <c r="M361">
        <v>9.9058608054444774E-2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6.3263023107705569</v>
      </c>
      <c r="X361">
        <v>9.9058608054444774E-2</v>
      </c>
      <c r="Y361">
        <v>0.6333333333333333</v>
      </c>
      <c r="Z361" t="s">
        <v>24</v>
      </c>
    </row>
    <row r="362" spans="1:26" hidden="1" x14ac:dyDescent="0.2">
      <c r="A362">
        <v>22</v>
      </c>
      <c r="B362" t="s">
        <v>31</v>
      </c>
      <c r="C362" s="10">
        <v>10000033</v>
      </c>
      <c r="D362" t="b">
        <v>0</v>
      </c>
      <c r="E362">
        <v>0</v>
      </c>
      <c r="F362">
        <v>0</v>
      </c>
      <c r="G362">
        <v>0</v>
      </c>
      <c r="H362">
        <v>0.66666666666666663</v>
      </c>
      <c r="I362">
        <v>0</v>
      </c>
      <c r="J362">
        <v>0.29248656950823748</v>
      </c>
      <c r="K362">
        <v>0</v>
      </c>
      <c r="L362">
        <v>0.33333333333333331</v>
      </c>
      <c r="M362">
        <v>9.9058608054444774E-2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6.3570551650667788</v>
      </c>
      <c r="X362">
        <v>9.9058608054444774E-2</v>
      </c>
      <c r="Y362">
        <v>0.66666666666666663</v>
      </c>
      <c r="Z362" t="s">
        <v>24</v>
      </c>
    </row>
    <row r="363" spans="1:26" hidden="1" x14ac:dyDescent="0.2">
      <c r="A363">
        <v>22</v>
      </c>
      <c r="B363" t="s">
        <v>35</v>
      </c>
      <c r="C363" s="10">
        <v>10000047</v>
      </c>
      <c r="D363" t="b">
        <v>0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3.1666666666666679</v>
      </c>
      <c r="X363">
        <v>1</v>
      </c>
      <c r="Y363">
        <v>0</v>
      </c>
      <c r="Z363" t="s">
        <v>23</v>
      </c>
    </row>
    <row r="364" spans="1:26" hidden="1" x14ac:dyDescent="0.2">
      <c r="A364">
        <v>22</v>
      </c>
      <c r="B364" t="s">
        <v>35</v>
      </c>
      <c r="C364" s="10">
        <v>10000033</v>
      </c>
      <c r="D364" t="b">
        <v>0</v>
      </c>
      <c r="E364">
        <v>0</v>
      </c>
      <c r="F364">
        <v>0</v>
      </c>
      <c r="G364">
        <v>0</v>
      </c>
      <c r="H364">
        <v>0.70566293399115965</v>
      </c>
      <c r="I364">
        <v>0</v>
      </c>
      <c r="J364">
        <v>0.2943370660088403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6.673962417428478</v>
      </c>
      <c r="X364">
        <v>0</v>
      </c>
      <c r="Y364">
        <v>0.70566293399115965</v>
      </c>
      <c r="Z364" t="s">
        <v>24</v>
      </c>
    </row>
    <row r="365" spans="1:26" hidden="1" x14ac:dyDescent="0.2">
      <c r="A365">
        <v>23</v>
      </c>
      <c r="B365" t="s">
        <v>27</v>
      </c>
      <c r="C365" s="10">
        <v>10000033</v>
      </c>
      <c r="D365" t="b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0.30882977802696898</v>
      </c>
      <c r="Q365">
        <v>0</v>
      </c>
      <c r="R365">
        <v>5.1133139469101571E-2</v>
      </c>
      <c r="S365">
        <v>0</v>
      </c>
      <c r="T365">
        <v>5.1133139469101571E-2</v>
      </c>
      <c r="U365">
        <v>0</v>
      </c>
      <c r="V365">
        <v>0.69117022197303091</v>
      </c>
      <c r="W365">
        <v>6.5162546900074672</v>
      </c>
      <c r="X365">
        <v>5.1133139469101571E-2</v>
      </c>
      <c r="Y365">
        <v>0.69117022197303091</v>
      </c>
      <c r="Z365" t="s">
        <v>24</v>
      </c>
    </row>
    <row r="366" spans="1:26" hidden="1" x14ac:dyDescent="0.2">
      <c r="A366">
        <v>23</v>
      </c>
      <c r="B366" t="s">
        <v>30</v>
      </c>
      <c r="C366" s="10">
        <v>10000082</v>
      </c>
      <c r="D366" t="b">
        <v>1</v>
      </c>
      <c r="F366">
        <v>0</v>
      </c>
      <c r="G366">
        <v>0</v>
      </c>
      <c r="H366">
        <v>0</v>
      </c>
      <c r="I366">
        <v>0</v>
      </c>
      <c r="J366">
        <v>0.90950780383786722</v>
      </c>
      <c r="W366">
        <v>3.1666666666666679</v>
      </c>
      <c r="X366">
        <v>1</v>
      </c>
      <c r="Y366">
        <v>0</v>
      </c>
      <c r="Z366" t="s">
        <v>23</v>
      </c>
    </row>
    <row r="367" spans="1:26" hidden="1" x14ac:dyDescent="0.2">
      <c r="A367">
        <v>23</v>
      </c>
      <c r="B367" t="s">
        <v>30</v>
      </c>
      <c r="C367" s="10">
        <v>10000073</v>
      </c>
      <c r="D367" t="b">
        <v>1</v>
      </c>
      <c r="E367">
        <v>0</v>
      </c>
      <c r="F367">
        <v>0</v>
      </c>
      <c r="G367">
        <v>0</v>
      </c>
      <c r="H367">
        <v>0</v>
      </c>
      <c r="I367">
        <v>0.56341079309669051</v>
      </c>
      <c r="J367">
        <v>0.2058093249984031</v>
      </c>
      <c r="W367">
        <v>5.9204178953307531</v>
      </c>
      <c r="X367">
        <v>0.2058093249984031</v>
      </c>
      <c r="Y367">
        <v>0.56341079309669051</v>
      </c>
      <c r="Z367" t="s">
        <v>24</v>
      </c>
    </row>
    <row r="368" spans="1:26" hidden="1" x14ac:dyDescent="0.2">
      <c r="A368">
        <v>23</v>
      </c>
      <c r="B368" t="s">
        <v>34</v>
      </c>
      <c r="C368" s="10">
        <v>10000082</v>
      </c>
      <c r="D368" t="b">
        <v>1</v>
      </c>
      <c r="F368">
        <v>0</v>
      </c>
      <c r="G368">
        <v>0</v>
      </c>
      <c r="H368">
        <v>0</v>
      </c>
      <c r="I368">
        <v>0</v>
      </c>
      <c r="J368">
        <v>0.91677974423569031</v>
      </c>
      <c r="W368">
        <v>3.1666666666666679</v>
      </c>
      <c r="X368">
        <v>1</v>
      </c>
      <c r="Y368">
        <v>0</v>
      </c>
      <c r="Z368" t="s">
        <v>23</v>
      </c>
    </row>
    <row r="369" spans="1:26" hidden="1" x14ac:dyDescent="0.2">
      <c r="A369">
        <v>23</v>
      </c>
      <c r="B369" t="s">
        <v>34</v>
      </c>
      <c r="C369" s="10">
        <v>10000073</v>
      </c>
      <c r="D369" t="b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0.43644786543872638</v>
      </c>
      <c r="P369">
        <v>0</v>
      </c>
      <c r="Q369">
        <v>0.20697676547155619</v>
      </c>
      <c r="R369">
        <v>0</v>
      </c>
      <c r="S369">
        <v>0.20697676547155619</v>
      </c>
      <c r="T369">
        <v>0</v>
      </c>
      <c r="U369">
        <v>0.56355213456127362</v>
      </c>
      <c r="V369">
        <v>0</v>
      </c>
      <c r="W369">
        <v>5.9170930733993448</v>
      </c>
      <c r="X369">
        <v>0.20697676547155619</v>
      </c>
      <c r="Y369">
        <v>0.56355213456127362</v>
      </c>
      <c r="Z369" t="s">
        <v>24</v>
      </c>
    </row>
    <row r="370" spans="1:26" hidden="1" x14ac:dyDescent="0.2">
      <c r="A370">
        <v>23</v>
      </c>
      <c r="B370" t="s">
        <v>35</v>
      </c>
      <c r="C370" s="10">
        <v>10000033</v>
      </c>
      <c r="D370" t="b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0.31441489508092879</v>
      </c>
      <c r="Q370">
        <v>0</v>
      </c>
      <c r="R370">
        <v>7.0216519667836347E-2</v>
      </c>
      <c r="S370">
        <v>0</v>
      </c>
      <c r="T370">
        <v>7.0216519667836347E-2</v>
      </c>
      <c r="U370">
        <v>0</v>
      </c>
      <c r="V370">
        <v>0.68558510491907121</v>
      </c>
      <c r="W370">
        <v>6.4567696943606583</v>
      </c>
      <c r="X370">
        <v>7.0216519667836347E-2</v>
      </c>
      <c r="Y370">
        <v>0.68558510491907121</v>
      </c>
      <c r="Z370" t="s">
        <v>24</v>
      </c>
    </row>
    <row r="371" spans="1:26" hidden="1" x14ac:dyDescent="0.2">
      <c r="A371">
        <v>23</v>
      </c>
      <c r="B371" t="s">
        <v>26</v>
      </c>
      <c r="C371" s="10">
        <v>10000082</v>
      </c>
      <c r="D371" t="b">
        <v>1</v>
      </c>
      <c r="F371">
        <v>0</v>
      </c>
      <c r="G371">
        <v>0</v>
      </c>
      <c r="H371">
        <v>0</v>
      </c>
      <c r="I371">
        <v>0</v>
      </c>
      <c r="J371">
        <v>1</v>
      </c>
      <c r="W371">
        <v>3.1666666666666679</v>
      </c>
      <c r="X371">
        <v>1</v>
      </c>
      <c r="Y371">
        <v>0</v>
      </c>
      <c r="Z371" t="s">
        <v>23</v>
      </c>
    </row>
    <row r="372" spans="1:26" hidden="1" x14ac:dyDescent="0.2">
      <c r="A372">
        <v>23</v>
      </c>
      <c r="B372" t="s">
        <v>26</v>
      </c>
      <c r="C372" s="10">
        <v>10000033</v>
      </c>
      <c r="D372" t="b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0.32094181011176348</v>
      </c>
      <c r="Q372">
        <v>0</v>
      </c>
      <c r="R372">
        <v>7.5113147438865921E-2</v>
      </c>
      <c r="S372">
        <v>0</v>
      </c>
      <c r="T372">
        <v>7.5113147438865921E-2</v>
      </c>
      <c r="U372">
        <v>0</v>
      </c>
      <c r="V372">
        <v>0.67905818988823652</v>
      </c>
      <c r="W372">
        <v>6.4373146414560534</v>
      </c>
      <c r="X372">
        <v>7.5113147438865921E-2</v>
      </c>
      <c r="Y372">
        <v>0.67905818988823652</v>
      </c>
      <c r="Z372" t="s">
        <v>24</v>
      </c>
    </row>
    <row r="373" spans="1:26" hidden="1" x14ac:dyDescent="0.2">
      <c r="A373">
        <v>23</v>
      </c>
      <c r="B373" t="s">
        <v>31</v>
      </c>
      <c r="C373" s="10">
        <v>10000082</v>
      </c>
      <c r="D373" t="b">
        <v>1</v>
      </c>
      <c r="F373">
        <v>0</v>
      </c>
      <c r="G373">
        <v>0</v>
      </c>
      <c r="H373">
        <v>0</v>
      </c>
      <c r="I373">
        <v>0</v>
      </c>
      <c r="J373">
        <v>1</v>
      </c>
      <c r="W373">
        <v>3.1666666666666679</v>
      </c>
      <c r="X373">
        <v>1</v>
      </c>
      <c r="Y373">
        <v>0</v>
      </c>
      <c r="Z373" t="s">
        <v>23</v>
      </c>
    </row>
    <row r="374" spans="1:26" hidden="1" x14ac:dyDescent="0.2">
      <c r="A374">
        <v>23</v>
      </c>
      <c r="B374" t="s">
        <v>31</v>
      </c>
      <c r="C374" s="10">
        <v>10000033</v>
      </c>
      <c r="D374" t="b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0.3025130102569803</v>
      </c>
      <c r="Q374">
        <v>0</v>
      </c>
      <c r="R374">
        <v>7.6070555844609145E-2</v>
      </c>
      <c r="S374">
        <v>0</v>
      </c>
      <c r="T374">
        <v>7.6070555844609145E-2</v>
      </c>
      <c r="U374">
        <v>0</v>
      </c>
      <c r="V374">
        <v>0.6974869897430197</v>
      </c>
      <c r="W374">
        <v>6.4495268288241823</v>
      </c>
      <c r="X374">
        <v>7.6070555844609145E-2</v>
      </c>
      <c r="Y374">
        <v>0.6974869897430197</v>
      </c>
      <c r="Z374" t="s">
        <v>24</v>
      </c>
    </row>
    <row r="375" spans="1:26" hidden="1" x14ac:dyDescent="0.2">
      <c r="A375">
        <v>23</v>
      </c>
      <c r="B375" t="s">
        <v>29</v>
      </c>
      <c r="C375" s="10">
        <v>10000073</v>
      </c>
      <c r="D375" t="b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0.41630545513182149</v>
      </c>
      <c r="P375">
        <v>0</v>
      </c>
      <c r="Q375">
        <v>0.2305727386408371</v>
      </c>
      <c r="R375">
        <v>0</v>
      </c>
      <c r="S375">
        <v>0.2305727386408371</v>
      </c>
      <c r="T375">
        <v>0</v>
      </c>
      <c r="U375">
        <v>0.58369454486817851</v>
      </c>
      <c r="V375">
        <v>0</v>
      </c>
      <c r="W375">
        <v>5.8763791764531659</v>
      </c>
      <c r="X375">
        <v>0.2305727386408371</v>
      </c>
      <c r="Y375">
        <v>0.58369454486817851</v>
      </c>
      <c r="Z375" t="s">
        <v>24</v>
      </c>
    </row>
    <row r="376" spans="1:26" hidden="1" x14ac:dyDescent="0.2">
      <c r="A376">
        <v>23</v>
      </c>
      <c r="B376" t="s">
        <v>33</v>
      </c>
      <c r="C376" s="10">
        <v>10000033</v>
      </c>
      <c r="D376" t="b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0.5</v>
      </c>
      <c r="M376">
        <v>0.1027783487008274</v>
      </c>
      <c r="N376">
        <v>0</v>
      </c>
      <c r="O376">
        <v>0</v>
      </c>
      <c r="P376">
        <v>0.30181506390641738</v>
      </c>
      <c r="Q376">
        <v>0</v>
      </c>
      <c r="R376">
        <v>0.1027783487008274</v>
      </c>
      <c r="S376">
        <v>0</v>
      </c>
      <c r="T376">
        <v>0.1027783487008274</v>
      </c>
      <c r="U376">
        <v>0</v>
      </c>
      <c r="V376">
        <v>0.5</v>
      </c>
      <c r="W376">
        <v>6.1739710484418939</v>
      </c>
      <c r="X376">
        <v>0.1027783487008274</v>
      </c>
      <c r="Y376">
        <v>0.5</v>
      </c>
      <c r="Z376" t="s">
        <v>24</v>
      </c>
    </row>
    <row r="377" spans="1:26" hidden="1" x14ac:dyDescent="0.2">
      <c r="A377">
        <v>23</v>
      </c>
      <c r="B377" t="s">
        <v>32</v>
      </c>
      <c r="C377" s="10">
        <v>10000033</v>
      </c>
      <c r="D377" t="b">
        <v>0</v>
      </c>
      <c r="E377">
        <v>0</v>
      </c>
      <c r="F377">
        <v>0</v>
      </c>
      <c r="G377">
        <v>0</v>
      </c>
      <c r="H377">
        <v>0.1</v>
      </c>
      <c r="I377">
        <v>0</v>
      </c>
      <c r="J377">
        <v>0.1</v>
      </c>
      <c r="K377">
        <v>0</v>
      </c>
      <c r="L377">
        <v>0.69691366378115949</v>
      </c>
      <c r="M377">
        <v>0.1135369510596354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6.3432397277964183</v>
      </c>
      <c r="X377">
        <v>0.1135369510596354</v>
      </c>
      <c r="Y377">
        <v>0.69691366378115949</v>
      </c>
      <c r="Z377" t="s">
        <v>24</v>
      </c>
    </row>
    <row r="378" spans="1:26" hidden="1" x14ac:dyDescent="0.2">
      <c r="A378">
        <v>23</v>
      </c>
      <c r="B378" t="s">
        <v>28</v>
      </c>
      <c r="C378" s="10">
        <v>10000033</v>
      </c>
      <c r="D378" t="b">
        <v>0</v>
      </c>
      <c r="E378">
        <v>0</v>
      </c>
      <c r="F378">
        <v>0</v>
      </c>
      <c r="G378">
        <v>0</v>
      </c>
      <c r="H378">
        <v>0.68355703467764761</v>
      </c>
      <c r="I378">
        <v>0</v>
      </c>
      <c r="J378">
        <v>0.31644296532235228</v>
      </c>
      <c r="K378">
        <v>0</v>
      </c>
      <c r="L378">
        <v>0.3</v>
      </c>
      <c r="M378">
        <v>0.1135369510596354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6.3309408655087447</v>
      </c>
      <c r="X378">
        <v>0.1135369510596354</v>
      </c>
      <c r="Y378">
        <v>0.68355703467764761</v>
      </c>
      <c r="Z378" t="s">
        <v>24</v>
      </c>
    </row>
    <row r="379" spans="1:26" hidden="1" x14ac:dyDescent="0.2">
      <c r="A379">
        <v>24</v>
      </c>
      <c r="B379" t="s">
        <v>31</v>
      </c>
      <c r="C379" s="10">
        <v>10000033</v>
      </c>
      <c r="D379" t="b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0.30882977802696898</v>
      </c>
      <c r="Q379">
        <v>0</v>
      </c>
      <c r="R379">
        <v>0.14803185983271541</v>
      </c>
      <c r="S379">
        <v>0</v>
      </c>
      <c r="T379">
        <v>0.14803185983271541</v>
      </c>
      <c r="U379">
        <v>0</v>
      </c>
      <c r="V379">
        <v>0.69117022197303091</v>
      </c>
      <c r="W379">
        <v>6.2416978998585693</v>
      </c>
      <c r="X379">
        <v>0.14803185983271541</v>
      </c>
      <c r="Y379">
        <v>0.69117022197303091</v>
      </c>
      <c r="Z379" t="s">
        <v>24</v>
      </c>
    </row>
    <row r="380" spans="1:26" hidden="1" x14ac:dyDescent="0.2">
      <c r="A380">
        <v>24</v>
      </c>
      <c r="B380" t="s">
        <v>26</v>
      </c>
      <c r="C380" s="10">
        <v>10000033</v>
      </c>
      <c r="D380" t="b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0.30974360263016038</v>
      </c>
      <c r="Q380">
        <v>0</v>
      </c>
      <c r="R380">
        <v>0.14803185983271541</v>
      </c>
      <c r="S380">
        <v>0</v>
      </c>
      <c r="T380">
        <v>0.14803185983271541</v>
      </c>
      <c r="U380">
        <v>0</v>
      </c>
      <c r="V380">
        <v>0.69025639736983968</v>
      </c>
      <c r="W380">
        <v>6.2407720775980353</v>
      </c>
      <c r="X380">
        <v>0.14803185983271541</v>
      </c>
      <c r="Y380">
        <v>0.69025639736983968</v>
      </c>
      <c r="Z380" t="s">
        <v>24</v>
      </c>
    </row>
    <row r="381" spans="1:26" hidden="1" x14ac:dyDescent="0.2">
      <c r="A381">
        <v>24</v>
      </c>
      <c r="B381" t="s">
        <v>32</v>
      </c>
      <c r="C381" s="10">
        <v>10000082</v>
      </c>
      <c r="D381" t="b">
        <v>1</v>
      </c>
      <c r="F381">
        <v>0</v>
      </c>
      <c r="G381">
        <v>0</v>
      </c>
      <c r="H381">
        <v>0</v>
      </c>
      <c r="I381">
        <v>0</v>
      </c>
      <c r="J381">
        <v>1</v>
      </c>
      <c r="W381">
        <v>3.1666666666666679</v>
      </c>
      <c r="X381">
        <v>1</v>
      </c>
      <c r="Y381">
        <v>0</v>
      </c>
      <c r="Z381" t="s">
        <v>23</v>
      </c>
    </row>
    <row r="382" spans="1:26" hidden="1" x14ac:dyDescent="0.2">
      <c r="A382">
        <v>24</v>
      </c>
      <c r="B382" t="s">
        <v>32</v>
      </c>
      <c r="C382" s="10">
        <v>10000047</v>
      </c>
      <c r="D382" t="b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0.7611934495431758</v>
      </c>
      <c r="P382">
        <v>0</v>
      </c>
      <c r="Q382">
        <v>0.23880655045682431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6.0789928106497948</v>
      </c>
      <c r="X382">
        <v>0.23880655045682431</v>
      </c>
      <c r="Y382">
        <v>0.7611934495431758</v>
      </c>
      <c r="Z382" t="s">
        <v>24</v>
      </c>
    </row>
    <row r="383" spans="1:26" hidden="1" x14ac:dyDescent="0.2">
      <c r="A383">
        <v>24</v>
      </c>
      <c r="B383" t="s">
        <v>34</v>
      </c>
      <c r="C383" s="10">
        <v>10000033</v>
      </c>
      <c r="D383" t="b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0.33480203394903851</v>
      </c>
      <c r="Q383">
        <v>0</v>
      </c>
      <c r="R383">
        <v>0.15881929042324389</v>
      </c>
      <c r="S383">
        <v>0</v>
      </c>
      <c r="T383">
        <v>0.15881929042324389</v>
      </c>
      <c r="U383">
        <v>0</v>
      </c>
      <c r="V383">
        <v>0.6651979660509616</v>
      </c>
      <c r="W383">
        <v>6.1844119857009119</v>
      </c>
      <c r="X383">
        <v>0.15881929042324389</v>
      </c>
      <c r="Y383">
        <v>0.6651979660509616</v>
      </c>
      <c r="Z383" t="s">
        <v>24</v>
      </c>
    </row>
    <row r="384" spans="1:26" hidden="1" x14ac:dyDescent="0.2">
      <c r="A384">
        <v>24</v>
      </c>
      <c r="B384" t="s">
        <v>27</v>
      </c>
      <c r="C384" s="10">
        <v>10000082</v>
      </c>
      <c r="D384" t="b">
        <v>1</v>
      </c>
      <c r="F384">
        <v>0</v>
      </c>
      <c r="G384">
        <v>0</v>
      </c>
      <c r="H384">
        <v>0</v>
      </c>
      <c r="I384">
        <v>0</v>
      </c>
      <c r="J384">
        <v>1</v>
      </c>
      <c r="W384">
        <v>3.1666666666666679</v>
      </c>
      <c r="X384">
        <v>1</v>
      </c>
      <c r="Y384">
        <v>0</v>
      </c>
      <c r="Z384" t="s">
        <v>23</v>
      </c>
    </row>
    <row r="385" spans="1:26" hidden="1" x14ac:dyDescent="0.2">
      <c r="A385">
        <v>24</v>
      </c>
      <c r="B385" t="s">
        <v>29</v>
      </c>
      <c r="C385" s="10">
        <v>10000047</v>
      </c>
      <c r="D385" t="b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0.75106928590856159</v>
      </c>
      <c r="P385">
        <v>0.24893071409143841</v>
      </c>
      <c r="Q385">
        <v>0.24893071409143841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6.0424086077986017</v>
      </c>
      <c r="X385">
        <v>0.24893071409143841</v>
      </c>
      <c r="Y385">
        <v>0.75106928590856159</v>
      </c>
      <c r="Z385" t="s">
        <v>24</v>
      </c>
    </row>
    <row r="386" spans="1:26" hidden="1" x14ac:dyDescent="0.2">
      <c r="A386">
        <v>24</v>
      </c>
      <c r="B386" t="s">
        <v>27</v>
      </c>
      <c r="C386" s="10">
        <v>10000033</v>
      </c>
      <c r="D386" t="b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0.31753321283501418</v>
      </c>
      <c r="Q386">
        <v>0</v>
      </c>
      <c r="R386">
        <v>0.1889744796377375</v>
      </c>
      <c r="S386">
        <v>0</v>
      </c>
      <c r="T386">
        <v>0.1889744796377375</v>
      </c>
      <c r="U386">
        <v>0</v>
      </c>
      <c r="V386">
        <v>0.68246678716498588</v>
      </c>
      <c r="W386">
        <v>6.1199570317279903</v>
      </c>
      <c r="X386">
        <v>0.1889744796377375</v>
      </c>
      <c r="Y386">
        <v>0.68246678716498588</v>
      </c>
      <c r="Z386" t="s">
        <v>24</v>
      </c>
    </row>
    <row r="387" spans="1:26" hidden="1" x14ac:dyDescent="0.2">
      <c r="A387">
        <v>24</v>
      </c>
      <c r="B387" t="s">
        <v>33</v>
      </c>
      <c r="C387" s="10">
        <v>10000082</v>
      </c>
      <c r="D387" t="b">
        <v>1</v>
      </c>
      <c r="F387">
        <v>0</v>
      </c>
      <c r="G387">
        <v>0</v>
      </c>
      <c r="H387">
        <v>0</v>
      </c>
      <c r="I387">
        <v>0</v>
      </c>
      <c r="J387">
        <v>1</v>
      </c>
      <c r="W387">
        <v>3.1666666666666679</v>
      </c>
      <c r="X387">
        <v>1</v>
      </c>
      <c r="Y387">
        <v>0</v>
      </c>
      <c r="Z387" t="s">
        <v>23</v>
      </c>
    </row>
    <row r="388" spans="1:26" hidden="1" x14ac:dyDescent="0.2">
      <c r="A388">
        <v>24</v>
      </c>
      <c r="B388" t="s">
        <v>28</v>
      </c>
      <c r="C388" s="10">
        <v>10000073</v>
      </c>
      <c r="D388" t="b">
        <v>1</v>
      </c>
      <c r="E388">
        <v>0</v>
      </c>
      <c r="F388">
        <v>0</v>
      </c>
      <c r="G388">
        <v>0</v>
      </c>
      <c r="H388">
        <v>0</v>
      </c>
      <c r="I388">
        <v>0.56094893474449725</v>
      </c>
      <c r="J388">
        <v>0.35159373311050429</v>
      </c>
      <c r="W388">
        <v>5.5020859885499194</v>
      </c>
      <c r="X388">
        <v>0.35159373311050429</v>
      </c>
      <c r="Y388">
        <v>0.56094893474449725</v>
      </c>
      <c r="Z388" t="s">
        <v>24</v>
      </c>
    </row>
    <row r="389" spans="1:26" hidden="1" x14ac:dyDescent="0.2">
      <c r="A389">
        <v>24</v>
      </c>
      <c r="B389" t="s">
        <v>33</v>
      </c>
      <c r="C389" s="10">
        <v>10000033</v>
      </c>
      <c r="D389" t="b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0.31278965222075511</v>
      </c>
      <c r="Q389">
        <v>0</v>
      </c>
      <c r="R389">
        <v>0.27661095758769327</v>
      </c>
      <c r="S389">
        <v>0</v>
      </c>
      <c r="T389">
        <v>0.27661095758769327</v>
      </c>
      <c r="U389">
        <v>0</v>
      </c>
      <c r="V389">
        <v>0.68721034777924483</v>
      </c>
      <c r="W389">
        <v>5.8940832250270043</v>
      </c>
      <c r="X389">
        <v>0.27661095758769327</v>
      </c>
      <c r="Y389">
        <v>0.68721034777924483</v>
      </c>
      <c r="Z389" t="s">
        <v>24</v>
      </c>
    </row>
    <row r="390" spans="1:26" hidden="1" x14ac:dyDescent="0.2">
      <c r="A390">
        <v>24</v>
      </c>
      <c r="B390" t="s">
        <v>35</v>
      </c>
      <c r="C390" s="10">
        <v>10000047</v>
      </c>
      <c r="D390" t="b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0.6446582044424386</v>
      </c>
      <c r="P390">
        <v>0.3553417955575614</v>
      </c>
      <c r="Q390">
        <v>0.25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5.9073691171315126</v>
      </c>
      <c r="X390">
        <v>0.25</v>
      </c>
      <c r="Y390">
        <v>0.6446582044424386</v>
      </c>
      <c r="Z390" t="s">
        <v>24</v>
      </c>
    </row>
    <row r="391" spans="1:26" hidden="1" x14ac:dyDescent="0.2">
      <c r="A391">
        <v>24</v>
      </c>
      <c r="B391" t="s">
        <v>30</v>
      </c>
      <c r="C391" s="10">
        <v>10000082</v>
      </c>
      <c r="D391" t="b">
        <v>1</v>
      </c>
      <c r="F391">
        <v>0</v>
      </c>
      <c r="G391">
        <v>0</v>
      </c>
      <c r="H391">
        <v>0</v>
      </c>
      <c r="I391">
        <v>0</v>
      </c>
      <c r="J391">
        <v>0.91695799346926643</v>
      </c>
      <c r="W391">
        <v>3.1666666666666679</v>
      </c>
      <c r="X391">
        <v>1</v>
      </c>
      <c r="Y391">
        <v>0</v>
      </c>
      <c r="Z391" t="s">
        <v>23</v>
      </c>
    </row>
    <row r="392" spans="1:26" hidden="1" x14ac:dyDescent="0.2">
      <c r="A392">
        <v>24</v>
      </c>
      <c r="B392" t="s">
        <v>30</v>
      </c>
      <c r="C392" s="10">
        <v>10000047</v>
      </c>
      <c r="D392" t="b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0.6446582044424386</v>
      </c>
      <c r="P392">
        <v>0.3553417955575614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6.6392586308305717</v>
      </c>
      <c r="X392">
        <v>0</v>
      </c>
      <c r="Y392">
        <v>0.6446582044424386</v>
      </c>
      <c r="Z392" t="s">
        <v>24</v>
      </c>
    </row>
    <row r="393" spans="1:26" hidden="1" x14ac:dyDescent="0.2">
      <c r="A393">
        <v>25</v>
      </c>
      <c r="B393" t="s">
        <v>31</v>
      </c>
      <c r="C393" s="10">
        <v>10000082</v>
      </c>
      <c r="D393" t="b">
        <v>1</v>
      </c>
      <c r="F393">
        <v>0</v>
      </c>
      <c r="G393">
        <v>0</v>
      </c>
      <c r="H393">
        <v>0</v>
      </c>
      <c r="I393">
        <v>0</v>
      </c>
      <c r="J393">
        <v>0.71382394536065874</v>
      </c>
      <c r="W393">
        <v>3.1666666666666679</v>
      </c>
      <c r="X393">
        <v>1</v>
      </c>
      <c r="Y393">
        <v>0</v>
      </c>
      <c r="Z393" t="s">
        <v>23</v>
      </c>
    </row>
    <row r="394" spans="1:26" hidden="1" x14ac:dyDescent="0.2">
      <c r="A394">
        <v>25</v>
      </c>
      <c r="B394" t="s">
        <v>32</v>
      </c>
      <c r="C394" s="10">
        <v>10000033</v>
      </c>
      <c r="D394" t="b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0.30882977802696898</v>
      </c>
      <c r="Q394">
        <v>0</v>
      </c>
      <c r="R394">
        <v>0.11402334597346291</v>
      </c>
      <c r="S394">
        <v>0</v>
      </c>
      <c r="T394">
        <v>0.11402334597346291</v>
      </c>
      <c r="U394">
        <v>0</v>
      </c>
      <c r="V394">
        <v>0.69117022197303091</v>
      </c>
      <c r="W394">
        <v>6.3366057215704732</v>
      </c>
      <c r="X394">
        <v>0.11402334597346291</v>
      </c>
      <c r="Y394">
        <v>0.69117022197303091</v>
      </c>
      <c r="Z394" t="s">
        <v>24</v>
      </c>
    </row>
    <row r="395" spans="1:26" hidden="1" x14ac:dyDescent="0.2">
      <c r="A395">
        <v>25</v>
      </c>
      <c r="B395" t="s">
        <v>31</v>
      </c>
      <c r="C395" s="10">
        <v>10000033</v>
      </c>
      <c r="D395" t="b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0.32582093595941131</v>
      </c>
      <c r="Q395">
        <v>0.32582093595941131</v>
      </c>
      <c r="R395">
        <v>0.11402334597346291</v>
      </c>
      <c r="S395">
        <v>0</v>
      </c>
      <c r="T395">
        <v>0.11402334597346291</v>
      </c>
      <c r="U395">
        <v>0</v>
      </c>
      <c r="V395">
        <v>0.60000000000000009</v>
      </c>
      <c r="W395">
        <v>5.6379098339473863</v>
      </c>
      <c r="X395">
        <v>0.32582093595941131</v>
      </c>
      <c r="Y395">
        <v>0.60000000000000009</v>
      </c>
      <c r="Z395" t="s">
        <v>24</v>
      </c>
    </row>
    <row r="396" spans="1:26" hidden="1" x14ac:dyDescent="0.2">
      <c r="A396">
        <v>25</v>
      </c>
      <c r="B396" t="s">
        <v>29</v>
      </c>
      <c r="C396" s="10">
        <v>10000073</v>
      </c>
      <c r="D396" t="b">
        <v>1</v>
      </c>
      <c r="E396">
        <v>0</v>
      </c>
      <c r="F396">
        <v>0</v>
      </c>
      <c r="G396">
        <v>0</v>
      </c>
      <c r="H396">
        <v>0</v>
      </c>
      <c r="I396">
        <v>0.55137575581238274</v>
      </c>
      <c r="J396">
        <v>0.31275673765979639</v>
      </c>
      <c r="W396">
        <v>5.5903778986565431</v>
      </c>
      <c r="X396">
        <v>0.31275673765979639</v>
      </c>
      <c r="Y396">
        <v>0.55137575581238274</v>
      </c>
      <c r="Z396" t="s">
        <v>24</v>
      </c>
    </row>
    <row r="397" spans="1:26" hidden="1" x14ac:dyDescent="0.2">
      <c r="A397">
        <v>25</v>
      </c>
      <c r="B397" t="s">
        <v>33</v>
      </c>
      <c r="C397" s="10">
        <v>10000033</v>
      </c>
      <c r="D397" t="b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0.36400406101155769</v>
      </c>
      <c r="R397">
        <v>0</v>
      </c>
      <c r="S397">
        <v>0.15384615384615369</v>
      </c>
      <c r="T397">
        <v>0.15804926428415339</v>
      </c>
      <c r="U397">
        <v>0</v>
      </c>
      <c r="V397">
        <v>0.63599593898844231</v>
      </c>
      <c r="W397">
        <v>5.59853520369803</v>
      </c>
      <c r="X397">
        <v>0.36400406101155769</v>
      </c>
      <c r="Y397">
        <v>0.63599593898844231</v>
      </c>
      <c r="Z397" t="s">
        <v>24</v>
      </c>
    </row>
    <row r="398" spans="1:26" hidden="1" x14ac:dyDescent="0.2">
      <c r="A398">
        <v>25</v>
      </c>
      <c r="B398" t="s">
        <v>30</v>
      </c>
      <c r="C398" s="10">
        <v>10000033</v>
      </c>
      <c r="D398" t="b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0.1333333333333333</v>
      </c>
      <c r="Q398">
        <v>0.36282782311895972</v>
      </c>
      <c r="R398">
        <v>0.1333333333333333</v>
      </c>
      <c r="S398">
        <v>0</v>
      </c>
      <c r="T398">
        <v>0.15804926428415339</v>
      </c>
      <c r="U398">
        <v>0</v>
      </c>
      <c r="V398">
        <v>0.63717217688104033</v>
      </c>
      <c r="W398">
        <v>5.6033412996066447</v>
      </c>
      <c r="X398">
        <v>0.36282782311895972</v>
      </c>
      <c r="Y398">
        <v>0.63717217688104033</v>
      </c>
      <c r="Z398" t="s">
        <v>24</v>
      </c>
    </row>
    <row r="399" spans="1:26" hidden="1" x14ac:dyDescent="0.2">
      <c r="A399">
        <v>25</v>
      </c>
      <c r="B399" t="s">
        <v>26</v>
      </c>
      <c r="C399" s="10">
        <v>10000033</v>
      </c>
      <c r="D399" t="b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0.35485793390794962</v>
      </c>
      <c r="R399">
        <v>0</v>
      </c>
      <c r="S399">
        <v>0.54545454545454541</v>
      </c>
      <c r="T399">
        <v>0.22625221915009119</v>
      </c>
      <c r="U399">
        <v>0</v>
      </c>
      <c r="V399">
        <v>0.45454545454545459</v>
      </c>
      <c r="W399">
        <v>4.7940203856063208</v>
      </c>
      <c r="X399">
        <v>0.54545454545454541</v>
      </c>
      <c r="Y399">
        <v>0.45454545454545459</v>
      </c>
      <c r="Z399" t="s">
        <v>23</v>
      </c>
    </row>
    <row r="400" spans="1:26" hidden="1" x14ac:dyDescent="0.2">
      <c r="A400">
        <v>25</v>
      </c>
      <c r="B400" t="s">
        <v>26</v>
      </c>
      <c r="C400" s="10">
        <v>10000047</v>
      </c>
      <c r="D400" t="b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0.72372221923908764</v>
      </c>
      <c r="P400">
        <v>0</v>
      </c>
      <c r="Q400">
        <v>0.27627778076091242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5.9416387101635904</v>
      </c>
      <c r="X400">
        <v>0.27627778076091242</v>
      </c>
      <c r="Y400">
        <v>0.72372221923908764</v>
      </c>
      <c r="Z400" t="s">
        <v>24</v>
      </c>
    </row>
    <row r="401" spans="1:26" hidden="1" x14ac:dyDescent="0.2">
      <c r="A401">
        <v>25</v>
      </c>
      <c r="B401" t="s">
        <v>28</v>
      </c>
      <c r="C401" s="10">
        <v>10000033</v>
      </c>
      <c r="D401" t="b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0.35035671633591292</v>
      </c>
      <c r="R401">
        <v>0</v>
      </c>
      <c r="S401">
        <v>0.54545454545454541</v>
      </c>
      <c r="T401">
        <v>0.23084276625768421</v>
      </c>
      <c r="U401">
        <v>0</v>
      </c>
      <c r="V401">
        <v>0.45454545454545459</v>
      </c>
      <c r="W401">
        <v>4.7940203856063208</v>
      </c>
      <c r="X401">
        <v>0.54545454545454541</v>
      </c>
      <c r="Y401">
        <v>0.45454545454545459</v>
      </c>
      <c r="Z401" t="s">
        <v>23</v>
      </c>
    </row>
    <row r="402" spans="1:26" hidden="1" x14ac:dyDescent="0.2">
      <c r="A402">
        <v>25</v>
      </c>
      <c r="B402" t="s">
        <v>28</v>
      </c>
      <c r="C402" s="10">
        <v>10000082</v>
      </c>
      <c r="D402" t="b">
        <v>1</v>
      </c>
      <c r="F402">
        <v>0</v>
      </c>
      <c r="G402">
        <v>0</v>
      </c>
      <c r="H402">
        <v>0</v>
      </c>
      <c r="I402">
        <v>0</v>
      </c>
      <c r="J402">
        <v>0.50625464102721385</v>
      </c>
      <c r="W402">
        <v>3.1666666666666679</v>
      </c>
      <c r="X402">
        <v>1</v>
      </c>
      <c r="Y402">
        <v>0</v>
      </c>
      <c r="Z402" t="s">
        <v>23</v>
      </c>
    </row>
    <row r="403" spans="1:26" hidden="1" x14ac:dyDescent="0.2">
      <c r="A403">
        <v>25</v>
      </c>
      <c r="B403" t="s">
        <v>34</v>
      </c>
      <c r="C403" s="10">
        <v>10000033</v>
      </c>
      <c r="D403" t="b">
        <v>0</v>
      </c>
      <c r="E403">
        <v>0</v>
      </c>
      <c r="F403">
        <v>0.23333333333333331</v>
      </c>
      <c r="G403">
        <v>0.23333333333333331</v>
      </c>
      <c r="H403">
        <v>0</v>
      </c>
      <c r="I403">
        <v>0.23333333333333331</v>
      </c>
      <c r="J403">
        <v>0</v>
      </c>
      <c r="K403">
        <v>0</v>
      </c>
      <c r="L403">
        <v>0.66446792606452432</v>
      </c>
      <c r="M403">
        <v>0.26476606745860809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5.8946390763530783</v>
      </c>
      <c r="X403">
        <v>0.26476606745860809</v>
      </c>
      <c r="Y403">
        <v>0.66446792606452432</v>
      </c>
      <c r="Z403" t="s">
        <v>24</v>
      </c>
    </row>
    <row r="404" spans="1:26" hidden="1" x14ac:dyDescent="0.2">
      <c r="A404">
        <v>25</v>
      </c>
      <c r="B404" t="s">
        <v>35</v>
      </c>
      <c r="C404" s="10">
        <v>10000082</v>
      </c>
      <c r="D404" t="b">
        <v>1</v>
      </c>
      <c r="F404">
        <v>0.35125946184523998</v>
      </c>
      <c r="G404">
        <v>0.53333333333333333</v>
      </c>
      <c r="H404">
        <v>0.35125946184523998</v>
      </c>
      <c r="I404">
        <v>0</v>
      </c>
      <c r="J404">
        <v>0</v>
      </c>
      <c r="W404">
        <v>4.2804786800913277</v>
      </c>
      <c r="X404">
        <v>1</v>
      </c>
      <c r="Y404">
        <v>0.53333333333333333</v>
      </c>
      <c r="Z404" t="s">
        <v>23</v>
      </c>
    </row>
    <row r="405" spans="1:26" hidden="1" x14ac:dyDescent="0.2">
      <c r="A405">
        <v>25</v>
      </c>
      <c r="B405" t="s">
        <v>35</v>
      </c>
      <c r="C405" s="10">
        <v>10000033</v>
      </c>
      <c r="D405" t="b">
        <v>0</v>
      </c>
      <c r="E405">
        <v>0</v>
      </c>
      <c r="F405">
        <v>0.2809278718144006</v>
      </c>
      <c r="G405">
        <v>0.56666666666666665</v>
      </c>
      <c r="H405">
        <v>0.19354838709677399</v>
      </c>
      <c r="I405">
        <v>0.3404821044440895</v>
      </c>
      <c r="J405">
        <v>0.19354838709677399</v>
      </c>
      <c r="K405">
        <v>0</v>
      </c>
      <c r="L405">
        <v>0.43333333333333329</v>
      </c>
      <c r="M405">
        <v>0.2809278718144006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4.6999244144928483</v>
      </c>
      <c r="X405">
        <v>0.56666666666666665</v>
      </c>
      <c r="Y405">
        <v>0.43333333333333329</v>
      </c>
      <c r="Z405" t="s">
        <v>23</v>
      </c>
    </row>
    <row r="406" spans="1:26" hidden="1" x14ac:dyDescent="0.2">
      <c r="A406">
        <v>25</v>
      </c>
      <c r="B406" t="s">
        <v>27</v>
      </c>
      <c r="C406" s="10">
        <v>10000082</v>
      </c>
      <c r="D406" t="b">
        <v>1</v>
      </c>
      <c r="F406">
        <v>0.35125946184523998</v>
      </c>
      <c r="G406">
        <v>0.64874053815476007</v>
      </c>
      <c r="H406">
        <v>0.16666666666666671</v>
      </c>
      <c r="I406">
        <v>0</v>
      </c>
      <c r="J406">
        <v>0</v>
      </c>
      <c r="W406">
        <v>4.4846715837726787</v>
      </c>
      <c r="X406">
        <v>1</v>
      </c>
      <c r="Y406">
        <v>0.64874053815476007</v>
      </c>
      <c r="Z406" t="s">
        <v>23</v>
      </c>
    </row>
    <row r="407" spans="1:26" hidden="1" x14ac:dyDescent="0.2">
      <c r="A407">
        <v>25</v>
      </c>
      <c r="B407" t="s">
        <v>35</v>
      </c>
      <c r="C407" s="10">
        <v>10000073</v>
      </c>
      <c r="D407" t="b">
        <v>0</v>
      </c>
      <c r="E407">
        <v>0.45683503696850969</v>
      </c>
      <c r="F407">
        <v>0</v>
      </c>
      <c r="G407">
        <v>0.54316496303149031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3.4217831800737</v>
      </c>
      <c r="X407">
        <v>0.54316496303149031</v>
      </c>
      <c r="Y407">
        <v>0</v>
      </c>
      <c r="Z407" t="s">
        <v>23</v>
      </c>
    </row>
    <row r="408" spans="1:26" hidden="1" x14ac:dyDescent="0.2">
      <c r="A408">
        <v>25</v>
      </c>
      <c r="B408" t="s">
        <v>27</v>
      </c>
      <c r="C408" s="10">
        <v>10000047</v>
      </c>
      <c r="D408" t="b">
        <v>0</v>
      </c>
      <c r="E408">
        <v>0</v>
      </c>
      <c r="F408">
        <v>0</v>
      </c>
      <c r="G408">
        <v>0</v>
      </c>
      <c r="H408">
        <v>0</v>
      </c>
      <c r="I408">
        <v>0.68457687198284856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6.6620081635023309</v>
      </c>
      <c r="X408">
        <v>0</v>
      </c>
      <c r="Y408">
        <v>0.68457687198284856</v>
      </c>
      <c r="Z408" t="s">
        <v>24</v>
      </c>
    </row>
    <row r="409" spans="1:26" hidden="1" x14ac:dyDescent="0.2">
      <c r="A409">
        <v>25</v>
      </c>
      <c r="B409" t="s">
        <v>35</v>
      </c>
      <c r="C409" s="10">
        <v>10000047</v>
      </c>
      <c r="D409" t="b">
        <v>0</v>
      </c>
      <c r="E409">
        <v>0.46153846153846151</v>
      </c>
      <c r="F409">
        <v>0</v>
      </c>
      <c r="G409">
        <v>0</v>
      </c>
      <c r="H409">
        <v>0</v>
      </c>
      <c r="I409">
        <v>0.53846153846153855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5.1794118428000537</v>
      </c>
      <c r="X409">
        <v>0.46153846153846151</v>
      </c>
      <c r="Y409">
        <v>0.53846153846153855</v>
      </c>
      <c r="Z409" t="s">
        <v>24</v>
      </c>
    </row>
    <row r="410" spans="1:26" hidden="1" x14ac:dyDescent="0.2">
      <c r="A410">
        <v>26</v>
      </c>
      <c r="B410" t="s">
        <v>32</v>
      </c>
      <c r="C410" s="10">
        <v>10000033</v>
      </c>
      <c r="D410" t="b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0.30882977802696898</v>
      </c>
      <c r="Q410">
        <v>0</v>
      </c>
      <c r="R410">
        <v>4.9703645214750881E-2</v>
      </c>
      <c r="S410">
        <v>0</v>
      </c>
      <c r="T410">
        <v>4.9703645214750881E-2</v>
      </c>
      <c r="U410">
        <v>0</v>
      </c>
      <c r="V410">
        <v>0.69117022197303091</v>
      </c>
      <c r="W410">
        <v>6.5203939470103336</v>
      </c>
      <c r="X410">
        <v>4.9703645214750881E-2</v>
      </c>
      <c r="Y410">
        <v>0.69117022197303091</v>
      </c>
      <c r="Z410" t="s">
        <v>24</v>
      </c>
    </row>
    <row r="411" spans="1:26" hidden="1" x14ac:dyDescent="0.2">
      <c r="A411">
        <v>26</v>
      </c>
      <c r="B411" t="s">
        <v>26</v>
      </c>
      <c r="C411" s="10">
        <v>10000082</v>
      </c>
      <c r="D411" t="b">
        <v>1</v>
      </c>
      <c r="F411">
        <v>0</v>
      </c>
      <c r="G411">
        <v>0</v>
      </c>
      <c r="H411">
        <v>0</v>
      </c>
      <c r="I411">
        <v>0</v>
      </c>
      <c r="J411">
        <v>0.69445577371516642</v>
      </c>
      <c r="W411">
        <v>3.1666666666666679</v>
      </c>
      <c r="X411">
        <v>1</v>
      </c>
      <c r="Y411">
        <v>0</v>
      </c>
      <c r="Z411" t="s">
        <v>23</v>
      </c>
    </row>
    <row r="412" spans="1:26" hidden="1" x14ac:dyDescent="0.2">
      <c r="A412">
        <v>26</v>
      </c>
      <c r="B412" t="s">
        <v>26</v>
      </c>
      <c r="C412" s="10">
        <v>10000033</v>
      </c>
      <c r="D412" t="b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0.30003898682316121</v>
      </c>
      <c r="Q412">
        <v>0</v>
      </c>
      <c r="R412">
        <v>0.10153322515414311</v>
      </c>
      <c r="S412">
        <v>0</v>
      </c>
      <c r="T412">
        <v>0.10153322515414311</v>
      </c>
      <c r="U412">
        <v>0</v>
      </c>
      <c r="V412">
        <v>0.69996101317683879</v>
      </c>
      <c r="W412">
        <v>6.3796196914950052</v>
      </c>
      <c r="X412">
        <v>0.10153322515414311</v>
      </c>
      <c r="Y412">
        <v>0.69996101317683879</v>
      </c>
      <c r="Z412" t="s">
        <v>24</v>
      </c>
    </row>
    <row r="413" spans="1:26" hidden="1" x14ac:dyDescent="0.2">
      <c r="A413">
        <v>26</v>
      </c>
      <c r="B413" t="s">
        <v>30</v>
      </c>
      <c r="C413" s="10">
        <v>10000082</v>
      </c>
      <c r="D413" t="b">
        <v>1</v>
      </c>
      <c r="F413">
        <v>0</v>
      </c>
      <c r="G413">
        <v>0</v>
      </c>
      <c r="H413">
        <v>0</v>
      </c>
      <c r="I413">
        <v>0</v>
      </c>
      <c r="J413">
        <v>0.69445577371516642</v>
      </c>
      <c r="W413">
        <v>3.1666666666666679</v>
      </c>
      <c r="X413">
        <v>1</v>
      </c>
      <c r="Y413">
        <v>0</v>
      </c>
      <c r="Z413" t="s">
        <v>23</v>
      </c>
    </row>
    <row r="414" spans="1:26" hidden="1" x14ac:dyDescent="0.2">
      <c r="A414">
        <v>26</v>
      </c>
      <c r="B414" t="s">
        <v>30</v>
      </c>
      <c r="C414" s="10">
        <v>10000047</v>
      </c>
      <c r="D414" t="b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0.76961480846461516</v>
      </c>
      <c r="P414">
        <v>0</v>
      </c>
      <c r="Q414">
        <v>0.23038519153538481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6.1091300142613481</v>
      </c>
      <c r="X414">
        <v>0.23038519153538481</v>
      </c>
      <c r="Y414">
        <v>0.76961480846461516</v>
      </c>
      <c r="Z414" t="s">
        <v>24</v>
      </c>
    </row>
    <row r="415" spans="1:26" hidden="1" x14ac:dyDescent="0.2">
      <c r="A415">
        <v>26</v>
      </c>
      <c r="B415" t="s">
        <v>29</v>
      </c>
      <c r="C415" s="10">
        <v>10000033</v>
      </c>
      <c r="D415" t="b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0.2886256707904255</v>
      </c>
      <c r="Q415">
        <v>0</v>
      </c>
      <c r="R415">
        <v>0.1436120082670338</v>
      </c>
      <c r="S415">
        <v>0</v>
      </c>
      <c r="T415">
        <v>0.1436120082670338</v>
      </c>
      <c r="U415">
        <v>0</v>
      </c>
      <c r="V415">
        <v>0.71137432920957444</v>
      </c>
      <c r="W415">
        <v>6.2739122891814736</v>
      </c>
      <c r="X415">
        <v>0.1436120082670338</v>
      </c>
      <c r="Y415">
        <v>0.71137432920957444</v>
      </c>
      <c r="Z415" t="s">
        <v>24</v>
      </c>
    </row>
    <row r="416" spans="1:26" hidden="1" x14ac:dyDescent="0.2">
      <c r="A416">
        <v>26</v>
      </c>
      <c r="B416" t="s">
        <v>33</v>
      </c>
      <c r="C416" s="10">
        <v>10000082</v>
      </c>
      <c r="D416" t="b">
        <v>1</v>
      </c>
      <c r="F416">
        <v>0</v>
      </c>
      <c r="G416">
        <v>0</v>
      </c>
      <c r="H416">
        <v>0</v>
      </c>
      <c r="I416">
        <v>1</v>
      </c>
      <c r="J416">
        <v>0</v>
      </c>
      <c r="W416">
        <v>5.0025004164584352</v>
      </c>
      <c r="X416">
        <v>1</v>
      </c>
      <c r="Y416">
        <v>1</v>
      </c>
      <c r="Z416" t="s">
        <v>23</v>
      </c>
    </row>
    <row r="417" spans="1:26" hidden="1" x14ac:dyDescent="0.2">
      <c r="A417">
        <v>26</v>
      </c>
      <c r="B417" t="s">
        <v>31</v>
      </c>
      <c r="C417" s="10">
        <v>10000033</v>
      </c>
      <c r="D417" t="b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0.28760312450551268</v>
      </c>
      <c r="Q417">
        <v>0</v>
      </c>
      <c r="R417">
        <v>0.28760312450551268</v>
      </c>
      <c r="S417">
        <v>0</v>
      </c>
      <c r="T417">
        <v>0.32070936192771821</v>
      </c>
      <c r="U417">
        <v>0</v>
      </c>
      <c r="V417">
        <v>0.67929063807228185</v>
      </c>
      <c r="W417">
        <v>5.7717166717617792</v>
      </c>
      <c r="X417">
        <v>0.32070936192771821</v>
      </c>
      <c r="Y417">
        <v>0.67929063807228185</v>
      </c>
      <c r="Z417" t="s">
        <v>24</v>
      </c>
    </row>
    <row r="418" spans="1:26" hidden="1" x14ac:dyDescent="0.2">
      <c r="A418">
        <v>26</v>
      </c>
      <c r="B418" t="s">
        <v>33</v>
      </c>
      <c r="C418" s="10">
        <v>10000047</v>
      </c>
      <c r="D418" t="b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0.58490049355386853</v>
      </c>
      <c r="P418">
        <v>0</v>
      </c>
      <c r="Q418">
        <v>0.41509950644613153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5.384111916223068</v>
      </c>
      <c r="X418">
        <v>0.41509950644613153</v>
      </c>
      <c r="Y418">
        <v>0.58490049355386853</v>
      </c>
      <c r="Z418" t="s">
        <v>24</v>
      </c>
    </row>
    <row r="419" spans="1:26" hidden="1" x14ac:dyDescent="0.2">
      <c r="A419">
        <v>26</v>
      </c>
      <c r="B419" t="s">
        <v>34</v>
      </c>
      <c r="C419" s="10">
        <v>10000082</v>
      </c>
      <c r="D419" t="b">
        <v>1</v>
      </c>
      <c r="F419">
        <v>0</v>
      </c>
      <c r="G419">
        <v>0.83333333333333337</v>
      </c>
      <c r="H419">
        <v>0</v>
      </c>
      <c r="I419">
        <v>0.16666666666666671</v>
      </c>
      <c r="J419">
        <v>0</v>
      </c>
      <c r="W419">
        <v>4.7764762020634493</v>
      </c>
      <c r="X419">
        <v>1</v>
      </c>
      <c r="Y419">
        <v>0.83333333333333337</v>
      </c>
      <c r="Z419" t="s">
        <v>23</v>
      </c>
    </row>
    <row r="420" spans="1:26" hidden="1" x14ac:dyDescent="0.2">
      <c r="A420">
        <v>26</v>
      </c>
      <c r="B420" t="s">
        <v>34</v>
      </c>
      <c r="C420" s="10">
        <v>10000033</v>
      </c>
      <c r="D420" t="b">
        <v>0</v>
      </c>
      <c r="E420">
        <v>0</v>
      </c>
      <c r="F420">
        <v>0</v>
      </c>
      <c r="G420">
        <v>0</v>
      </c>
      <c r="H420">
        <v>0.1333333333333333</v>
      </c>
      <c r="I420">
        <v>0</v>
      </c>
      <c r="J420">
        <v>0.1333333333333333</v>
      </c>
      <c r="K420">
        <v>0</v>
      </c>
      <c r="L420">
        <v>0.65142126452965765</v>
      </c>
      <c r="M420">
        <v>0.34857873547034229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5.6611153537442602</v>
      </c>
      <c r="X420">
        <v>0.34857873547034229</v>
      </c>
      <c r="Y420">
        <v>0.65142126452965765</v>
      </c>
      <c r="Z420" t="s">
        <v>24</v>
      </c>
    </row>
    <row r="421" spans="1:26" hidden="1" x14ac:dyDescent="0.2">
      <c r="A421">
        <v>26</v>
      </c>
      <c r="B421" t="s">
        <v>27</v>
      </c>
      <c r="C421" s="10">
        <v>10000082</v>
      </c>
      <c r="D421" t="b">
        <v>1</v>
      </c>
      <c r="F421">
        <v>0</v>
      </c>
      <c r="G421">
        <v>1</v>
      </c>
      <c r="H421">
        <v>0</v>
      </c>
      <c r="I421">
        <v>0</v>
      </c>
      <c r="J421">
        <v>0</v>
      </c>
      <c r="W421">
        <v>5.0025004164584352</v>
      </c>
      <c r="X421">
        <v>1</v>
      </c>
      <c r="Y421">
        <v>1</v>
      </c>
      <c r="Z421" t="s">
        <v>23</v>
      </c>
    </row>
    <row r="422" spans="1:26" hidden="1" x14ac:dyDescent="0.2">
      <c r="A422">
        <v>26</v>
      </c>
      <c r="B422" t="s">
        <v>27</v>
      </c>
      <c r="C422" s="10">
        <v>10000033</v>
      </c>
      <c r="D422" t="b">
        <v>0</v>
      </c>
      <c r="E422">
        <v>0</v>
      </c>
      <c r="F422">
        <v>0</v>
      </c>
      <c r="G422">
        <v>0</v>
      </c>
      <c r="H422">
        <v>0.70383141621510137</v>
      </c>
      <c r="I422">
        <v>0</v>
      </c>
      <c r="J422">
        <v>0.29616858378489858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6.6729238701033111</v>
      </c>
      <c r="X422">
        <v>0</v>
      </c>
      <c r="Y422">
        <v>0.70383141621510137</v>
      </c>
      <c r="Z422" t="s">
        <v>24</v>
      </c>
    </row>
    <row r="423" spans="1:26" hidden="1" x14ac:dyDescent="0.2">
      <c r="A423">
        <v>26</v>
      </c>
      <c r="B423" t="s">
        <v>35</v>
      </c>
      <c r="C423" s="10">
        <v>10000082</v>
      </c>
      <c r="D423" t="b">
        <v>1</v>
      </c>
      <c r="F423">
        <v>0</v>
      </c>
      <c r="G423">
        <v>1</v>
      </c>
      <c r="H423">
        <v>0</v>
      </c>
      <c r="I423">
        <v>0</v>
      </c>
      <c r="J423">
        <v>0</v>
      </c>
      <c r="W423">
        <v>5.0025004164584352</v>
      </c>
      <c r="X423">
        <v>1</v>
      </c>
      <c r="Y423">
        <v>1</v>
      </c>
      <c r="Z423" t="s">
        <v>23</v>
      </c>
    </row>
    <row r="424" spans="1:26" hidden="1" x14ac:dyDescent="0.2">
      <c r="A424">
        <v>26</v>
      </c>
      <c r="B424" t="s">
        <v>28</v>
      </c>
      <c r="C424" s="10">
        <v>10000047</v>
      </c>
      <c r="D424" t="b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3.1666666666666679</v>
      </c>
      <c r="X424">
        <v>1</v>
      </c>
      <c r="Y424">
        <v>0</v>
      </c>
      <c r="Z424" t="s">
        <v>23</v>
      </c>
    </row>
    <row r="425" spans="1:26" hidden="1" x14ac:dyDescent="0.2">
      <c r="A425">
        <v>26</v>
      </c>
      <c r="B425" t="s">
        <v>35</v>
      </c>
      <c r="C425" s="10">
        <v>10000073</v>
      </c>
      <c r="D425" t="b">
        <v>1</v>
      </c>
      <c r="E425">
        <v>0</v>
      </c>
      <c r="F425">
        <v>0</v>
      </c>
      <c r="G425">
        <v>0.502311840941149</v>
      </c>
      <c r="H425">
        <v>0</v>
      </c>
      <c r="I425">
        <v>0</v>
      </c>
      <c r="J425">
        <v>0</v>
      </c>
      <c r="W425">
        <v>6.5568949264849312</v>
      </c>
      <c r="X425">
        <v>0</v>
      </c>
      <c r="Y425">
        <v>0.502311840941149</v>
      </c>
      <c r="Z425" t="s">
        <v>24</v>
      </c>
    </row>
    <row r="426" spans="1:26" hidden="1" x14ac:dyDescent="0.2">
      <c r="A426">
        <v>26</v>
      </c>
      <c r="B426" t="s">
        <v>28</v>
      </c>
      <c r="C426" s="10">
        <v>10000033</v>
      </c>
      <c r="D426" t="b">
        <v>0</v>
      </c>
      <c r="E426">
        <v>0</v>
      </c>
      <c r="F426">
        <v>0</v>
      </c>
      <c r="G426">
        <v>0</v>
      </c>
      <c r="H426">
        <v>0.68938248415734626</v>
      </c>
      <c r="I426">
        <v>0</v>
      </c>
      <c r="J426">
        <v>0.31061751584265368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6.6647373309661146</v>
      </c>
      <c r="X426">
        <v>0</v>
      </c>
      <c r="Y426">
        <v>0.68938248415734626</v>
      </c>
      <c r="Z426" t="s">
        <v>24</v>
      </c>
    </row>
    <row r="427" spans="1:26" hidden="1" x14ac:dyDescent="0.2">
      <c r="A427">
        <v>27</v>
      </c>
      <c r="B427" t="s">
        <v>28</v>
      </c>
      <c r="C427" s="10">
        <v>10000033</v>
      </c>
      <c r="D427" t="b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0.30882977802696898</v>
      </c>
      <c r="Q427">
        <v>0</v>
      </c>
      <c r="R427">
        <v>4.4040204288253733E-2</v>
      </c>
      <c r="S427">
        <v>0</v>
      </c>
      <c r="T427">
        <v>4.4040204288253733E-2</v>
      </c>
      <c r="U427">
        <v>0</v>
      </c>
      <c r="V427">
        <v>0.69117022197303091</v>
      </c>
      <c r="W427">
        <v>6.536825007460628</v>
      </c>
      <c r="X427">
        <v>4.4040204288253733E-2</v>
      </c>
      <c r="Y427">
        <v>0.69117022197303091</v>
      </c>
      <c r="Z427" t="s">
        <v>24</v>
      </c>
    </row>
    <row r="428" spans="1:26" hidden="1" x14ac:dyDescent="0.2">
      <c r="A428">
        <v>27</v>
      </c>
      <c r="B428" t="s">
        <v>27</v>
      </c>
      <c r="C428" s="10">
        <v>10000082</v>
      </c>
      <c r="D428" t="b">
        <v>1</v>
      </c>
      <c r="F428">
        <v>0</v>
      </c>
      <c r="G428">
        <v>0</v>
      </c>
      <c r="H428">
        <v>0</v>
      </c>
      <c r="I428">
        <v>0.9996571804645058</v>
      </c>
      <c r="J428">
        <v>0.37735783324649552</v>
      </c>
      <c r="W428">
        <v>5.0020716044894176</v>
      </c>
      <c r="X428">
        <v>1</v>
      </c>
      <c r="Y428">
        <v>0.9996571804645058</v>
      </c>
      <c r="Z428" t="s">
        <v>23</v>
      </c>
    </row>
    <row r="429" spans="1:26" hidden="1" x14ac:dyDescent="0.2">
      <c r="A429">
        <v>27</v>
      </c>
      <c r="B429" t="s">
        <v>29</v>
      </c>
      <c r="C429" s="10">
        <v>10000033</v>
      </c>
      <c r="D429" t="b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0.30484494861469258</v>
      </c>
      <c r="Q429">
        <v>0</v>
      </c>
      <c r="R429">
        <v>0.28850856886126441</v>
      </c>
      <c r="S429">
        <v>0</v>
      </c>
      <c r="T429">
        <v>0.28850856886126441</v>
      </c>
      <c r="U429">
        <v>0</v>
      </c>
      <c r="V429">
        <v>0.69515505138530742</v>
      </c>
      <c r="W429">
        <v>5.8743007716808089</v>
      </c>
      <c r="X429">
        <v>0.28850856886126441</v>
      </c>
      <c r="Y429">
        <v>0.69515505138530742</v>
      </c>
      <c r="Z429" t="s">
        <v>24</v>
      </c>
    </row>
    <row r="430" spans="1:26" hidden="1" x14ac:dyDescent="0.2">
      <c r="A430">
        <v>27</v>
      </c>
      <c r="B430" t="s">
        <v>26</v>
      </c>
      <c r="C430" s="10">
        <v>10000033</v>
      </c>
      <c r="D430" t="b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0.1333333333333333</v>
      </c>
      <c r="Q430">
        <v>0.28656038885554957</v>
      </c>
      <c r="R430">
        <v>0.1333333333333333</v>
      </c>
      <c r="S430">
        <v>0</v>
      </c>
      <c r="T430">
        <v>0.28850856886126441</v>
      </c>
      <c r="U430">
        <v>0</v>
      </c>
      <c r="V430">
        <v>0.71149143113873559</v>
      </c>
      <c r="W430">
        <v>5.8956368925607734</v>
      </c>
      <c r="X430">
        <v>0.28850856886126441</v>
      </c>
      <c r="Y430">
        <v>0.71149143113873559</v>
      </c>
      <c r="Z430" t="s">
        <v>24</v>
      </c>
    </row>
    <row r="431" spans="1:26" hidden="1" x14ac:dyDescent="0.2">
      <c r="A431">
        <v>27</v>
      </c>
      <c r="B431" t="s">
        <v>26</v>
      </c>
      <c r="C431" s="10">
        <v>10000082</v>
      </c>
      <c r="D431" t="b">
        <v>1</v>
      </c>
      <c r="F431">
        <v>0</v>
      </c>
      <c r="G431">
        <v>0</v>
      </c>
      <c r="H431">
        <v>0</v>
      </c>
      <c r="I431">
        <v>0.9996571804645058</v>
      </c>
      <c r="J431">
        <v>0.37735783324649552</v>
      </c>
      <c r="W431">
        <v>5.0020716044894176</v>
      </c>
      <c r="X431">
        <v>1</v>
      </c>
      <c r="Y431">
        <v>0.9996571804645058</v>
      </c>
      <c r="Z431" t="s">
        <v>23</v>
      </c>
    </row>
    <row r="432" spans="1:26" hidden="1" x14ac:dyDescent="0.2">
      <c r="A432">
        <v>27</v>
      </c>
      <c r="B432" t="s">
        <v>27</v>
      </c>
      <c r="C432" s="10">
        <v>10000047</v>
      </c>
      <c r="D432" t="b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0.66307930317421537</v>
      </c>
      <c r="P432">
        <v>0</v>
      </c>
      <c r="Q432">
        <v>0.33692069682578463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5.7077640170431048</v>
      </c>
      <c r="X432">
        <v>0.33692069682578463</v>
      </c>
      <c r="Y432">
        <v>0.66307930317421537</v>
      </c>
      <c r="Z432" t="s">
        <v>24</v>
      </c>
    </row>
    <row r="433" spans="1:26" hidden="1" x14ac:dyDescent="0.2">
      <c r="A433">
        <v>27</v>
      </c>
      <c r="B433" t="s">
        <v>32</v>
      </c>
      <c r="C433" s="10">
        <v>10000033</v>
      </c>
      <c r="D433" t="b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0.28952081784464212</v>
      </c>
      <c r="R433">
        <v>0</v>
      </c>
      <c r="S433">
        <v>0.22222222222222229</v>
      </c>
      <c r="T433">
        <v>0.31537187925578553</v>
      </c>
      <c r="U433">
        <v>0</v>
      </c>
      <c r="V433">
        <v>0.68462812074421453</v>
      </c>
      <c r="W433">
        <v>5.7925416169395056</v>
      </c>
      <c r="X433">
        <v>0.31537187925578553</v>
      </c>
      <c r="Y433">
        <v>0.68462812074421453</v>
      </c>
      <c r="Z433" t="s">
        <v>24</v>
      </c>
    </row>
    <row r="434" spans="1:26" hidden="1" x14ac:dyDescent="0.2">
      <c r="A434">
        <v>27</v>
      </c>
      <c r="B434" t="s">
        <v>32</v>
      </c>
      <c r="C434" s="10">
        <v>10000047</v>
      </c>
      <c r="D434" t="b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0.64068298808040614</v>
      </c>
      <c r="P434">
        <v>0</v>
      </c>
      <c r="Q434">
        <v>0.35931701191959381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5.6176540769581331</v>
      </c>
      <c r="X434">
        <v>0.35931701191959381</v>
      </c>
      <c r="Y434">
        <v>0.64068298808040614</v>
      </c>
      <c r="Z434" t="s">
        <v>24</v>
      </c>
    </row>
    <row r="435" spans="1:26" hidden="1" x14ac:dyDescent="0.2">
      <c r="A435">
        <v>27</v>
      </c>
      <c r="B435" t="s">
        <v>33</v>
      </c>
      <c r="C435" s="10">
        <v>10000073</v>
      </c>
      <c r="D435" t="b">
        <v>1</v>
      </c>
      <c r="E435">
        <v>0</v>
      </c>
      <c r="F435">
        <v>0</v>
      </c>
      <c r="G435">
        <v>0</v>
      </c>
      <c r="H435">
        <v>0</v>
      </c>
      <c r="I435">
        <v>0.58318089585183785</v>
      </c>
      <c r="J435">
        <v>0.41681910414816209</v>
      </c>
      <c r="W435">
        <v>5.376701360310201</v>
      </c>
      <c r="X435">
        <v>0.41681910414816209</v>
      </c>
      <c r="Y435">
        <v>0.58318089585183785</v>
      </c>
      <c r="Z435" t="s">
        <v>24</v>
      </c>
    </row>
    <row r="436" spans="1:26" hidden="1" x14ac:dyDescent="0.2">
      <c r="A436">
        <v>27</v>
      </c>
      <c r="B436" t="s">
        <v>35</v>
      </c>
      <c r="C436" s="10">
        <v>10000073</v>
      </c>
      <c r="D436" t="b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0.41441956258483498</v>
      </c>
      <c r="P436">
        <v>0</v>
      </c>
      <c r="Q436">
        <v>0.41441956258483498</v>
      </c>
      <c r="R436">
        <v>0</v>
      </c>
      <c r="S436">
        <v>0.41681910414816209</v>
      </c>
      <c r="T436">
        <v>0</v>
      </c>
      <c r="U436">
        <v>0.58318089585183785</v>
      </c>
      <c r="V436">
        <v>0</v>
      </c>
      <c r="W436">
        <v>5.376701360310201</v>
      </c>
      <c r="X436">
        <v>0.41681910414816209</v>
      </c>
      <c r="Y436">
        <v>0.58318089585183785</v>
      </c>
      <c r="Z436" t="s">
        <v>24</v>
      </c>
    </row>
    <row r="437" spans="1:26" hidden="1" x14ac:dyDescent="0.2">
      <c r="A437">
        <v>27</v>
      </c>
      <c r="B437" t="s">
        <v>30</v>
      </c>
      <c r="C437" s="10">
        <v>10000082</v>
      </c>
      <c r="D437" t="b">
        <v>1</v>
      </c>
      <c r="F437">
        <v>0</v>
      </c>
      <c r="G437">
        <v>0.46666666666666667</v>
      </c>
      <c r="H437">
        <v>0</v>
      </c>
      <c r="I437">
        <v>0.32739926030849259</v>
      </c>
      <c r="J437">
        <v>0.53333333333333333</v>
      </c>
      <c r="W437">
        <v>4.1552762801599767</v>
      </c>
      <c r="X437">
        <v>1</v>
      </c>
      <c r="Y437">
        <v>0.46666666666666667</v>
      </c>
      <c r="Z437" t="s">
        <v>23</v>
      </c>
    </row>
    <row r="438" spans="1:26" hidden="1" x14ac:dyDescent="0.2">
      <c r="A438">
        <v>27</v>
      </c>
      <c r="B438" t="s">
        <v>30</v>
      </c>
      <c r="C438" s="10">
        <v>10000073</v>
      </c>
      <c r="D438" t="b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0.53333333333333333</v>
      </c>
      <c r="L438">
        <v>0</v>
      </c>
      <c r="M438">
        <v>0</v>
      </c>
      <c r="N438">
        <v>0</v>
      </c>
      <c r="O438">
        <v>0.42120235713054133</v>
      </c>
      <c r="P438">
        <v>0</v>
      </c>
      <c r="Q438">
        <v>0.418233166455377</v>
      </c>
      <c r="R438">
        <v>0</v>
      </c>
      <c r="S438">
        <v>0.418233166455377</v>
      </c>
      <c r="T438">
        <v>0</v>
      </c>
      <c r="U438">
        <v>0.46666666666666667</v>
      </c>
      <c r="V438">
        <v>0</v>
      </c>
      <c r="W438">
        <v>4.8486928666623932</v>
      </c>
      <c r="X438">
        <v>0.53333333333333333</v>
      </c>
      <c r="Y438">
        <v>0.46666666666666667</v>
      </c>
      <c r="Z438" t="s">
        <v>23</v>
      </c>
    </row>
    <row r="439" spans="1:26" hidden="1" x14ac:dyDescent="0.2">
      <c r="A439">
        <v>27</v>
      </c>
      <c r="B439" t="s">
        <v>30</v>
      </c>
      <c r="C439" s="10">
        <v>10000033</v>
      </c>
      <c r="D439" t="b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0.67503050715869917</v>
      </c>
      <c r="M439">
        <v>0.32496949284130089</v>
      </c>
      <c r="N439">
        <v>0</v>
      </c>
      <c r="O439">
        <v>0</v>
      </c>
      <c r="P439">
        <v>6.6666666666666666E-2</v>
      </c>
      <c r="Q439">
        <v>6.6666666666666666E-2</v>
      </c>
      <c r="R439">
        <v>6.6666666666666666E-2</v>
      </c>
      <c r="S439">
        <v>0</v>
      </c>
      <c r="T439">
        <v>6.6666666666666666E-2</v>
      </c>
      <c r="U439">
        <v>0</v>
      </c>
      <c r="V439">
        <v>6.6666666666666666E-2</v>
      </c>
      <c r="W439">
        <v>5.7550131954841239</v>
      </c>
      <c r="X439">
        <v>0.32496949284130089</v>
      </c>
      <c r="Y439">
        <v>0.67503050715869917</v>
      </c>
      <c r="Z439" t="s">
        <v>24</v>
      </c>
    </row>
    <row r="440" spans="1:26" hidden="1" x14ac:dyDescent="0.2">
      <c r="A440">
        <v>27</v>
      </c>
      <c r="B440" t="s">
        <v>34</v>
      </c>
      <c r="C440" s="10">
        <v>10000082</v>
      </c>
      <c r="D440" t="b">
        <v>1</v>
      </c>
      <c r="F440">
        <v>0</v>
      </c>
      <c r="G440">
        <v>0.66666666666666663</v>
      </c>
      <c r="H440">
        <v>0</v>
      </c>
      <c r="I440">
        <v>0</v>
      </c>
      <c r="J440">
        <v>0</v>
      </c>
      <c r="W440">
        <v>4.5149105270526677</v>
      </c>
      <c r="X440">
        <v>1</v>
      </c>
      <c r="Y440">
        <v>0.66666666666666663</v>
      </c>
      <c r="Z440" t="s">
        <v>23</v>
      </c>
    </row>
    <row r="441" spans="1:26" hidden="1" x14ac:dyDescent="0.2">
      <c r="A441">
        <v>27</v>
      </c>
      <c r="B441" t="s">
        <v>31</v>
      </c>
      <c r="C441" s="10">
        <v>10000082</v>
      </c>
      <c r="D441" t="b">
        <v>1</v>
      </c>
      <c r="F441">
        <v>0</v>
      </c>
      <c r="G441">
        <v>0.6333333333333333</v>
      </c>
      <c r="H441">
        <v>0</v>
      </c>
      <c r="I441">
        <v>0</v>
      </c>
      <c r="J441">
        <v>0</v>
      </c>
      <c r="W441">
        <v>4.4583601773109693</v>
      </c>
      <c r="X441">
        <v>1</v>
      </c>
      <c r="Y441">
        <v>0.6333333333333333</v>
      </c>
      <c r="Z441" t="s">
        <v>23</v>
      </c>
    </row>
    <row r="442" spans="1:26" hidden="1" x14ac:dyDescent="0.2">
      <c r="A442">
        <v>27</v>
      </c>
      <c r="B442" t="s">
        <v>34</v>
      </c>
      <c r="C442" s="10">
        <v>10000033</v>
      </c>
      <c r="D442" t="b">
        <v>0</v>
      </c>
      <c r="E442">
        <v>0</v>
      </c>
      <c r="F442">
        <v>0.29972758195101262</v>
      </c>
      <c r="G442">
        <v>0.66666666666666663</v>
      </c>
      <c r="H442">
        <v>0.26086956521739108</v>
      </c>
      <c r="I442">
        <v>0.29972758195101262</v>
      </c>
      <c r="J442">
        <v>0.26086956521739108</v>
      </c>
      <c r="K442">
        <v>0</v>
      </c>
      <c r="L442">
        <v>0.33333333333333331</v>
      </c>
      <c r="M442">
        <v>0.32851433030130223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4.2823877535118076</v>
      </c>
      <c r="X442">
        <v>0.66666666666666663</v>
      </c>
      <c r="Y442">
        <v>0.33333333333333331</v>
      </c>
      <c r="Z442" t="s">
        <v>23</v>
      </c>
    </row>
    <row r="443" spans="1:26" hidden="1" x14ac:dyDescent="0.2">
      <c r="A443">
        <v>27</v>
      </c>
      <c r="B443" t="s">
        <v>31</v>
      </c>
      <c r="C443" s="10">
        <v>10000033</v>
      </c>
      <c r="D443" t="b">
        <v>0</v>
      </c>
      <c r="E443">
        <v>0</v>
      </c>
      <c r="F443">
        <v>0.29972758195101262</v>
      </c>
      <c r="G443">
        <v>0.70027241804898743</v>
      </c>
      <c r="H443">
        <v>0.26086956521739108</v>
      </c>
      <c r="I443">
        <v>0.29972758195101262</v>
      </c>
      <c r="J443">
        <v>0.26086956521739108</v>
      </c>
      <c r="K443">
        <v>0</v>
      </c>
      <c r="L443">
        <v>0.2</v>
      </c>
      <c r="M443">
        <v>0.2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4.1513089830444274</v>
      </c>
      <c r="X443">
        <v>0.70027241804898743</v>
      </c>
      <c r="Y443">
        <v>0.29972758195101262</v>
      </c>
      <c r="Z443" t="s">
        <v>23</v>
      </c>
    </row>
    <row r="444" spans="1:26" hidden="1" x14ac:dyDescent="0.2">
      <c r="A444">
        <v>27</v>
      </c>
      <c r="B444" t="s">
        <v>31</v>
      </c>
      <c r="C444" s="10">
        <v>10000073</v>
      </c>
      <c r="D444" t="b">
        <v>0</v>
      </c>
      <c r="E444">
        <v>0.42134925364516063</v>
      </c>
      <c r="F444">
        <v>0</v>
      </c>
      <c r="G444">
        <v>0.57865074635483937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3.4012074692644658</v>
      </c>
      <c r="X444">
        <v>0.57865074635483937</v>
      </c>
      <c r="Y444">
        <v>0</v>
      </c>
      <c r="Z444" t="s">
        <v>23</v>
      </c>
    </row>
    <row r="445" spans="1:26" hidden="1" x14ac:dyDescent="0.2">
      <c r="A445">
        <v>27</v>
      </c>
      <c r="B445" t="s">
        <v>31</v>
      </c>
      <c r="C445" s="10">
        <v>10000047</v>
      </c>
      <c r="D445" t="b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3.1666666666666679</v>
      </c>
      <c r="X445">
        <v>1</v>
      </c>
      <c r="Y445">
        <v>0</v>
      </c>
      <c r="Z445" t="s">
        <v>23</v>
      </c>
    </row>
    <row r="446" spans="1:26" hidden="1" x14ac:dyDescent="0.2">
      <c r="A446">
        <v>27</v>
      </c>
      <c r="B446" t="s">
        <v>34</v>
      </c>
      <c r="C446" s="10">
        <v>10000047</v>
      </c>
      <c r="D446" t="b">
        <v>0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3.1666666666666679</v>
      </c>
      <c r="X446">
        <v>1</v>
      </c>
      <c r="Y446">
        <v>0</v>
      </c>
      <c r="Z446" t="s">
        <v>23</v>
      </c>
    </row>
    <row r="447" spans="1:26" hidden="1" x14ac:dyDescent="0.2">
      <c r="A447">
        <v>27</v>
      </c>
      <c r="B447" t="s">
        <v>34</v>
      </c>
      <c r="C447" s="10">
        <v>10000073</v>
      </c>
      <c r="D447" t="b">
        <v>0</v>
      </c>
      <c r="E447">
        <v>0.41806241828966151</v>
      </c>
      <c r="F447">
        <v>0</v>
      </c>
      <c r="G447">
        <v>0.5819375817103386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3.399307354683935</v>
      </c>
      <c r="X447">
        <v>0.5819375817103386</v>
      </c>
      <c r="Y447">
        <v>0</v>
      </c>
      <c r="Z447" t="s">
        <v>23</v>
      </c>
    </row>
    <row r="448" spans="1:26" hidden="1" x14ac:dyDescent="0.2">
      <c r="A448">
        <v>28</v>
      </c>
      <c r="B448" t="s">
        <v>35</v>
      </c>
      <c r="C448" s="10">
        <v>10000033</v>
      </c>
      <c r="D448" t="b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0.30882977802696898</v>
      </c>
      <c r="Q448">
        <v>0</v>
      </c>
      <c r="R448">
        <v>9.6092130179400978E-2</v>
      </c>
      <c r="S448">
        <v>0</v>
      </c>
      <c r="T448">
        <v>9.6092130179400978E-2</v>
      </c>
      <c r="U448">
        <v>0</v>
      </c>
      <c r="V448">
        <v>0.69117022197303091</v>
      </c>
      <c r="W448">
        <v>6.3873067983120251</v>
      </c>
      <c r="X448">
        <v>9.6092130179400978E-2</v>
      </c>
      <c r="Y448">
        <v>0.69117022197303091</v>
      </c>
      <c r="Z448" t="s">
        <v>24</v>
      </c>
    </row>
    <row r="449" spans="1:26" hidden="1" x14ac:dyDescent="0.2">
      <c r="A449">
        <v>28</v>
      </c>
      <c r="B449" t="s">
        <v>32</v>
      </c>
      <c r="C449" s="10">
        <v>10000073</v>
      </c>
      <c r="D449" t="b">
        <v>1</v>
      </c>
      <c r="E449">
        <v>0</v>
      </c>
      <c r="F449">
        <v>0</v>
      </c>
      <c r="G449">
        <v>0</v>
      </c>
      <c r="H449">
        <v>0</v>
      </c>
      <c r="I449">
        <v>0.58285183708420896</v>
      </c>
      <c r="J449">
        <v>0.26613298841772559</v>
      </c>
      <c r="W449">
        <v>5.7733509878611278</v>
      </c>
      <c r="X449">
        <v>0.26613298841772559</v>
      </c>
      <c r="Y449">
        <v>0.58285183708420896</v>
      </c>
      <c r="Z449" t="s">
        <v>24</v>
      </c>
    </row>
    <row r="450" spans="1:26" hidden="1" x14ac:dyDescent="0.2">
      <c r="A450">
        <v>28</v>
      </c>
      <c r="B450" t="s">
        <v>28</v>
      </c>
      <c r="C450" s="10">
        <v>10000033</v>
      </c>
      <c r="D450" t="b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0.28371110788286868</v>
      </c>
      <c r="Q450">
        <v>0</v>
      </c>
      <c r="R450">
        <v>0.1340533696666637</v>
      </c>
      <c r="S450">
        <v>0</v>
      </c>
      <c r="T450">
        <v>0.1340533696666637</v>
      </c>
      <c r="U450">
        <v>0</v>
      </c>
      <c r="V450">
        <v>0.7162888921171312</v>
      </c>
      <c r="W450">
        <v>6.3046404917615151</v>
      </c>
      <c r="X450">
        <v>0.1340533696666637</v>
      </c>
      <c r="Y450">
        <v>0.7162888921171312</v>
      </c>
      <c r="Z450" t="s">
        <v>24</v>
      </c>
    </row>
    <row r="451" spans="1:26" hidden="1" x14ac:dyDescent="0.2">
      <c r="A451">
        <v>28</v>
      </c>
      <c r="B451" t="s">
        <v>27</v>
      </c>
      <c r="C451" s="10">
        <v>10000082</v>
      </c>
      <c r="D451" t="b">
        <v>1</v>
      </c>
      <c r="F451">
        <v>0</v>
      </c>
      <c r="G451">
        <v>0</v>
      </c>
      <c r="H451">
        <v>0</v>
      </c>
      <c r="I451">
        <v>0.13632949000518979</v>
      </c>
      <c r="J451">
        <v>0.8636705099948101</v>
      </c>
      <c r="W451">
        <v>3.4698731914234848</v>
      </c>
      <c r="X451">
        <v>1</v>
      </c>
      <c r="Y451">
        <v>0.13632949000518979</v>
      </c>
      <c r="Z451" t="s">
        <v>23</v>
      </c>
    </row>
    <row r="452" spans="1:26" hidden="1" x14ac:dyDescent="0.2">
      <c r="A452">
        <v>28</v>
      </c>
      <c r="B452" t="s">
        <v>31</v>
      </c>
      <c r="C452" s="10">
        <v>10000033</v>
      </c>
      <c r="D452" t="b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0.28328455082351089</v>
      </c>
      <c r="Q452">
        <v>0</v>
      </c>
      <c r="R452">
        <v>0.21363785749343331</v>
      </c>
      <c r="S452">
        <v>0</v>
      </c>
      <c r="T452">
        <v>0.21363785749343331</v>
      </c>
      <c r="U452">
        <v>0</v>
      </c>
      <c r="V452">
        <v>0.71671544917648899</v>
      </c>
      <c r="W452">
        <v>6.0930100320496479</v>
      </c>
      <c r="X452">
        <v>0.21363785749343331</v>
      </c>
      <c r="Y452">
        <v>0.71671544917648899</v>
      </c>
      <c r="Z452" t="s">
        <v>24</v>
      </c>
    </row>
    <row r="453" spans="1:26" hidden="1" x14ac:dyDescent="0.2">
      <c r="A453">
        <v>28</v>
      </c>
      <c r="B453" t="s">
        <v>27</v>
      </c>
      <c r="C453" s="10">
        <v>10000073</v>
      </c>
      <c r="D453" t="b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0.40228218159586848</v>
      </c>
      <c r="P453">
        <v>0</v>
      </c>
      <c r="Q453">
        <v>0.37146505328499407</v>
      </c>
      <c r="R453">
        <v>0</v>
      </c>
      <c r="S453">
        <v>0.37146505328499407</v>
      </c>
      <c r="T453">
        <v>0</v>
      </c>
      <c r="U453">
        <v>0.59771781840413152</v>
      </c>
      <c r="V453">
        <v>0</v>
      </c>
      <c r="W453">
        <v>5.5159635146291954</v>
      </c>
      <c r="X453">
        <v>0.37146505328499407</v>
      </c>
      <c r="Y453">
        <v>0.59771781840413152</v>
      </c>
      <c r="Z453" t="s">
        <v>24</v>
      </c>
    </row>
    <row r="454" spans="1:26" hidden="1" x14ac:dyDescent="0.2">
      <c r="A454">
        <v>28</v>
      </c>
      <c r="B454" t="s">
        <v>26</v>
      </c>
      <c r="C454" s="10">
        <v>10000073</v>
      </c>
      <c r="D454" t="b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0.41022998692669321</v>
      </c>
      <c r="P454">
        <v>0</v>
      </c>
      <c r="Q454">
        <v>0.37386141984675503</v>
      </c>
      <c r="R454">
        <v>0</v>
      </c>
      <c r="S454">
        <v>0.37386141984675503</v>
      </c>
      <c r="T454">
        <v>0</v>
      </c>
      <c r="U454">
        <v>0.58977001307330679</v>
      </c>
      <c r="V454">
        <v>0</v>
      </c>
      <c r="W454">
        <v>5.4959640163186068</v>
      </c>
      <c r="X454">
        <v>0.37386141984675503</v>
      </c>
      <c r="Y454">
        <v>0.58977001307330679</v>
      </c>
      <c r="Z454" t="s">
        <v>24</v>
      </c>
    </row>
    <row r="455" spans="1:26" hidden="1" x14ac:dyDescent="0.2">
      <c r="A455">
        <v>28</v>
      </c>
      <c r="B455" t="s">
        <v>29</v>
      </c>
      <c r="C455" s="10">
        <v>10000082</v>
      </c>
      <c r="D455" t="b">
        <v>1</v>
      </c>
      <c r="F455">
        <v>0</v>
      </c>
      <c r="G455">
        <v>0</v>
      </c>
      <c r="H455">
        <v>0</v>
      </c>
      <c r="I455">
        <v>0</v>
      </c>
      <c r="J455">
        <v>1</v>
      </c>
      <c r="W455">
        <v>3.1666666666666679</v>
      </c>
      <c r="X455">
        <v>1</v>
      </c>
      <c r="Y455">
        <v>0</v>
      </c>
      <c r="Z455" t="s">
        <v>23</v>
      </c>
    </row>
    <row r="456" spans="1:26" hidden="1" x14ac:dyDescent="0.2">
      <c r="A456">
        <v>28</v>
      </c>
      <c r="B456" t="s">
        <v>29</v>
      </c>
      <c r="C456" s="10">
        <v>10000033</v>
      </c>
      <c r="D456" t="b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0.29368439056019052</v>
      </c>
      <c r="Q456">
        <v>0</v>
      </c>
      <c r="R456">
        <v>0.22330895789772759</v>
      </c>
      <c r="S456">
        <v>0</v>
      </c>
      <c r="T456">
        <v>0.22330895789772759</v>
      </c>
      <c r="U456">
        <v>0</v>
      </c>
      <c r="V456">
        <v>0.70631560943980942</v>
      </c>
      <c r="W456">
        <v>6.0558099838789312</v>
      </c>
      <c r="X456">
        <v>0.22330895789772759</v>
      </c>
      <c r="Y456">
        <v>0.70631560943980942</v>
      </c>
      <c r="Z456" t="s">
        <v>24</v>
      </c>
    </row>
    <row r="457" spans="1:26" hidden="1" x14ac:dyDescent="0.2">
      <c r="A457">
        <v>28</v>
      </c>
      <c r="B457" t="s">
        <v>30</v>
      </c>
      <c r="C457" s="10">
        <v>10000073</v>
      </c>
      <c r="D457" t="b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0.41727561770588678</v>
      </c>
      <c r="P457">
        <v>0</v>
      </c>
      <c r="Q457">
        <v>0.38149749390430121</v>
      </c>
      <c r="R457">
        <v>0</v>
      </c>
      <c r="S457">
        <v>0.38149749390430121</v>
      </c>
      <c r="T457">
        <v>0</v>
      </c>
      <c r="U457">
        <v>0.58272438229411316</v>
      </c>
      <c r="V457">
        <v>0</v>
      </c>
      <c r="W457">
        <v>5.4639795794493731</v>
      </c>
      <c r="X457">
        <v>0.38149749390430121</v>
      </c>
      <c r="Y457">
        <v>0.58272438229411316</v>
      </c>
      <c r="Z457" t="s">
        <v>24</v>
      </c>
    </row>
    <row r="458" spans="1:26" hidden="1" x14ac:dyDescent="0.2">
      <c r="A458">
        <v>28</v>
      </c>
      <c r="B458" t="s">
        <v>33</v>
      </c>
      <c r="C458" s="10">
        <v>10000033</v>
      </c>
      <c r="D458" t="b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0.70343478574683194</v>
      </c>
      <c r="M458">
        <v>0.2251477069259897</v>
      </c>
      <c r="N458">
        <v>0</v>
      </c>
      <c r="O458">
        <v>0</v>
      </c>
      <c r="P458">
        <v>0.26666666666666672</v>
      </c>
      <c r="Q458">
        <v>0</v>
      </c>
      <c r="R458">
        <v>0.2251477069259897</v>
      </c>
      <c r="S458">
        <v>0</v>
      </c>
      <c r="T458">
        <v>0.2251477069259897</v>
      </c>
      <c r="U458">
        <v>0</v>
      </c>
      <c r="V458">
        <v>0.26666666666666672</v>
      </c>
      <c r="W458">
        <v>6.0476187668814161</v>
      </c>
      <c r="X458">
        <v>0.2251477069259897</v>
      </c>
      <c r="Y458">
        <v>0.70343478574683194</v>
      </c>
      <c r="Z458" t="s">
        <v>24</v>
      </c>
    </row>
    <row r="459" spans="1:26" hidden="1" x14ac:dyDescent="0.2">
      <c r="A459">
        <v>28</v>
      </c>
      <c r="B459" t="s">
        <v>34</v>
      </c>
      <c r="C459" s="10">
        <v>10000033</v>
      </c>
      <c r="D459" t="b">
        <v>0</v>
      </c>
      <c r="E459">
        <v>0</v>
      </c>
      <c r="F459">
        <v>0.2257617817706615</v>
      </c>
      <c r="G459">
        <v>0.28571428571428559</v>
      </c>
      <c r="H459">
        <v>0.70446227356720259</v>
      </c>
      <c r="I459">
        <v>0.28571428571428559</v>
      </c>
      <c r="J459">
        <v>0.29553772643279752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5.8935348981696816</v>
      </c>
      <c r="X459">
        <v>0.28571428571428559</v>
      </c>
      <c r="Y459">
        <v>0.70446227356720259</v>
      </c>
      <c r="Z459" t="s">
        <v>24</v>
      </c>
    </row>
    <row r="460" spans="1:26" hidden="1" x14ac:dyDescent="0.2">
      <c r="A460">
        <v>29</v>
      </c>
      <c r="B460" t="s">
        <v>32</v>
      </c>
      <c r="C460" s="10">
        <v>10000033</v>
      </c>
      <c r="D460" t="b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0.30882977802696898</v>
      </c>
      <c r="Q460">
        <v>0</v>
      </c>
      <c r="R460">
        <v>4.5741352340572791E-2</v>
      </c>
      <c r="S460">
        <v>0</v>
      </c>
      <c r="T460">
        <v>4.5741352340572791E-2</v>
      </c>
      <c r="U460">
        <v>0</v>
      </c>
      <c r="V460">
        <v>0.69117022197303091</v>
      </c>
      <c r="W460">
        <v>6.531882927107775</v>
      </c>
      <c r="X460">
        <v>4.5741352340572791E-2</v>
      </c>
      <c r="Y460">
        <v>0.69117022197303091</v>
      </c>
      <c r="Z460" t="s">
        <v>24</v>
      </c>
    </row>
    <row r="461" spans="1:26" hidden="1" x14ac:dyDescent="0.2">
      <c r="A461">
        <v>29</v>
      </c>
      <c r="B461" t="s">
        <v>30</v>
      </c>
      <c r="C461" s="10">
        <v>10000082</v>
      </c>
      <c r="D461" t="b">
        <v>1</v>
      </c>
      <c r="F461">
        <v>0</v>
      </c>
      <c r="G461">
        <v>0</v>
      </c>
      <c r="H461">
        <v>0</v>
      </c>
      <c r="I461">
        <v>0.3286592713258773</v>
      </c>
      <c r="J461">
        <v>0.67239861785040755</v>
      </c>
      <c r="W461">
        <v>3.8806880987147441</v>
      </c>
      <c r="X461">
        <v>1</v>
      </c>
      <c r="Y461">
        <v>0.3286592713258773</v>
      </c>
      <c r="Z461" t="s">
        <v>23</v>
      </c>
    </row>
    <row r="462" spans="1:26" hidden="1" x14ac:dyDescent="0.2">
      <c r="A462">
        <v>29</v>
      </c>
      <c r="B462" t="s">
        <v>30</v>
      </c>
      <c r="C462" s="10">
        <v>10000033</v>
      </c>
      <c r="D462" t="b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0.3104579236031213</v>
      </c>
      <c r="Q462">
        <v>0</v>
      </c>
      <c r="R462">
        <v>9.4176914539452927E-2</v>
      </c>
      <c r="S462">
        <v>0</v>
      </c>
      <c r="T462">
        <v>9.4176914539452927E-2</v>
      </c>
      <c r="U462">
        <v>0</v>
      </c>
      <c r="V462">
        <v>0.6895420763968787</v>
      </c>
      <c r="W462">
        <v>6.3913359578852784</v>
      </c>
      <c r="X462">
        <v>9.4176914539452927E-2</v>
      </c>
      <c r="Y462">
        <v>0.6895420763968787</v>
      </c>
      <c r="Z462" t="s">
        <v>24</v>
      </c>
    </row>
    <row r="463" spans="1:26" hidden="1" x14ac:dyDescent="0.2">
      <c r="A463">
        <v>29</v>
      </c>
      <c r="B463" t="s">
        <v>34</v>
      </c>
      <c r="C463" s="10">
        <v>10000082</v>
      </c>
      <c r="D463" t="b">
        <v>1</v>
      </c>
      <c r="F463">
        <v>0</v>
      </c>
      <c r="G463">
        <v>0</v>
      </c>
      <c r="H463">
        <v>0</v>
      </c>
      <c r="I463">
        <v>0.37901613139906221</v>
      </c>
      <c r="J463">
        <v>0.62098386860093779</v>
      </c>
      <c r="W463">
        <v>3.9831463556287909</v>
      </c>
      <c r="X463">
        <v>1</v>
      </c>
      <c r="Y463">
        <v>0.37901613139906221</v>
      </c>
      <c r="Z463" t="s">
        <v>23</v>
      </c>
    </row>
    <row r="464" spans="1:26" hidden="1" x14ac:dyDescent="0.2">
      <c r="A464">
        <v>29</v>
      </c>
      <c r="B464" t="s">
        <v>34</v>
      </c>
      <c r="C464" s="10">
        <v>10000073</v>
      </c>
      <c r="D464" t="b">
        <v>1</v>
      </c>
      <c r="E464">
        <v>0</v>
      </c>
      <c r="F464">
        <v>0</v>
      </c>
      <c r="G464">
        <v>0</v>
      </c>
      <c r="H464">
        <v>0</v>
      </c>
      <c r="I464">
        <v>0.5560786629168526</v>
      </c>
      <c r="J464">
        <v>0.24541797481116459</v>
      </c>
      <c r="W464">
        <v>5.7911051929121671</v>
      </c>
      <c r="X464">
        <v>0.24541797481116459</v>
      </c>
      <c r="Y464">
        <v>0.5560786629168526</v>
      </c>
      <c r="Z464" t="s">
        <v>24</v>
      </c>
    </row>
    <row r="465" spans="1:26" hidden="1" x14ac:dyDescent="0.2">
      <c r="A465">
        <v>29</v>
      </c>
      <c r="B465" t="s">
        <v>29</v>
      </c>
      <c r="C465" s="10">
        <v>10000082</v>
      </c>
      <c r="D465" t="b">
        <v>1</v>
      </c>
      <c r="F465">
        <v>0</v>
      </c>
      <c r="G465">
        <v>0</v>
      </c>
      <c r="H465">
        <v>0</v>
      </c>
      <c r="I465">
        <v>0.45609132071767661</v>
      </c>
      <c r="J465">
        <v>0.56116600811043316</v>
      </c>
      <c r="W465">
        <v>4.1349485070614689</v>
      </c>
      <c r="X465">
        <v>1</v>
      </c>
      <c r="Y465">
        <v>0.45609132071767661</v>
      </c>
      <c r="Z465" t="s">
        <v>23</v>
      </c>
    </row>
    <row r="466" spans="1:26" hidden="1" x14ac:dyDescent="0.2">
      <c r="A466">
        <v>29</v>
      </c>
      <c r="B466" t="s">
        <v>29</v>
      </c>
      <c r="C466" s="10">
        <v>10000047</v>
      </c>
      <c r="D466" t="b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0.802684962872807</v>
      </c>
      <c r="P466">
        <v>0</v>
      </c>
      <c r="Q466">
        <v>0.197315037127193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6.2249287688639612</v>
      </c>
      <c r="X466">
        <v>0.197315037127193</v>
      </c>
      <c r="Y466">
        <v>0.802684962872807</v>
      </c>
      <c r="Z466" t="s">
        <v>24</v>
      </c>
    </row>
    <row r="467" spans="1:26" hidden="1" x14ac:dyDescent="0.2">
      <c r="A467">
        <v>29</v>
      </c>
      <c r="B467" t="s">
        <v>26</v>
      </c>
      <c r="C467" s="10">
        <v>10000082</v>
      </c>
      <c r="D467" t="b">
        <v>1</v>
      </c>
      <c r="F467">
        <v>0</v>
      </c>
      <c r="G467">
        <v>0</v>
      </c>
      <c r="H467">
        <v>0</v>
      </c>
      <c r="I467">
        <v>0.14367440452128799</v>
      </c>
      <c r="J467">
        <v>0.85632559547871201</v>
      </c>
      <c r="W467">
        <v>3.4860139750327588</v>
      </c>
      <c r="X467">
        <v>1</v>
      </c>
      <c r="Y467">
        <v>0.14367440452128799</v>
      </c>
      <c r="Z467" t="s">
        <v>23</v>
      </c>
    </row>
    <row r="468" spans="1:26" hidden="1" x14ac:dyDescent="0.2">
      <c r="A468">
        <v>29</v>
      </c>
      <c r="B468" t="s">
        <v>33</v>
      </c>
      <c r="C468" s="10">
        <v>10000033</v>
      </c>
      <c r="D468" t="b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0.30101923246641021</v>
      </c>
      <c r="Q468">
        <v>0</v>
      </c>
      <c r="R468">
        <v>0.19157307413683661</v>
      </c>
      <c r="S468">
        <v>0</v>
      </c>
      <c r="T468">
        <v>0.19157307413683661</v>
      </c>
      <c r="U468">
        <v>0</v>
      </c>
      <c r="V468">
        <v>0.69898076753358973</v>
      </c>
      <c r="W468">
        <v>6.1314336279593382</v>
      </c>
      <c r="X468">
        <v>0.19157307413683661</v>
      </c>
      <c r="Y468">
        <v>0.69898076753358973</v>
      </c>
      <c r="Z468" t="s">
        <v>24</v>
      </c>
    </row>
    <row r="469" spans="1:26" hidden="1" x14ac:dyDescent="0.2">
      <c r="A469">
        <v>29</v>
      </c>
      <c r="B469" t="s">
        <v>26</v>
      </c>
      <c r="C469" s="10">
        <v>10000033</v>
      </c>
      <c r="D469" t="b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0.32503253816461791</v>
      </c>
      <c r="Q469">
        <v>0</v>
      </c>
      <c r="R469">
        <v>0.19157307413683661</v>
      </c>
      <c r="S469">
        <v>0</v>
      </c>
      <c r="T469">
        <v>0.19157307413683661</v>
      </c>
      <c r="U469">
        <v>0</v>
      </c>
      <c r="V469">
        <v>0.67496746183538214</v>
      </c>
      <c r="W469">
        <v>6.1043142800278307</v>
      </c>
      <c r="X469">
        <v>0.19157307413683661</v>
      </c>
      <c r="Y469">
        <v>0.67496746183538214</v>
      </c>
      <c r="Z469" t="s">
        <v>24</v>
      </c>
    </row>
    <row r="470" spans="1:26" hidden="1" x14ac:dyDescent="0.2">
      <c r="A470">
        <v>29</v>
      </c>
      <c r="B470" t="s">
        <v>31</v>
      </c>
      <c r="C470" s="10">
        <v>10000033</v>
      </c>
      <c r="D470" t="b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0.36666666666666659</v>
      </c>
      <c r="M470">
        <v>0.2123357294327719</v>
      </c>
      <c r="N470">
        <v>0</v>
      </c>
      <c r="O470">
        <v>0</v>
      </c>
      <c r="P470">
        <v>0.3282365667005675</v>
      </c>
      <c r="Q470">
        <v>0</v>
      </c>
      <c r="R470">
        <v>0.2123357294327719</v>
      </c>
      <c r="S470">
        <v>0</v>
      </c>
      <c r="T470">
        <v>0.2123357294327719</v>
      </c>
      <c r="U470">
        <v>0</v>
      </c>
      <c r="V470">
        <v>0.6333333333333333</v>
      </c>
      <c r="W470">
        <v>5.9962084252190424</v>
      </c>
      <c r="X470">
        <v>0.2123357294327719</v>
      </c>
      <c r="Y470">
        <v>0.6333333333333333</v>
      </c>
      <c r="Z470" t="s">
        <v>24</v>
      </c>
    </row>
    <row r="471" spans="1:26" hidden="1" x14ac:dyDescent="0.2">
      <c r="A471">
        <v>29</v>
      </c>
      <c r="B471" t="s">
        <v>27</v>
      </c>
      <c r="C471" s="10">
        <v>10000033</v>
      </c>
      <c r="D471" t="b">
        <v>0</v>
      </c>
      <c r="E471">
        <v>0</v>
      </c>
      <c r="F471">
        <v>0</v>
      </c>
      <c r="G471">
        <v>0</v>
      </c>
      <c r="H471">
        <v>0.16666666666666671</v>
      </c>
      <c r="I471">
        <v>0</v>
      </c>
      <c r="J471">
        <v>0.16666666666666671</v>
      </c>
      <c r="K471">
        <v>0</v>
      </c>
      <c r="L471">
        <v>0.66882379939296255</v>
      </c>
      <c r="M471">
        <v>0.22239222528317379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6.0131925715773837</v>
      </c>
      <c r="X471">
        <v>0.22239222528317379</v>
      </c>
      <c r="Y471">
        <v>0.66882379939296255</v>
      </c>
      <c r="Z471" t="s">
        <v>24</v>
      </c>
    </row>
    <row r="472" spans="1:26" hidden="1" x14ac:dyDescent="0.2">
      <c r="A472">
        <v>29</v>
      </c>
      <c r="B472" t="s">
        <v>35</v>
      </c>
      <c r="C472" s="10">
        <v>10000082</v>
      </c>
      <c r="D472" t="b">
        <v>1</v>
      </c>
      <c r="F472">
        <v>0</v>
      </c>
      <c r="G472">
        <v>0.67025579220019937</v>
      </c>
      <c r="H472">
        <v>0</v>
      </c>
      <c r="I472">
        <v>0</v>
      </c>
      <c r="J472">
        <v>0</v>
      </c>
      <c r="W472">
        <v>4.520916317562639</v>
      </c>
      <c r="X472">
        <v>1</v>
      </c>
      <c r="Y472">
        <v>0.67025579220019937</v>
      </c>
      <c r="Z472" t="s">
        <v>23</v>
      </c>
    </row>
    <row r="473" spans="1:26" hidden="1" x14ac:dyDescent="0.2">
      <c r="A473">
        <v>29</v>
      </c>
      <c r="B473" t="s">
        <v>35</v>
      </c>
      <c r="C473" s="10">
        <v>10000073</v>
      </c>
      <c r="D473" t="b">
        <v>0</v>
      </c>
      <c r="E473">
        <v>0.45364917409103062</v>
      </c>
      <c r="F473">
        <v>0</v>
      </c>
      <c r="G473">
        <v>0.54635082590896933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3.4199300872327192</v>
      </c>
      <c r="X473">
        <v>0.54635082590896933</v>
      </c>
      <c r="Y473">
        <v>0</v>
      </c>
      <c r="Z473" t="s">
        <v>23</v>
      </c>
    </row>
    <row r="474" spans="1:26" hidden="1" x14ac:dyDescent="0.2">
      <c r="A474">
        <v>29</v>
      </c>
      <c r="B474" t="s">
        <v>35</v>
      </c>
      <c r="C474" s="10">
        <v>10000047</v>
      </c>
      <c r="D474" t="b">
        <v>0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3.1666666666666679</v>
      </c>
      <c r="X474">
        <v>1</v>
      </c>
      <c r="Y474">
        <v>0</v>
      </c>
      <c r="Z474" t="s">
        <v>23</v>
      </c>
    </row>
    <row r="475" spans="1:26" hidden="1" x14ac:dyDescent="0.2">
      <c r="A475">
        <v>29</v>
      </c>
      <c r="B475" t="s">
        <v>35</v>
      </c>
      <c r="C475" s="10">
        <v>10000033</v>
      </c>
      <c r="D475" t="b">
        <v>0</v>
      </c>
      <c r="E475">
        <v>0</v>
      </c>
      <c r="F475">
        <v>0</v>
      </c>
      <c r="G475">
        <v>0</v>
      </c>
      <c r="H475">
        <v>0.66533648621242458</v>
      </c>
      <c r="I475">
        <v>0</v>
      </c>
      <c r="J475">
        <v>0.33466351378757547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6.6510637847230738</v>
      </c>
      <c r="X475">
        <v>0</v>
      </c>
      <c r="Y475">
        <v>0.66533648621242458</v>
      </c>
      <c r="Z475" t="s">
        <v>24</v>
      </c>
    </row>
    <row r="476" spans="1:26" hidden="1" x14ac:dyDescent="0.2">
      <c r="A476">
        <v>29</v>
      </c>
      <c r="B476" t="s">
        <v>28</v>
      </c>
      <c r="C476" s="10">
        <v>10000033</v>
      </c>
      <c r="D476" t="b">
        <v>0</v>
      </c>
      <c r="E476">
        <v>0</v>
      </c>
      <c r="F476">
        <v>0.32555346420540571</v>
      </c>
      <c r="G476">
        <v>0.3793103448275863</v>
      </c>
      <c r="H476">
        <v>0.6206896551724137</v>
      </c>
      <c r="I476">
        <v>0.33477414693914143</v>
      </c>
      <c r="J476">
        <v>0.33477414693914143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5.535460799098578</v>
      </c>
      <c r="X476">
        <v>0.3793103448275863</v>
      </c>
      <c r="Y476">
        <v>0.6206896551724137</v>
      </c>
      <c r="Z476" t="s">
        <v>24</v>
      </c>
    </row>
    <row r="477" spans="1:26" hidden="1" x14ac:dyDescent="0.2">
      <c r="A477">
        <v>29</v>
      </c>
      <c r="B477" t="s">
        <v>28</v>
      </c>
      <c r="C477" s="10">
        <v>10000047</v>
      </c>
      <c r="D477" t="b">
        <v>0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3.1666666666666679</v>
      </c>
      <c r="X477">
        <v>1</v>
      </c>
      <c r="Y477">
        <v>0</v>
      </c>
      <c r="Z477" t="s">
        <v>23</v>
      </c>
    </row>
    <row r="478" spans="1:26" hidden="1" x14ac:dyDescent="0.2">
      <c r="A478">
        <v>30</v>
      </c>
      <c r="B478" t="s">
        <v>26</v>
      </c>
      <c r="C478" s="10">
        <v>10000047</v>
      </c>
      <c r="D478" t="b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0.83141319713780193</v>
      </c>
      <c r="P478">
        <v>0</v>
      </c>
      <c r="Q478">
        <v>0.1685868028621981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6.3222813226595944</v>
      </c>
      <c r="X478">
        <v>0.1685868028621981</v>
      </c>
      <c r="Y478">
        <v>0.83141319713780193</v>
      </c>
      <c r="Z478" t="s">
        <v>24</v>
      </c>
    </row>
    <row r="479" spans="1:26" hidden="1" x14ac:dyDescent="0.2">
      <c r="A479">
        <v>30</v>
      </c>
      <c r="B479" t="s">
        <v>35</v>
      </c>
      <c r="C479" s="10">
        <v>10000033</v>
      </c>
      <c r="D479" t="b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0.31763440036250179</v>
      </c>
      <c r="Q479">
        <v>0</v>
      </c>
      <c r="R479">
        <v>0.24595340167195989</v>
      </c>
      <c r="S479">
        <v>0</v>
      </c>
      <c r="T479">
        <v>0.24595340167195989</v>
      </c>
      <c r="U479">
        <v>0</v>
      </c>
      <c r="V479">
        <v>0.68236559963749821</v>
      </c>
      <c r="W479">
        <v>5.9673722846623658</v>
      </c>
      <c r="X479">
        <v>0.24595340167195989</v>
      </c>
      <c r="Y479">
        <v>0.68236559963749821</v>
      </c>
      <c r="Z479" t="s">
        <v>24</v>
      </c>
    </row>
    <row r="480" spans="1:26" hidden="1" x14ac:dyDescent="0.2">
      <c r="A480">
        <v>30</v>
      </c>
      <c r="B480" t="s">
        <v>32</v>
      </c>
      <c r="C480" s="10">
        <v>10000082</v>
      </c>
      <c r="D480" t="b">
        <v>1</v>
      </c>
      <c r="F480">
        <v>0</v>
      </c>
      <c r="G480">
        <v>0</v>
      </c>
      <c r="H480">
        <v>0</v>
      </c>
      <c r="I480">
        <v>0.1567915228512464</v>
      </c>
      <c r="J480">
        <v>0.86027795448750521</v>
      </c>
      <c r="W480">
        <v>3.5147700702190381</v>
      </c>
      <c r="X480">
        <v>1</v>
      </c>
      <c r="Y480">
        <v>0.1567915228512464</v>
      </c>
      <c r="Z480" t="s">
        <v>23</v>
      </c>
    </row>
    <row r="481" spans="1:26" hidden="1" x14ac:dyDescent="0.2">
      <c r="A481">
        <v>30</v>
      </c>
      <c r="B481" t="s">
        <v>32</v>
      </c>
      <c r="C481" s="10">
        <v>10000033</v>
      </c>
      <c r="D481" t="b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0.32002545318323022</v>
      </c>
      <c r="Q481">
        <v>0</v>
      </c>
      <c r="R481">
        <v>0.24595340167195989</v>
      </c>
      <c r="S481">
        <v>0</v>
      </c>
      <c r="T481">
        <v>0.24595340167195989</v>
      </c>
      <c r="U481">
        <v>0</v>
      </c>
      <c r="V481">
        <v>0.67997454681676983</v>
      </c>
      <c r="W481">
        <v>5.9643475478096031</v>
      </c>
      <c r="X481">
        <v>0.24595340167195989</v>
      </c>
      <c r="Y481">
        <v>0.67997454681676983</v>
      </c>
      <c r="Z481" t="s">
        <v>24</v>
      </c>
    </row>
    <row r="482" spans="1:26" hidden="1" x14ac:dyDescent="0.2">
      <c r="A482">
        <v>30</v>
      </c>
      <c r="B482" t="s">
        <v>27</v>
      </c>
      <c r="C482" s="10">
        <v>10000033</v>
      </c>
      <c r="D482" t="b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0.32875220381827103</v>
      </c>
      <c r="Q482">
        <v>0</v>
      </c>
      <c r="R482">
        <v>0.32875220381827103</v>
      </c>
      <c r="S482">
        <v>0</v>
      </c>
      <c r="T482">
        <v>0.44326535840438142</v>
      </c>
      <c r="U482">
        <v>0</v>
      </c>
      <c r="V482">
        <v>0.55673464159561858</v>
      </c>
      <c r="W482">
        <v>5.2611008036245597</v>
      </c>
      <c r="X482">
        <v>0.44326535840438142</v>
      </c>
      <c r="Y482">
        <v>0.55673464159561858</v>
      </c>
      <c r="Z482" t="s">
        <v>24</v>
      </c>
    </row>
    <row r="483" spans="1:26" hidden="1" x14ac:dyDescent="0.2">
      <c r="A483">
        <v>30</v>
      </c>
      <c r="B483" t="s">
        <v>30</v>
      </c>
      <c r="C483" s="10">
        <v>10000073</v>
      </c>
      <c r="D483" t="b">
        <v>1</v>
      </c>
      <c r="E483">
        <v>0</v>
      </c>
      <c r="F483">
        <v>0</v>
      </c>
      <c r="G483">
        <v>0</v>
      </c>
      <c r="H483">
        <v>0</v>
      </c>
      <c r="I483">
        <v>0.52254510601669291</v>
      </c>
      <c r="J483">
        <v>0.47745489398330709</v>
      </c>
      <c r="W483">
        <v>5.1070273760346936</v>
      </c>
      <c r="X483">
        <v>0.47745489398330709</v>
      </c>
      <c r="Y483">
        <v>0.52254510601669291</v>
      </c>
      <c r="Z483" t="s">
        <v>24</v>
      </c>
    </row>
    <row r="484" spans="1:26" hidden="1" x14ac:dyDescent="0.2">
      <c r="A484">
        <v>30</v>
      </c>
      <c r="B484" t="s">
        <v>28</v>
      </c>
      <c r="C484" s="10">
        <v>10000082</v>
      </c>
      <c r="D484" t="b">
        <v>1</v>
      </c>
      <c r="F484">
        <v>0</v>
      </c>
      <c r="G484">
        <v>0</v>
      </c>
      <c r="H484">
        <v>0</v>
      </c>
      <c r="I484">
        <v>0.36524049907142059</v>
      </c>
      <c r="J484">
        <v>0.7245534147410444</v>
      </c>
      <c r="W484">
        <v>3.9553644383510949</v>
      </c>
      <c r="X484">
        <v>1</v>
      </c>
      <c r="Y484">
        <v>0.36524049907142059</v>
      </c>
      <c r="Z484" t="s">
        <v>23</v>
      </c>
    </row>
    <row r="485" spans="1:26" hidden="1" x14ac:dyDescent="0.2">
      <c r="A485">
        <v>30</v>
      </c>
      <c r="B485" t="s">
        <v>28</v>
      </c>
      <c r="C485" s="10">
        <v>10000033</v>
      </c>
      <c r="D485" t="b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0.32666741077797601</v>
      </c>
      <c r="Q485">
        <v>0</v>
      </c>
      <c r="R485">
        <v>0.32666741077797601</v>
      </c>
      <c r="S485">
        <v>0</v>
      </c>
      <c r="T485">
        <v>0.44326535840438142</v>
      </c>
      <c r="U485">
        <v>0</v>
      </c>
      <c r="V485">
        <v>0.55673464159561858</v>
      </c>
      <c r="W485">
        <v>5.2611008036245597</v>
      </c>
      <c r="X485">
        <v>0.44326535840438142</v>
      </c>
      <c r="Y485">
        <v>0.55673464159561858</v>
      </c>
      <c r="Z485" t="s">
        <v>24</v>
      </c>
    </row>
    <row r="486" spans="1:26" hidden="1" x14ac:dyDescent="0.2">
      <c r="A486">
        <v>30</v>
      </c>
      <c r="B486" t="s">
        <v>28</v>
      </c>
      <c r="C486" s="10">
        <v>10000073</v>
      </c>
      <c r="D486" t="b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0.451513003453551</v>
      </c>
      <c r="P486">
        <v>0</v>
      </c>
      <c r="Q486">
        <v>0.451513003453551</v>
      </c>
      <c r="R486">
        <v>0</v>
      </c>
      <c r="S486">
        <v>0.47745489398330709</v>
      </c>
      <c r="T486">
        <v>0</v>
      </c>
      <c r="U486">
        <v>0.52254510601669291</v>
      </c>
      <c r="V486">
        <v>0</v>
      </c>
      <c r="W486">
        <v>5.1070273760346936</v>
      </c>
      <c r="X486">
        <v>0.47745489398330709</v>
      </c>
      <c r="Y486">
        <v>0.52254510601669291</v>
      </c>
      <c r="Z486" t="s">
        <v>24</v>
      </c>
    </row>
    <row r="487" spans="1:26" hidden="1" x14ac:dyDescent="0.2">
      <c r="A487">
        <v>30</v>
      </c>
      <c r="B487" t="s">
        <v>31</v>
      </c>
      <c r="C487" s="10">
        <v>10000047</v>
      </c>
      <c r="D487" t="b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0.52713272213821083</v>
      </c>
      <c r="P487">
        <v>0</v>
      </c>
      <c r="Q487">
        <v>0.47286727786178923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5.1280095416901856</v>
      </c>
      <c r="X487">
        <v>0.47286727786178923</v>
      </c>
      <c r="Y487">
        <v>0.52713272213821083</v>
      </c>
      <c r="Z487" t="s">
        <v>24</v>
      </c>
    </row>
    <row r="488" spans="1:26" hidden="1" x14ac:dyDescent="0.2">
      <c r="A488">
        <v>30</v>
      </c>
      <c r="B488" t="s">
        <v>34</v>
      </c>
      <c r="C488" s="10">
        <v>10000082</v>
      </c>
      <c r="D488" t="b">
        <v>1</v>
      </c>
      <c r="F488">
        <v>0</v>
      </c>
      <c r="G488">
        <v>0</v>
      </c>
      <c r="H488">
        <v>0</v>
      </c>
      <c r="I488">
        <v>0.31351581700169567</v>
      </c>
      <c r="J488">
        <v>0.70731967882417635</v>
      </c>
      <c r="W488">
        <v>3.849406641865162</v>
      </c>
      <c r="X488">
        <v>1</v>
      </c>
      <c r="Y488">
        <v>0.31351581700169567</v>
      </c>
      <c r="Z488" t="s">
        <v>23</v>
      </c>
    </row>
    <row r="489" spans="1:26" hidden="1" x14ac:dyDescent="0.2">
      <c r="A489">
        <v>30</v>
      </c>
      <c r="B489" t="s">
        <v>29</v>
      </c>
      <c r="C489" s="10">
        <v>10000073</v>
      </c>
      <c r="D489" t="b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3.3333333333333333E-2</v>
      </c>
      <c r="L489">
        <v>0</v>
      </c>
      <c r="M489">
        <v>0</v>
      </c>
      <c r="N489">
        <v>0</v>
      </c>
      <c r="O489">
        <v>0.34337043138814349</v>
      </c>
      <c r="P489">
        <v>0</v>
      </c>
      <c r="Q489">
        <v>0.47869658763953732</v>
      </c>
      <c r="R489">
        <v>0</v>
      </c>
      <c r="S489">
        <v>0.52130341236046274</v>
      </c>
      <c r="T489">
        <v>0</v>
      </c>
      <c r="U489">
        <v>0.34337043138814349</v>
      </c>
      <c r="V489">
        <v>0</v>
      </c>
      <c r="W489">
        <v>4.5554598072629524</v>
      </c>
      <c r="X489">
        <v>0.52130341236046274</v>
      </c>
      <c r="Y489">
        <v>0.34337043138814349</v>
      </c>
      <c r="Z489" t="s">
        <v>23</v>
      </c>
    </row>
    <row r="490" spans="1:26" hidden="1" x14ac:dyDescent="0.2">
      <c r="A490">
        <v>30</v>
      </c>
      <c r="B490" t="s">
        <v>34</v>
      </c>
      <c r="C490" s="10">
        <v>10000033</v>
      </c>
      <c r="D490" t="b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0.33333333333333331</v>
      </c>
      <c r="M490">
        <v>0.33333333333333331</v>
      </c>
      <c r="N490">
        <v>0</v>
      </c>
      <c r="O490">
        <v>0</v>
      </c>
      <c r="P490">
        <v>0.3530161664577034</v>
      </c>
      <c r="Q490">
        <v>0</v>
      </c>
      <c r="R490">
        <v>0.3530161664577034</v>
      </c>
      <c r="S490">
        <v>0</v>
      </c>
      <c r="T490">
        <v>0.62594064320420151</v>
      </c>
      <c r="U490">
        <v>0</v>
      </c>
      <c r="V490">
        <v>0.37405935679579849</v>
      </c>
      <c r="W490">
        <v>4.4473640996007022</v>
      </c>
      <c r="X490">
        <v>0.62594064320420151</v>
      </c>
      <c r="Y490">
        <v>0.37405935679579849</v>
      </c>
      <c r="Z490" t="s">
        <v>23</v>
      </c>
    </row>
    <row r="491" spans="1:26" hidden="1" x14ac:dyDescent="0.2">
      <c r="A491">
        <v>30</v>
      </c>
      <c r="B491" t="s">
        <v>29</v>
      </c>
      <c r="C491" s="10">
        <v>10000033</v>
      </c>
      <c r="D491" t="b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0.36149550597266572</v>
      </c>
      <c r="M491">
        <v>0.56666666666666665</v>
      </c>
      <c r="N491">
        <v>0</v>
      </c>
      <c r="O491">
        <v>0</v>
      </c>
      <c r="P491">
        <v>0.3530161664577034</v>
      </c>
      <c r="Q491">
        <v>0</v>
      </c>
      <c r="R491">
        <v>0.3530161664577034</v>
      </c>
      <c r="S491">
        <v>0</v>
      </c>
      <c r="T491">
        <v>0.43333333333333329</v>
      </c>
      <c r="U491">
        <v>0</v>
      </c>
      <c r="V491">
        <v>0.36149550597266572</v>
      </c>
      <c r="W491">
        <v>4.51821163097914</v>
      </c>
      <c r="X491">
        <v>0.56666666666666665</v>
      </c>
      <c r="Y491">
        <v>0.36149550597266572</v>
      </c>
      <c r="Z491" t="s">
        <v>23</v>
      </c>
    </row>
    <row r="492" spans="1:26" hidden="1" x14ac:dyDescent="0.2">
      <c r="A492">
        <v>30</v>
      </c>
      <c r="B492" t="s">
        <v>34</v>
      </c>
      <c r="C492" s="10">
        <v>10000047</v>
      </c>
      <c r="D492" t="b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0.7</v>
      </c>
      <c r="L492">
        <v>0.17647058823529421</v>
      </c>
      <c r="M492">
        <v>0</v>
      </c>
      <c r="N492">
        <v>0</v>
      </c>
      <c r="O492">
        <v>0.3</v>
      </c>
      <c r="P492">
        <v>0</v>
      </c>
      <c r="Q492">
        <v>0.3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4.1523532975855098</v>
      </c>
      <c r="X492">
        <v>0.7</v>
      </c>
      <c r="Y492">
        <v>0.3</v>
      </c>
      <c r="Z492" t="s">
        <v>23</v>
      </c>
    </row>
    <row r="493" spans="1:26" hidden="1" x14ac:dyDescent="0.2">
      <c r="A493">
        <v>30</v>
      </c>
      <c r="B493" t="s">
        <v>29</v>
      </c>
      <c r="C493" s="10">
        <v>10000082</v>
      </c>
      <c r="D493" t="b">
        <v>1</v>
      </c>
      <c r="F493">
        <v>0</v>
      </c>
      <c r="G493">
        <v>0.71774133292329312</v>
      </c>
      <c r="H493">
        <v>0</v>
      </c>
      <c r="I493">
        <v>0.16666666666666671</v>
      </c>
      <c r="J493">
        <v>0.16666666666666671</v>
      </c>
      <c r="W493">
        <v>4.5988385990035763</v>
      </c>
      <c r="X493">
        <v>1</v>
      </c>
      <c r="Y493">
        <v>0.71774133292329312</v>
      </c>
      <c r="Z493" t="s">
        <v>23</v>
      </c>
    </row>
    <row r="494" spans="1:26" hidden="1" x14ac:dyDescent="0.2">
      <c r="A494">
        <v>30</v>
      </c>
      <c r="B494" t="s">
        <v>33</v>
      </c>
      <c r="C494" s="10">
        <v>10000047</v>
      </c>
      <c r="D494" t="b">
        <v>0</v>
      </c>
      <c r="E494">
        <v>3.3333333333333333E-2</v>
      </c>
      <c r="F494">
        <v>0</v>
      </c>
      <c r="G494">
        <v>0</v>
      </c>
      <c r="H494">
        <v>0</v>
      </c>
      <c r="I494">
        <v>3.3333333333333333E-2</v>
      </c>
      <c r="J494">
        <v>0</v>
      </c>
      <c r="K494">
        <v>0.82352941176470584</v>
      </c>
      <c r="L494">
        <v>0.17647058823529421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3.7077225265360481</v>
      </c>
      <c r="X494">
        <v>0.82352941176470584</v>
      </c>
      <c r="Y494">
        <v>0.17647058823529421</v>
      </c>
      <c r="Z494" t="s">
        <v>23</v>
      </c>
    </row>
    <row r="495" spans="1:26" hidden="1" x14ac:dyDescent="0.2">
      <c r="A495">
        <v>30</v>
      </c>
      <c r="B495" t="s">
        <v>33</v>
      </c>
      <c r="C495" s="10">
        <v>10000082</v>
      </c>
      <c r="D495" t="b">
        <v>1</v>
      </c>
      <c r="F495">
        <v>0</v>
      </c>
      <c r="G495">
        <v>0.71774133292329312</v>
      </c>
      <c r="H495">
        <v>0</v>
      </c>
      <c r="I495">
        <v>0</v>
      </c>
      <c r="J495">
        <v>0</v>
      </c>
      <c r="W495">
        <v>4.5988385990035763</v>
      </c>
      <c r="X495">
        <v>1</v>
      </c>
      <c r="Y495">
        <v>0.71774133292329312</v>
      </c>
      <c r="Z495" t="s">
        <v>23</v>
      </c>
    </row>
    <row r="496" spans="1:26" hidden="1" x14ac:dyDescent="0.2">
      <c r="A496">
        <v>30</v>
      </c>
      <c r="B496" t="s">
        <v>34</v>
      </c>
      <c r="C496" s="10">
        <v>10000073</v>
      </c>
      <c r="D496" t="b">
        <v>0</v>
      </c>
      <c r="E496">
        <v>0.47869658763953732</v>
      </c>
      <c r="F496">
        <v>0</v>
      </c>
      <c r="G496">
        <v>0.52130341236046274</v>
      </c>
      <c r="H496">
        <v>0</v>
      </c>
      <c r="I496">
        <v>0</v>
      </c>
      <c r="J496">
        <v>0</v>
      </c>
      <c r="K496">
        <v>0.46666666666666667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3.4345158311988491</v>
      </c>
      <c r="X496">
        <v>0.52130341236046274</v>
      </c>
      <c r="Y496">
        <v>0</v>
      </c>
      <c r="Z496" t="s">
        <v>23</v>
      </c>
    </row>
    <row r="497" spans="1:26" hidden="1" x14ac:dyDescent="0.2">
      <c r="A497">
        <v>30</v>
      </c>
      <c r="B497" t="s">
        <v>29</v>
      </c>
      <c r="C497" s="10">
        <v>10000047</v>
      </c>
      <c r="D497" t="b">
        <v>0</v>
      </c>
      <c r="E497">
        <v>0.6333333333333333</v>
      </c>
      <c r="F497">
        <v>0</v>
      </c>
      <c r="G497">
        <v>0</v>
      </c>
      <c r="H497">
        <v>0</v>
      </c>
      <c r="I497">
        <v>0.17647058823529421</v>
      </c>
      <c r="J497">
        <v>0</v>
      </c>
      <c r="K497">
        <v>0.36666666666666659</v>
      </c>
      <c r="L497">
        <v>0.17647058823529421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3.9056293372940032</v>
      </c>
      <c r="X497">
        <v>0.6333333333333333</v>
      </c>
      <c r="Y497">
        <v>0.17647058823529421</v>
      </c>
      <c r="Z497" t="s">
        <v>23</v>
      </c>
    </row>
    <row r="498" spans="1:26" hidden="1" x14ac:dyDescent="0.2">
      <c r="A498">
        <v>30</v>
      </c>
      <c r="B498" t="s">
        <v>33</v>
      </c>
      <c r="C498" s="10">
        <v>10000033</v>
      </c>
      <c r="D498" t="b">
        <v>0</v>
      </c>
      <c r="E498">
        <v>0</v>
      </c>
      <c r="F498">
        <v>0</v>
      </c>
      <c r="G498">
        <v>0</v>
      </c>
      <c r="H498">
        <v>0.67484779316177557</v>
      </c>
      <c r="I498">
        <v>0</v>
      </c>
      <c r="J498">
        <v>0.32515220683822438</v>
      </c>
      <c r="K498">
        <v>0</v>
      </c>
      <c r="L498">
        <v>0.3</v>
      </c>
      <c r="M498">
        <v>0.3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5.8176628857809396</v>
      </c>
      <c r="X498">
        <v>0.3</v>
      </c>
      <c r="Y498">
        <v>0.67484779316177557</v>
      </c>
      <c r="Z498" t="s">
        <v>24</v>
      </c>
    </row>
    <row r="499" spans="1:26" hidden="1" x14ac:dyDescent="0.2">
      <c r="A499">
        <v>31</v>
      </c>
      <c r="B499" t="s">
        <v>29</v>
      </c>
      <c r="C499" s="10">
        <v>10000073</v>
      </c>
      <c r="D499" t="b">
        <v>1</v>
      </c>
      <c r="E499">
        <v>0</v>
      </c>
      <c r="F499">
        <v>0</v>
      </c>
      <c r="G499">
        <v>0</v>
      </c>
      <c r="H499">
        <v>0</v>
      </c>
      <c r="I499">
        <v>0.56863916504108691</v>
      </c>
      <c r="J499">
        <v>0.32145419100998579</v>
      </c>
      <c r="W499">
        <v>5.5967585968785203</v>
      </c>
      <c r="X499">
        <v>0.32145419100998579</v>
      </c>
      <c r="Y499">
        <v>0.56863916504108691</v>
      </c>
      <c r="Z499" t="s">
        <v>24</v>
      </c>
    </row>
    <row r="500" spans="1:26" hidden="1" x14ac:dyDescent="0.2">
      <c r="A500">
        <v>31</v>
      </c>
      <c r="B500" t="s">
        <v>33</v>
      </c>
      <c r="C500" s="10">
        <v>10000082</v>
      </c>
      <c r="D500" t="b">
        <v>1</v>
      </c>
      <c r="F500">
        <v>0</v>
      </c>
      <c r="G500">
        <v>0</v>
      </c>
      <c r="H500">
        <v>0</v>
      </c>
      <c r="I500">
        <v>0</v>
      </c>
      <c r="J500">
        <v>0.60980949520671701</v>
      </c>
      <c r="W500">
        <v>3.1666666666666679</v>
      </c>
      <c r="X500">
        <v>1</v>
      </c>
      <c r="Y500">
        <v>0</v>
      </c>
      <c r="Z500" t="s">
        <v>23</v>
      </c>
    </row>
    <row r="501" spans="1:26" hidden="1" x14ac:dyDescent="0.2">
      <c r="A501">
        <v>31</v>
      </c>
      <c r="B501" t="s">
        <v>33</v>
      </c>
      <c r="C501" s="10">
        <v>10000073</v>
      </c>
      <c r="D501" t="b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0.45124240082707268</v>
      </c>
      <c r="P501">
        <v>0.37036092817086341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0.54875759917292721</v>
      </c>
      <c r="W501">
        <v>6.5839761233620528</v>
      </c>
      <c r="X501">
        <v>0</v>
      </c>
      <c r="Y501">
        <v>0.54875759917292721</v>
      </c>
      <c r="Z501" t="s">
        <v>24</v>
      </c>
    </row>
    <row r="502" spans="1:26" hidden="1" x14ac:dyDescent="0.2">
      <c r="A502">
        <v>31</v>
      </c>
      <c r="B502" t="s">
        <v>28</v>
      </c>
      <c r="C502" s="10">
        <v>10000033</v>
      </c>
      <c r="D502" t="b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0.32998990067697859</v>
      </c>
      <c r="Q502">
        <v>0</v>
      </c>
      <c r="R502">
        <v>0.25318128446488491</v>
      </c>
      <c r="S502">
        <v>0</v>
      </c>
      <c r="T502">
        <v>0.25318128446488491</v>
      </c>
      <c r="U502">
        <v>0</v>
      </c>
      <c r="V502">
        <v>0.67001009932302136</v>
      </c>
      <c r="W502">
        <v>5.932495451274681</v>
      </c>
      <c r="X502">
        <v>0.25318128446488491</v>
      </c>
      <c r="Y502">
        <v>0.67001009932302136</v>
      </c>
      <c r="Z502" t="s">
        <v>24</v>
      </c>
    </row>
    <row r="503" spans="1:26" hidden="1" x14ac:dyDescent="0.2">
      <c r="A503">
        <v>31</v>
      </c>
      <c r="B503" t="s">
        <v>26</v>
      </c>
      <c r="C503" s="10">
        <v>10000033</v>
      </c>
      <c r="D503" t="b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0.3336441382085702</v>
      </c>
      <c r="Q503">
        <v>0</v>
      </c>
      <c r="R503">
        <v>0.32243365930402662</v>
      </c>
      <c r="S503">
        <v>0</v>
      </c>
      <c r="T503">
        <v>0.32243365930402662</v>
      </c>
      <c r="U503">
        <v>0</v>
      </c>
      <c r="V503">
        <v>0.6663558617914298</v>
      </c>
      <c r="W503">
        <v>5.7488575610817847</v>
      </c>
      <c r="X503">
        <v>0.32243365930402662</v>
      </c>
      <c r="Y503">
        <v>0.6663558617914298</v>
      </c>
      <c r="Z503" t="s">
        <v>24</v>
      </c>
    </row>
    <row r="504" spans="1:26" hidden="1" x14ac:dyDescent="0.2">
      <c r="A504">
        <v>31</v>
      </c>
      <c r="B504" t="s">
        <v>32</v>
      </c>
      <c r="C504" s="10">
        <v>10000082</v>
      </c>
      <c r="D504" t="b">
        <v>1</v>
      </c>
      <c r="F504">
        <v>0</v>
      </c>
      <c r="G504">
        <v>0</v>
      </c>
      <c r="H504">
        <v>0</v>
      </c>
      <c r="I504">
        <v>0</v>
      </c>
      <c r="J504">
        <v>1</v>
      </c>
      <c r="W504">
        <v>3.1666666666666679</v>
      </c>
      <c r="X504">
        <v>1</v>
      </c>
      <c r="Y504">
        <v>0</v>
      </c>
      <c r="Z504" t="s">
        <v>23</v>
      </c>
    </row>
    <row r="505" spans="1:26" hidden="1" x14ac:dyDescent="0.2">
      <c r="A505">
        <v>31</v>
      </c>
      <c r="B505" t="s">
        <v>32</v>
      </c>
      <c r="C505" s="10">
        <v>10000047</v>
      </c>
      <c r="D505" t="b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0.57586493199698241</v>
      </c>
      <c r="P505">
        <v>0</v>
      </c>
      <c r="Q505">
        <v>0.42413506800301759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5.3450296163956459</v>
      </c>
      <c r="X505">
        <v>0.42413506800301759</v>
      </c>
      <c r="Y505">
        <v>0.57586493199698241</v>
      </c>
      <c r="Z505" t="s">
        <v>24</v>
      </c>
    </row>
    <row r="506" spans="1:26" hidden="1" x14ac:dyDescent="0.2">
      <c r="A506">
        <v>31</v>
      </c>
      <c r="B506" t="s">
        <v>34</v>
      </c>
      <c r="C506" s="10">
        <v>10000047</v>
      </c>
      <c r="D506" t="b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0.5360354413983861</v>
      </c>
      <c r="P506">
        <v>0</v>
      </c>
      <c r="Q506">
        <v>0.46396455860161401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5.1684531527978184</v>
      </c>
      <c r="X506">
        <v>0.46396455860161401</v>
      </c>
      <c r="Y506">
        <v>0.5360354413983861</v>
      </c>
      <c r="Z506" t="s">
        <v>24</v>
      </c>
    </row>
    <row r="507" spans="1:26" hidden="1" x14ac:dyDescent="0.2">
      <c r="A507">
        <v>31</v>
      </c>
      <c r="B507" t="s">
        <v>30</v>
      </c>
      <c r="C507" s="10">
        <v>10000082</v>
      </c>
      <c r="D507" t="b">
        <v>1</v>
      </c>
      <c r="F507">
        <v>0</v>
      </c>
      <c r="G507">
        <v>0</v>
      </c>
      <c r="H507">
        <v>0</v>
      </c>
      <c r="I507">
        <v>0</v>
      </c>
      <c r="J507">
        <v>1</v>
      </c>
      <c r="W507">
        <v>3.1666666666666679</v>
      </c>
      <c r="X507">
        <v>1</v>
      </c>
      <c r="Y507">
        <v>0</v>
      </c>
      <c r="Z507" t="s">
        <v>23</v>
      </c>
    </row>
    <row r="508" spans="1:26" hidden="1" x14ac:dyDescent="0.2">
      <c r="A508">
        <v>31</v>
      </c>
      <c r="B508" t="s">
        <v>30</v>
      </c>
      <c r="C508" s="10">
        <v>10000033</v>
      </c>
      <c r="D508" t="b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0.35514941067449962</v>
      </c>
      <c r="Q508">
        <v>0</v>
      </c>
      <c r="R508">
        <v>0.35514941067449962</v>
      </c>
      <c r="S508">
        <v>0</v>
      </c>
      <c r="T508">
        <v>0.40012534502768299</v>
      </c>
      <c r="U508">
        <v>0</v>
      </c>
      <c r="V508">
        <v>0.59987465497231696</v>
      </c>
      <c r="W508">
        <v>5.4481027948268776</v>
      </c>
      <c r="X508">
        <v>0.40012534502768299</v>
      </c>
      <c r="Y508">
        <v>0.59987465497231696</v>
      </c>
      <c r="Z508" t="s">
        <v>24</v>
      </c>
    </row>
    <row r="509" spans="1:26" hidden="1" x14ac:dyDescent="0.2">
      <c r="A509">
        <v>31</v>
      </c>
      <c r="B509" t="s">
        <v>31</v>
      </c>
      <c r="C509" s="10">
        <v>10000033</v>
      </c>
      <c r="D509" t="b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0.36330452146708331</v>
      </c>
      <c r="Q509">
        <v>0</v>
      </c>
      <c r="R509">
        <v>0.36330452146708331</v>
      </c>
      <c r="S509">
        <v>0</v>
      </c>
      <c r="T509">
        <v>0.49530070701339352</v>
      </c>
      <c r="U509">
        <v>0</v>
      </c>
      <c r="V509">
        <v>0.50469929298660654</v>
      </c>
      <c r="W509">
        <v>5.0244831719317249</v>
      </c>
      <c r="X509">
        <v>0.49530070701339352</v>
      </c>
      <c r="Y509">
        <v>0.50469929298660654</v>
      </c>
      <c r="Z509" t="s">
        <v>24</v>
      </c>
    </row>
    <row r="510" spans="1:26" hidden="1" x14ac:dyDescent="0.2">
      <c r="A510">
        <v>31</v>
      </c>
      <c r="B510" t="s">
        <v>27</v>
      </c>
      <c r="C510" s="10">
        <v>10000082</v>
      </c>
      <c r="D510" t="b">
        <v>1</v>
      </c>
      <c r="F510">
        <v>0</v>
      </c>
      <c r="G510">
        <v>0</v>
      </c>
      <c r="H510">
        <v>0</v>
      </c>
      <c r="I510">
        <v>0</v>
      </c>
      <c r="J510">
        <v>0.9453100531042562</v>
      </c>
      <c r="W510">
        <v>3.1666666666666679</v>
      </c>
      <c r="X510">
        <v>1</v>
      </c>
      <c r="Y510">
        <v>0</v>
      </c>
      <c r="Z510" t="s">
        <v>23</v>
      </c>
    </row>
    <row r="511" spans="1:26" hidden="1" x14ac:dyDescent="0.2">
      <c r="A511">
        <v>31</v>
      </c>
      <c r="B511" t="s">
        <v>27</v>
      </c>
      <c r="C511" s="10">
        <v>10000033</v>
      </c>
      <c r="D511" t="b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0.37033406613644559</v>
      </c>
      <c r="Q511">
        <v>0</v>
      </c>
      <c r="R511">
        <v>0.37033406613644559</v>
      </c>
      <c r="S511">
        <v>0</v>
      </c>
      <c r="T511">
        <v>0.49530070701339352</v>
      </c>
      <c r="U511">
        <v>0</v>
      </c>
      <c r="V511">
        <v>0.50469929298660654</v>
      </c>
      <c r="W511">
        <v>5.0244831719317249</v>
      </c>
      <c r="X511">
        <v>0.49530070701339352</v>
      </c>
      <c r="Y511">
        <v>0.50469929298660654</v>
      </c>
      <c r="Z511" t="s">
        <v>24</v>
      </c>
    </row>
    <row r="512" spans="1:26" hidden="1" x14ac:dyDescent="0.2">
      <c r="A512">
        <v>31</v>
      </c>
      <c r="B512" t="s">
        <v>35</v>
      </c>
      <c r="C512" s="10">
        <v>10000082</v>
      </c>
      <c r="D512" t="b">
        <v>1</v>
      </c>
      <c r="F512">
        <v>0.92019772548825751</v>
      </c>
      <c r="G512">
        <v>7.9802274511742446E-2</v>
      </c>
      <c r="H512">
        <v>0</v>
      </c>
      <c r="I512">
        <v>0</v>
      </c>
      <c r="J512">
        <v>0</v>
      </c>
      <c r="W512">
        <v>3.344837698144314</v>
      </c>
      <c r="X512">
        <v>1</v>
      </c>
      <c r="Y512">
        <v>7.9802274511742446E-2</v>
      </c>
      <c r="Z512" t="s">
        <v>23</v>
      </c>
    </row>
    <row r="513" spans="1:26" hidden="1" x14ac:dyDescent="0.2">
      <c r="A513">
        <v>31</v>
      </c>
      <c r="B513" t="s">
        <v>35</v>
      </c>
      <c r="C513" s="10">
        <v>10000047</v>
      </c>
      <c r="D513" t="b">
        <v>0</v>
      </c>
      <c r="E513">
        <v>0.28571428571428581</v>
      </c>
      <c r="F513">
        <v>0</v>
      </c>
      <c r="G513">
        <v>0</v>
      </c>
      <c r="H513">
        <v>0</v>
      </c>
      <c r="I513">
        <v>0.55470216147567342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5.6721983635350197</v>
      </c>
      <c r="X513">
        <v>0.28571428571428581</v>
      </c>
      <c r="Y513">
        <v>0.55470216147567342</v>
      </c>
      <c r="Z513" t="s">
        <v>24</v>
      </c>
    </row>
    <row r="514" spans="1:26" hidden="1" x14ac:dyDescent="0.2">
      <c r="A514">
        <v>32</v>
      </c>
      <c r="B514" t="s">
        <v>26</v>
      </c>
      <c r="C514" s="10">
        <v>10000082</v>
      </c>
      <c r="D514" t="b">
        <v>1</v>
      </c>
      <c r="F514">
        <v>0</v>
      </c>
      <c r="G514">
        <v>0</v>
      </c>
      <c r="H514">
        <v>0</v>
      </c>
      <c r="I514">
        <v>0</v>
      </c>
      <c r="J514">
        <v>0.65588289389027599</v>
      </c>
      <c r="W514">
        <v>3.1666666666666679</v>
      </c>
      <c r="X514">
        <v>1</v>
      </c>
      <c r="Y514">
        <v>0</v>
      </c>
      <c r="Z514" t="s">
        <v>23</v>
      </c>
    </row>
    <row r="515" spans="1:26" hidden="1" x14ac:dyDescent="0.2">
      <c r="A515">
        <v>32</v>
      </c>
      <c r="B515" t="s">
        <v>26</v>
      </c>
      <c r="C515" s="10">
        <v>10000033</v>
      </c>
      <c r="D515" t="b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0.30882977802696898</v>
      </c>
      <c r="Q515">
        <v>0</v>
      </c>
      <c r="R515">
        <v>7.2129841732130398E-2</v>
      </c>
      <c r="S515">
        <v>0</v>
      </c>
      <c r="T515">
        <v>7.2129841732130398E-2</v>
      </c>
      <c r="U515">
        <v>0</v>
      </c>
      <c r="V515">
        <v>0.69117022197303091</v>
      </c>
      <c r="W515">
        <v>6.4557206784185404</v>
      </c>
      <c r="X515">
        <v>7.2129841732130398E-2</v>
      </c>
      <c r="Y515">
        <v>0.69117022197303091</v>
      </c>
      <c r="Z515" t="s">
        <v>24</v>
      </c>
    </row>
    <row r="516" spans="1:26" hidden="1" x14ac:dyDescent="0.2">
      <c r="A516">
        <v>32</v>
      </c>
      <c r="B516" t="s">
        <v>26</v>
      </c>
      <c r="C516" s="10">
        <v>10000047</v>
      </c>
      <c r="D516" t="b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0.80727880606349034</v>
      </c>
      <c r="P516">
        <v>0</v>
      </c>
      <c r="Q516">
        <v>0.1927211939365096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6.2406971330326098</v>
      </c>
      <c r="X516">
        <v>0.1927211939365096</v>
      </c>
      <c r="Y516">
        <v>0.80727880606349034</v>
      </c>
      <c r="Z516" t="s">
        <v>24</v>
      </c>
    </row>
    <row r="517" spans="1:26" hidden="1" x14ac:dyDescent="0.2">
      <c r="A517">
        <v>32</v>
      </c>
      <c r="B517" t="s">
        <v>28</v>
      </c>
      <c r="C517" s="10">
        <v>10000047</v>
      </c>
      <c r="D517" t="b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0.80645888080900097</v>
      </c>
      <c r="P517">
        <v>0</v>
      </c>
      <c r="Q517">
        <v>0.19354111919099909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6.2378879693501794</v>
      </c>
      <c r="X517">
        <v>0.19354111919099909</v>
      </c>
      <c r="Y517">
        <v>0.80645888080900097</v>
      </c>
      <c r="Z517" t="s">
        <v>24</v>
      </c>
    </row>
    <row r="518" spans="1:26" hidden="1" x14ac:dyDescent="0.2">
      <c r="A518">
        <v>32</v>
      </c>
      <c r="B518" t="s">
        <v>27</v>
      </c>
      <c r="C518" s="10">
        <v>10000033</v>
      </c>
      <c r="D518" t="b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0.31823512775624541</v>
      </c>
      <c r="Q518">
        <v>0</v>
      </c>
      <c r="R518">
        <v>7.2433310595260175E-2</v>
      </c>
      <c r="S518">
        <v>0</v>
      </c>
      <c r="T518">
        <v>7.2433310595260175E-2</v>
      </c>
      <c r="U518">
        <v>0</v>
      </c>
      <c r="V518">
        <v>0.68176487224375459</v>
      </c>
      <c r="W518">
        <v>6.4472907145485641</v>
      </c>
      <c r="X518">
        <v>7.2433310595260175E-2</v>
      </c>
      <c r="Y518">
        <v>0.68176487224375459</v>
      </c>
      <c r="Z518" t="s">
        <v>24</v>
      </c>
    </row>
    <row r="519" spans="1:26" hidden="1" x14ac:dyDescent="0.2">
      <c r="A519">
        <v>32</v>
      </c>
      <c r="B519" t="s">
        <v>31</v>
      </c>
      <c r="C519" s="10">
        <v>10000033</v>
      </c>
      <c r="D519" t="b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0.32744120233606178</v>
      </c>
      <c r="Q519">
        <v>0</v>
      </c>
      <c r="R519">
        <v>0.19828617334402751</v>
      </c>
      <c r="S519">
        <v>0</v>
      </c>
      <c r="T519">
        <v>0.19828617334402751</v>
      </c>
      <c r="U519">
        <v>0</v>
      </c>
      <c r="V519">
        <v>0.67255879766393822</v>
      </c>
      <c r="W519">
        <v>6.0831565302901414</v>
      </c>
      <c r="X519">
        <v>0.19828617334402751</v>
      </c>
      <c r="Y519">
        <v>0.67255879766393822</v>
      </c>
      <c r="Z519" t="s">
        <v>24</v>
      </c>
    </row>
    <row r="520" spans="1:26" hidden="1" x14ac:dyDescent="0.2">
      <c r="A520">
        <v>32</v>
      </c>
      <c r="B520" t="s">
        <v>35</v>
      </c>
      <c r="C520" s="10">
        <v>10000033</v>
      </c>
      <c r="D520" t="b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0.34431203469151639</v>
      </c>
      <c r="Q520">
        <v>0.34431203469151639</v>
      </c>
      <c r="R520">
        <v>0.19828617334402751</v>
      </c>
      <c r="S520">
        <v>0</v>
      </c>
      <c r="T520">
        <v>0.19828617334402751</v>
      </c>
      <c r="U520">
        <v>0</v>
      </c>
      <c r="V520">
        <v>0.56521739130434767</v>
      </c>
      <c r="W520">
        <v>5.5291941122254293</v>
      </c>
      <c r="X520">
        <v>0.34431203469151639</v>
      </c>
      <c r="Y520">
        <v>0.56521739130434767</v>
      </c>
      <c r="Z520" t="s">
        <v>24</v>
      </c>
    </row>
    <row r="521" spans="1:26" hidden="1" x14ac:dyDescent="0.2">
      <c r="A521">
        <v>32</v>
      </c>
      <c r="B521" t="s">
        <v>30</v>
      </c>
      <c r="C521" s="10">
        <v>10000073</v>
      </c>
      <c r="D521" t="b">
        <v>1</v>
      </c>
      <c r="E521">
        <v>0</v>
      </c>
      <c r="F521">
        <v>0</v>
      </c>
      <c r="G521">
        <v>0</v>
      </c>
      <c r="H521">
        <v>0</v>
      </c>
      <c r="I521">
        <v>0.52491970600442284</v>
      </c>
      <c r="J521">
        <v>0.35905673172962221</v>
      </c>
      <c r="W521">
        <v>5.4133821939646687</v>
      </c>
      <c r="X521">
        <v>0.35905673172962221</v>
      </c>
      <c r="Y521">
        <v>0.52491970600442284</v>
      </c>
      <c r="Z521" t="s">
        <v>24</v>
      </c>
    </row>
    <row r="522" spans="1:26" hidden="1" x14ac:dyDescent="0.2">
      <c r="A522">
        <v>32</v>
      </c>
      <c r="B522" t="s">
        <v>33</v>
      </c>
      <c r="C522" s="10">
        <v>10000082</v>
      </c>
      <c r="D522" t="b">
        <v>1</v>
      </c>
      <c r="F522">
        <v>0</v>
      </c>
      <c r="G522">
        <v>0</v>
      </c>
      <c r="H522">
        <v>0</v>
      </c>
      <c r="I522">
        <v>1</v>
      </c>
      <c r="J522">
        <v>0</v>
      </c>
      <c r="W522">
        <v>5.0025004164584352</v>
      </c>
      <c r="X522">
        <v>1</v>
      </c>
      <c r="Y522">
        <v>1</v>
      </c>
      <c r="Z522" t="s">
        <v>23</v>
      </c>
    </row>
    <row r="523" spans="1:26" hidden="1" x14ac:dyDescent="0.2">
      <c r="A523">
        <v>32</v>
      </c>
      <c r="B523" t="s">
        <v>33</v>
      </c>
      <c r="C523" s="10">
        <v>10000033</v>
      </c>
      <c r="D523" t="b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0.36180115798753598</v>
      </c>
      <c r="Q523">
        <v>0.33333333333333348</v>
      </c>
      <c r="R523">
        <v>0.20989522060560459</v>
      </c>
      <c r="S523">
        <v>0</v>
      </c>
      <c r="T523">
        <v>0.20989522060560459</v>
      </c>
      <c r="U523">
        <v>0</v>
      </c>
      <c r="V523">
        <v>0.63819884201246402</v>
      </c>
      <c r="W523">
        <v>5.6791587415700846</v>
      </c>
      <c r="X523">
        <v>0.33333333333333348</v>
      </c>
      <c r="Y523">
        <v>0.63819884201246402</v>
      </c>
      <c r="Z523" t="s">
        <v>24</v>
      </c>
    </row>
    <row r="524" spans="1:26" hidden="1" x14ac:dyDescent="0.2">
      <c r="A524">
        <v>32</v>
      </c>
      <c r="B524" t="s">
        <v>33</v>
      </c>
      <c r="C524" s="10">
        <v>10000047</v>
      </c>
      <c r="D524" t="b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0.69419882807520095</v>
      </c>
      <c r="P524">
        <v>0</v>
      </c>
      <c r="Q524">
        <v>0.30580117192479911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5.8295983293527698</v>
      </c>
      <c r="X524">
        <v>0.30580117192479911</v>
      </c>
      <c r="Y524">
        <v>0.69419882807520095</v>
      </c>
      <c r="Z524" t="s">
        <v>24</v>
      </c>
    </row>
    <row r="525" spans="1:26" hidden="1" x14ac:dyDescent="0.2">
      <c r="A525">
        <v>32</v>
      </c>
      <c r="B525" t="s">
        <v>29</v>
      </c>
      <c r="C525" s="10">
        <v>10000033</v>
      </c>
      <c r="D525" t="b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0.34327613469680812</v>
      </c>
      <c r="Q525">
        <v>0.33333333333333348</v>
      </c>
      <c r="R525">
        <v>0.20989522060560459</v>
      </c>
      <c r="S525">
        <v>0</v>
      </c>
      <c r="T525">
        <v>0.20989522060560459</v>
      </c>
      <c r="U525">
        <v>0</v>
      </c>
      <c r="V525">
        <v>0.65672386530319193</v>
      </c>
      <c r="W525">
        <v>5.7072774614311648</v>
      </c>
      <c r="X525">
        <v>0.33333333333333348</v>
      </c>
      <c r="Y525">
        <v>0.65672386530319193</v>
      </c>
      <c r="Z525" t="s">
        <v>24</v>
      </c>
    </row>
    <row r="526" spans="1:26" hidden="1" x14ac:dyDescent="0.2">
      <c r="A526">
        <v>32</v>
      </c>
      <c r="B526" t="s">
        <v>34</v>
      </c>
      <c r="C526" s="10">
        <v>10000082</v>
      </c>
      <c r="D526" t="b">
        <v>1</v>
      </c>
      <c r="F526">
        <v>0</v>
      </c>
      <c r="G526">
        <v>0</v>
      </c>
      <c r="H526">
        <v>0</v>
      </c>
      <c r="I526">
        <v>0.99733080675846897</v>
      </c>
      <c r="J526">
        <v>2.3311235037352291E-2</v>
      </c>
      <c r="W526">
        <v>4.9991577992337692</v>
      </c>
      <c r="X526">
        <v>1</v>
      </c>
      <c r="Y526">
        <v>0.99733080675846897</v>
      </c>
      <c r="Z526" t="s">
        <v>23</v>
      </c>
    </row>
    <row r="527" spans="1:26" hidden="1" x14ac:dyDescent="0.2">
      <c r="A527">
        <v>32</v>
      </c>
      <c r="B527" t="s">
        <v>34</v>
      </c>
      <c r="C527" s="10">
        <v>10000033</v>
      </c>
      <c r="D527" t="b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0.34580312990534351</v>
      </c>
      <c r="Q527">
        <v>0.28571428571428559</v>
      </c>
      <c r="R527">
        <v>0.21542840979622721</v>
      </c>
      <c r="S527">
        <v>0</v>
      </c>
      <c r="T527">
        <v>0.21542840979622721</v>
      </c>
      <c r="U527">
        <v>0</v>
      </c>
      <c r="V527">
        <v>0.65419687009465655</v>
      </c>
      <c r="W527">
        <v>5.8256141747076331</v>
      </c>
      <c r="X527">
        <v>0.28571428571428559</v>
      </c>
      <c r="Y527">
        <v>0.65419687009465655</v>
      </c>
      <c r="Z527" t="s">
        <v>24</v>
      </c>
    </row>
    <row r="528" spans="1:26" hidden="1" x14ac:dyDescent="0.2">
      <c r="A528">
        <v>32</v>
      </c>
      <c r="B528" t="s">
        <v>32</v>
      </c>
      <c r="C528" s="10">
        <v>10000082</v>
      </c>
      <c r="D528" t="b">
        <v>1</v>
      </c>
      <c r="F528">
        <v>0</v>
      </c>
      <c r="G528">
        <v>0.8666666666666667</v>
      </c>
      <c r="H528">
        <v>0</v>
      </c>
      <c r="I528">
        <v>0</v>
      </c>
      <c r="J528">
        <v>0</v>
      </c>
      <c r="W528">
        <v>4.8245156355057839</v>
      </c>
      <c r="X528">
        <v>1</v>
      </c>
      <c r="Y528">
        <v>0.8666666666666667</v>
      </c>
      <c r="Z528" t="s">
        <v>23</v>
      </c>
    </row>
    <row r="529" spans="1:26" hidden="1" x14ac:dyDescent="0.2">
      <c r="A529">
        <v>32</v>
      </c>
      <c r="B529" t="s">
        <v>32</v>
      </c>
      <c r="C529" s="10">
        <v>10000033</v>
      </c>
      <c r="D529" t="b">
        <v>0</v>
      </c>
      <c r="E529">
        <v>0</v>
      </c>
      <c r="F529">
        <v>0.22782604055723979</v>
      </c>
      <c r="G529">
        <v>0.54838709677419351</v>
      </c>
      <c r="H529">
        <v>0.45161290322580649</v>
      </c>
      <c r="I529">
        <v>0.35020943369295437</v>
      </c>
      <c r="J529">
        <v>0.35020943369295437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4.7808922889643668</v>
      </c>
      <c r="X529">
        <v>0.54838709677419351</v>
      </c>
      <c r="Y529">
        <v>0.45161290322580649</v>
      </c>
      <c r="Z529" t="s">
        <v>23</v>
      </c>
    </row>
    <row r="530" spans="1:26" hidden="1" x14ac:dyDescent="0.2">
      <c r="A530">
        <v>32</v>
      </c>
      <c r="B530" t="s">
        <v>32</v>
      </c>
      <c r="C530" s="10">
        <v>10000073</v>
      </c>
      <c r="D530" t="b">
        <v>0</v>
      </c>
      <c r="E530">
        <v>0.47377730616637198</v>
      </c>
      <c r="F530">
        <v>0</v>
      </c>
      <c r="G530">
        <v>0.52622269383362796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3.4316463166475981</v>
      </c>
      <c r="X530">
        <v>0.52622269383362796</v>
      </c>
      <c r="Y530">
        <v>0</v>
      </c>
      <c r="Z530" t="s">
        <v>23</v>
      </c>
    </row>
    <row r="531" spans="1:26" hidden="1" x14ac:dyDescent="0.2">
      <c r="A531">
        <v>32</v>
      </c>
      <c r="B531" t="s">
        <v>32</v>
      </c>
      <c r="C531" s="10">
        <v>10000047</v>
      </c>
      <c r="D531" t="b">
        <v>0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3.1666666666666679</v>
      </c>
      <c r="X531">
        <v>1</v>
      </c>
      <c r="Y531">
        <v>0</v>
      </c>
      <c r="Z531" t="s">
        <v>23</v>
      </c>
    </row>
    <row r="532" spans="1:26" hidden="1" x14ac:dyDescent="0.2">
      <c r="A532">
        <v>33</v>
      </c>
      <c r="B532" t="s">
        <v>28</v>
      </c>
      <c r="C532" s="10">
        <v>10000073</v>
      </c>
      <c r="D532" t="b">
        <v>1</v>
      </c>
      <c r="E532">
        <v>0</v>
      </c>
      <c r="F532">
        <v>0</v>
      </c>
      <c r="G532">
        <v>0</v>
      </c>
      <c r="H532">
        <v>0</v>
      </c>
      <c r="I532">
        <v>0.56863916504108691</v>
      </c>
      <c r="J532">
        <v>0.21236440511396609</v>
      </c>
      <c r="W532">
        <v>5.9082288810325121</v>
      </c>
      <c r="X532">
        <v>0.21236440511396609</v>
      </c>
      <c r="Y532">
        <v>0.56863916504108691</v>
      </c>
      <c r="Z532" t="s">
        <v>24</v>
      </c>
    </row>
    <row r="533" spans="1:26" hidden="1" x14ac:dyDescent="0.2">
      <c r="A533">
        <v>33</v>
      </c>
      <c r="B533" t="s">
        <v>31</v>
      </c>
      <c r="C533" s="10">
        <v>10000082</v>
      </c>
      <c r="D533" t="b">
        <v>1</v>
      </c>
      <c r="F533">
        <v>0</v>
      </c>
      <c r="G533">
        <v>0</v>
      </c>
      <c r="H533">
        <v>0</v>
      </c>
      <c r="I533">
        <v>1</v>
      </c>
      <c r="J533">
        <v>0</v>
      </c>
      <c r="W533">
        <v>5.0025004164584352</v>
      </c>
      <c r="X533">
        <v>1</v>
      </c>
      <c r="Y533">
        <v>1</v>
      </c>
      <c r="Z533" t="s">
        <v>23</v>
      </c>
    </row>
    <row r="534" spans="1:26" hidden="1" x14ac:dyDescent="0.2">
      <c r="A534">
        <v>33</v>
      </c>
      <c r="B534" t="s">
        <v>27</v>
      </c>
      <c r="C534" s="10">
        <v>10000082</v>
      </c>
      <c r="D534" t="b">
        <v>1</v>
      </c>
      <c r="F534">
        <v>0</v>
      </c>
      <c r="G534">
        <v>0</v>
      </c>
      <c r="H534">
        <v>0</v>
      </c>
      <c r="I534">
        <v>1</v>
      </c>
      <c r="J534">
        <v>0</v>
      </c>
      <c r="W534">
        <v>5.0025004164584352</v>
      </c>
      <c r="X534">
        <v>1</v>
      </c>
      <c r="Y534">
        <v>1</v>
      </c>
      <c r="Z534" t="s">
        <v>23</v>
      </c>
    </row>
    <row r="535" spans="1:26" hidden="1" x14ac:dyDescent="0.2">
      <c r="A535">
        <v>33</v>
      </c>
      <c r="B535" t="s">
        <v>31</v>
      </c>
      <c r="C535" s="10">
        <v>10000033</v>
      </c>
      <c r="D535" t="b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0.32704397665704049</v>
      </c>
      <c r="Q535">
        <v>0</v>
      </c>
      <c r="R535">
        <v>8.6175624417927366E-2</v>
      </c>
      <c r="S535">
        <v>0</v>
      </c>
      <c r="T535">
        <v>8.6175624417927366E-2</v>
      </c>
      <c r="U535">
        <v>0</v>
      </c>
      <c r="V535">
        <v>0.67295602334295945</v>
      </c>
      <c r="W535">
        <v>6.4000576930751656</v>
      </c>
      <c r="X535">
        <v>8.6175624417927366E-2</v>
      </c>
      <c r="Y535">
        <v>0.67295602334295945</v>
      </c>
      <c r="Z535" t="s">
        <v>24</v>
      </c>
    </row>
    <row r="536" spans="1:26" hidden="1" x14ac:dyDescent="0.2">
      <c r="A536">
        <v>33</v>
      </c>
      <c r="B536" t="s">
        <v>32</v>
      </c>
      <c r="C536" s="10">
        <v>10000033</v>
      </c>
      <c r="D536" t="b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0.34180730525878428</v>
      </c>
      <c r="Q536">
        <v>0</v>
      </c>
      <c r="R536">
        <v>0.11902864540221331</v>
      </c>
      <c r="S536">
        <v>0</v>
      </c>
      <c r="T536">
        <v>0.11902864540221331</v>
      </c>
      <c r="U536">
        <v>0</v>
      </c>
      <c r="V536">
        <v>0.65819269474121567</v>
      </c>
      <c r="W536">
        <v>6.2910571851020736</v>
      </c>
      <c r="X536">
        <v>0.11902864540221331</v>
      </c>
      <c r="Y536">
        <v>0.65819269474121567</v>
      </c>
      <c r="Z536" t="s">
        <v>24</v>
      </c>
    </row>
    <row r="537" spans="1:26" hidden="1" x14ac:dyDescent="0.2">
      <c r="A537">
        <v>33</v>
      </c>
      <c r="B537" t="s">
        <v>27</v>
      </c>
      <c r="C537" s="10">
        <v>10000047</v>
      </c>
      <c r="D537" t="b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0.72149587949101956</v>
      </c>
      <c r="P537">
        <v>0</v>
      </c>
      <c r="Q537">
        <v>0.27850412050898038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5.9333077126845568</v>
      </c>
      <c r="X537">
        <v>0.27850412050898038</v>
      </c>
      <c r="Y537">
        <v>0.72149587949101956</v>
      </c>
      <c r="Z537" t="s">
        <v>24</v>
      </c>
    </row>
    <row r="538" spans="1:26" hidden="1" x14ac:dyDescent="0.2">
      <c r="A538">
        <v>33</v>
      </c>
      <c r="B538" t="s">
        <v>26</v>
      </c>
      <c r="C538" s="10">
        <v>10000082</v>
      </c>
      <c r="D538" t="b">
        <v>1</v>
      </c>
      <c r="F538">
        <v>0</v>
      </c>
      <c r="G538">
        <v>0</v>
      </c>
      <c r="H538">
        <v>0</v>
      </c>
      <c r="I538">
        <v>1</v>
      </c>
      <c r="J538">
        <v>0</v>
      </c>
      <c r="W538">
        <v>5.0025004164584352</v>
      </c>
      <c r="X538">
        <v>1</v>
      </c>
      <c r="Y538">
        <v>1</v>
      </c>
      <c r="Z538" t="s">
        <v>23</v>
      </c>
    </row>
    <row r="539" spans="1:26" hidden="1" x14ac:dyDescent="0.2">
      <c r="A539">
        <v>33</v>
      </c>
      <c r="B539" t="s">
        <v>29</v>
      </c>
      <c r="C539" s="10">
        <v>10000033</v>
      </c>
      <c r="D539" t="b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0.32587816739265729</v>
      </c>
      <c r="Q539">
        <v>0</v>
      </c>
      <c r="R539">
        <v>0.26106881869015208</v>
      </c>
      <c r="S539">
        <v>0</v>
      </c>
      <c r="T539">
        <v>0.26106881869015208</v>
      </c>
      <c r="U539">
        <v>0</v>
      </c>
      <c r="V539">
        <v>0.6741218326073426</v>
      </c>
      <c r="W539">
        <v>5.9171348510244313</v>
      </c>
      <c r="X539">
        <v>0.26106881869015208</v>
      </c>
      <c r="Y539">
        <v>0.6741218326073426</v>
      </c>
      <c r="Z539" t="s">
        <v>24</v>
      </c>
    </row>
    <row r="540" spans="1:26" hidden="1" x14ac:dyDescent="0.2">
      <c r="A540">
        <v>33</v>
      </c>
      <c r="B540" t="s">
        <v>26</v>
      </c>
      <c r="C540" s="10">
        <v>10000047</v>
      </c>
      <c r="D540" t="b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0.66086047097046774</v>
      </c>
      <c r="P540">
        <v>0</v>
      </c>
      <c r="Q540">
        <v>0.33913952902953221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5.6989282123149181</v>
      </c>
      <c r="X540">
        <v>0.33913952902953221</v>
      </c>
      <c r="Y540">
        <v>0.66086047097046774</v>
      </c>
      <c r="Z540" t="s">
        <v>24</v>
      </c>
    </row>
    <row r="541" spans="1:26" hidden="1" x14ac:dyDescent="0.2">
      <c r="A541">
        <v>33</v>
      </c>
      <c r="B541" t="s">
        <v>34</v>
      </c>
      <c r="C541" s="10">
        <v>10000033</v>
      </c>
      <c r="D541" t="b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0.35535480300408268</v>
      </c>
      <c r="Q541">
        <v>0</v>
      </c>
      <c r="R541">
        <v>0.30523283205299018</v>
      </c>
      <c r="S541">
        <v>0</v>
      </c>
      <c r="T541">
        <v>0.30523283205299018</v>
      </c>
      <c r="U541">
        <v>0</v>
      </c>
      <c r="V541">
        <v>0.64464519699591738</v>
      </c>
      <c r="W541">
        <v>5.7610754116282443</v>
      </c>
      <c r="X541">
        <v>0.30523283205299018</v>
      </c>
      <c r="Y541">
        <v>0.64464519699591738</v>
      </c>
      <c r="Z541" t="s">
        <v>24</v>
      </c>
    </row>
    <row r="542" spans="1:26" hidden="1" x14ac:dyDescent="0.2">
      <c r="A542">
        <v>33</v>
      </c>
      <c r="B542" t="s">
        <v>30</v>
      </c>
      <c r="C542" s="10">
        <v>10000073</v>
      </c>
      <c r="D542" t="b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0.48406568818859258</v>
      </c>
      <c r="P542">
        <v>0</v>
      </c>
      <c r="Q542">
        <v>0.40005587441286311</v>
      </c>
      <c r="R542">
        <v>0</v>
      </c>
      <c r="S542">
        <v>0.40005587441286311</v>
      </c>
      <c r="T542">
        <v>0</v>
      </c>
      <c r="U542">
        <v>0.51593431181140736</v>
      </c>
      <c r="V542">
        <v>0</v>
      </c>
      <c r="W542">
        <v>5.2858083995955347</v>
      </c>
      <c r="X542">
        <v>0.40005587441286311</v>
      </c>
      <c r="Y542">
        <v>0.51593431181140736</v>
      </c>
      <c r="Z542" t="s">
        <v>24</v>
      </c>
    </row>
    <row r="543" spans="1:26" hidden="1" x14ac:dyDescent="0.2">
      <c r="A543">
        <v>33</v>
      </c>
      <c r="B543" t="s">
        <v>33</v>
      </c>
      <c r="C543" s="10">
        <v>10000033</v>
      </c>
      <c r="D543" t="b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0.34689811733593728</v>
      </c>
      <c r="Q543">
        <v>0</v>
      </c>
      <c r="R543">
        <v>0.30635002992995403</v>
      </c>
      <c r="S543">
        <v>0</v>
      </c>
      <c r="T543">
        <v>0.30635002992995403</v>
      </c>
      <c r="U543">
        <v>0</v>
      </c>
      <c r="V543">
        <v>0.65310188266406266</v>
      </c>
      <c r="W543">
        <v>5.7705471795186023</v>
      </c>
      <c r="X543">
        <v>0.30635002992995403</v>
      </c>
      <c r="Y543">
        <v>0.65310188266406266</v>
      </c>
      <c r="Z543" t="s">
        <v>24</v>
      </c>
    </row>
    <row r="544" spans="1:26" hidden="1" x14ac:dyDescent="0.2">
      <c r="A544">
        <v>33</v>
      </c>
      <c r="B544" t="s">
        <v>35</v>
      </c>
      <c r="C544" s="10">
        <v>10000033</v>
      </c>
      <c r="D544" t="b">
        <v>0</v>
      </c>
      <c r="E544">
        <v>0</v>
      </c>
      <c r="F544">
        <v>0</v>
      </c>
      <c r="G544">
        <v>0</v>
      </c>
      <c r="H544">
        <v>0.65439177086761036</v>
      </c>
      <c r="I544">
        <v>0</v>
      </c>
      <c r="J544">
        <v>0.34560822913238959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6.6448214479052856</v>
      </c>
      <c r="X544">
        <v>0</v>
      </c>
      <c r="Y544">
        <v>0.65439177086761036</v>
      </c>
      <c r="Z544" t="s">
        <v>24</v>
      </c>
    </row>
    <row r="545" spans="1:26" hidden="1" x14ac:dyDescent="0.2">
      <c r="A545">
        <v>34</v>
      </c>
      <c r="B545" t="s">
        <v>28</v>
      </c>
      <c r="C545" s="10">
        <v>10000033</v>
      </c>
      <c r="D545" t="b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0.30882977802696898</v>
      </c>
      <c r="Q545">
        <v>0</v>
      </c>
      <c r="R545">
        <v>8.133460483262242E-2</v>
      </c>
      <c r="S545">
        <v>0</v>
      </c>
      <c r="T545">
        <v>8.133460483262242E-2</v>
      </c>
      <c r="U545">
        <v>0</v>
      </c>
      <c r="V545">
        <v>0.69117022197303091</v>
      </c>
      <c r="W545">
        <v>6.4293501637470527</v>
      </c>
      <c r="X545">
        <v>8.133460483262242E-2</v>
      </c>
      <c r="Y545">
        <v>0.69117022197303091</v>
      </c>
      <c r="Z545" t="s">
        <v>24</v>
      </c>
    </row>
    <row r="546" spans="1:26" hidden="1" x14ac:dyDescent="0.2">
      <c r="A546">
        <v>34</v>
      </c>
      <c r="B546" t="s">
        <v>30</v>
      </c>
      <c r="C546" s="10">
        <v>10000033</v>
      </c>
      <c r="D546" t="b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0.29439796287129399</v>
      </c>
      <c r="Q546">
        <v>0</v>
      </c>
      <c r="R546">
        <v>0.1918697828247746</v>
      </c>
      <c r="S546">
        <v>0</v>
      </c>
      <c r="T546">
        <v>0.1918697828247746</v>
      </c>
      <c r="U546">
        <v>0</v>
      </c>
      <c r="V546">
        <v>0.70560203712870606</v>
      </c>
      <c r="W546">
        <v>6.1379598858552677</v>
      </c>
      <c r="X546">
        <v>0.1918697828247746</v>
      </c>
      <c r="Y546">
        <v>0.70560203712870606</v>
      </c>
      <c r="Z546" t="s">
        <v>24</v>
      </c>
    </row>
    <row r="547" spans="1:26" hidden="1" x14ac:dyDescent="0.2">
      <c r="A547">
        <v>34</v>
      </c>
      <c r="B547" t="s">
        <v>29</v>
      </c>
      <c r="C547" s="10">
        <v>10000082</v>
      </c>
      <c r="D547" t="b">
        <v>1</v>
      </c>
      <c r="F547">
        <v>0</v>
      </c>
      <c r="G547">
        <v>0</v>
      </c>
      <c r="H547">
        <v>0</v>
      </c>
      <c r="I547">
        <v>0.83459054476824635</v>
      </c>
      <c r="J547">
        <v>0.46648235239953723</v>
      </c>
      <c r="W547">
        <v>4.7783139597760602</v>
      </c>
      <c r="X547">
        <v>1</v>
      </c>
      <c r="Y547">
        <v>0.83459054476824635</v>
      </c>
      <c r="Z547" t="s">
        <v>23</v>
      </c>
    </row>
    <row r="548" spans="1:26" hidden="1" x14ac:dyDescent="0.2">
      <c r="A548">
        <v>34</v>
      </c>
      <c r="B548" t="s">
        <v>27</v>
      </c>
      <c r="C548" s="10">
        <v>10000033</v>
      </c>
      <c r="D548" t="b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0.29055408931084398</v>
      </c>
      <c r="Q548">
        <v>0</v>
      </c>
      <c r="R548">
        <v>0.24335500704273849</v>
      </c>
      <c r="S548">
        <v>0</v>
      </c>
      <c r="T548">
        <v>0.24335500704273849</v>
      </c>
      <c r="U548">
        <v>0</v>
      </c>
      <c r="V548">
        <v>0.70944591068915597</v>
      </c>
      <c r="W548">
        <v>6.0075374133241386</v>
      </c>
      <c r="X548">
        <v>0.24335500704273849</v>
      </c>
      <c r="Y548">
        <v>0.70944591068915597</v>
      </c>
      <c r="Z548" t="s">
        <v>24</v>
      </c>
    </row>
    <row r="549" spans="1:26" hidden="1" x14ac:dyDescent="0.2">
      <c r="A549">
        <v>34</v>
      </c>
      <c r="B549" t="s">
        <v>31</v>
      </c>
      <c r="C549" s="10">
        <v>10000073</v>
      </c>
      <c r="D549" t="b">
        <v>1</v>
      </c>
      <c r="E549">
        <v>0</v>
      </c>
      <c r="F549">
        <v>0</v>
      </c>
      <c r="G549">
        <v>0</v>
      </c>
      <c r="H549">
        <v>0</v>
      </c>
      <c r="I549">
        <v>0.57655827148965444</v>
      </c>
      <c r="J549">
        <v>0.41006707790696922</v>
      </c>
      <c r="W549">
        <v>5.3809631725155667</v>
      </c>
      <c r="X549">
        <v>0.41006707790696922</v>
      </c>
      <c r="Y549">
        <v>0.57655827148965444</v>
      </c>
      <c r="Z549" t="s">
        <v>24</v>
      </c>
    </row>
    <row r="550" spans="1:26" hidden="1" x14ac:dyDescent="0.2">
      <c r="A550">
        <v>34</v>
      </c>
      <c r="B550" t="s">
        <v>29</v>
      </c>
      <c r="C550" s="10">
        <v>10000033</v>
      </c>
      <c r="D550" t="b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0.30628966961809512</v>
      </c>
      <c r="Q550">
        <v>0</v>
      </c>
      <c r="R550">
        <v>0.24335500704273849</v>
      </c>
      <c r="S550">
        <v>0</v>
      </c>
      <c r="T550">
        <v>0.24335500704273849</v>
      </c>
      <c r="U550">
        <v>0</v>
      </c>
      <c r="V550">
        <v>0.69371033038190488</v>
      </c>
      <c r="W550">
        <v>5.9883344544299781</v>
      </c>
      <c r="X550">
        <v>0.24335500704273849</v>
      </c>
      <c r="Y550">
        <v>0.69371033038190488</v>
      </c>
      <c r="Z550" t="s">
        <v>24</v>
      </c>
    </row>
    <row r="551" spans="1:26" hidden="1" x14ac:dyDescent="0.2">
      <c r="A551">
        <v>34</v>
      </c>
      <c r="B551" t="s">
        <v>32</v>
      </c>
      <c r="C551" s="10">
        <v>10000082</v>
      </c>
      <c r="D551" t="b">
        <v>1</v>
      </c>
      <c r="F551">
        <v>0</v>
      </c>
      <c r="G551">
        <v>0</v>
      </c>
      <c r="H551">
        <v>0</v>
      </c>
      <c r="I551">
        <v>0.46401080492659691</v>
      </c>
      <c r="J551">
        <v>0.53598919507340315</v>
      </c>
      <c r="W551">
        <v>4.1501820060891674</v>
      </c>
      <c r="X551">
        <v>1</v>
      </c>
      <c r="Y551">
        <v>0.46401080492659691</v>
      </c>
      <c r="Z551" t="s">
        <v>23</v>
      </c>
    </row>
    <row r="552" spans="1:26" hidden="1" x14ac:dyDescent="0.2">
      <c r="A552">
        <v>34</v>
      </c>
      <c r="B552" t="s">
        <v>32</v>
      </c>
      <c r="C552" s="10">
        <v>10000047</v>
      </c>
      <c r="D552" t="b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0.67398055655965483</v>
      </c>
      <c r="P552">
        <v>0</v>
      </c>
      <c r="Q552">
        <v>0.32601944344034522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5.750885080108473</v>
      </c>
      <c r="X552">
        <v>0.32601944344034522</v>
      </c>
      <c r="Y552">
        <v>0.67398055655965483</v>
      </c>
      <c r="Z552" t="s">
        <v>24</v>
      </c>
    </row>
    <row r="553" spans="1:26" hidden="1" x14ac:dyDescent="0.2">
      <c r="A553">
        <v>34</v>
      </c>
      <c r="B553" t="s">
        <v>33</v>
      </c>
      <c r="C553" s="10">
        <v>10000033</v>
      </c>
      <c r="D553" t="b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0.31026775377842303</v>
      </c>
      <c r="Q553">
        <v>0</v>
      </c>
      <c r="R553">
        <v>0.28878863024468499</v>
      </c>
      <c r="S553">
        <v>0</v>
      </c>
      <c r="T553">
        <v>0.28878863024468499</v>
      </c>
      <c r="U553">
        <v>0</v>
      </c>
      <c r="V553">
        <v>0.68973224622157703</v>
      </c>
      <c r="W553">
        <v>5.8663885293201607</v>
      </c>
      <c r="X553">
        <v>0.28878863024468499</v>
      </c>
      <c r="Y553">
        <v>0.68973224622157703</v>
      </c>
      <c r="Z553" t="s">
        <v>24</v>
      </c>
    </row>
    <row r="554" spans="1:26" hidden="1" x14ac:dyDescent="0.2">
      <c r="A554">
        <v>34</v>
      </c>
      <c r="B554" t="s">
        <v>34</v>
      </c>
      <c r="C554" s="10">
        <v>10000033</v>
      </c>
      <c r="D554" t="b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0.31216289706971989</v>
      </c>
      <c r="Q554">
        <v>0</v>
      </c>
      <c r="R554">
        <v>0.28878863024468499</v>
      </c>
      <c r="S554">
        <v>0</v>
      </c>
      <c r="T554">
        <v>0.28878863024468499</v>
      </c>
      <c r="U554">
        <v>0</v>
      </c>
      <c r="V554">
        <v>0.68783710293028011</v>
      </c>
      <c r="W554">
        <v>5.8638548223049636</v>
      </c>
      <c r="X554">
        <v>0.28878863024468499</v>
      </c>
      <c r="Y554">
        <v>0.68783710293028011</v>
      </c>
      <c r="Z554" t="s">
        <v>24</v>
      </c>
    </row>
    <row r="555" spans="1:26" hidden="1" x14ac:dyDescent="0.2">
      <c r="A555">
        <v>34</v>
      </c>
      <c r="B555" t="s">
        <v>35</v>
      </c>
      <c r="C555" s="10">
        <v>10000033</v>
      </c>
      <c r="D555" t="b">
        <v>0</v>
      </c>
      <c r="E555">
        <v>0</v>
      </c>
      <c r="F555">
        <v>0</v>
      </c>
      <c r="G555">
        <v>0</v>
      </c>
      <c r="H555">
        <v>0.6705660525584799</v>
      </c>
      <c r="I555">
        <v>0</v>
      </c>
      <c r="J555">
        <v>0.32943394744151999</v>
      </c>
      <c r="K555">
        <v>0</v>
      </c>
      <c r="L555">
        <v>0.16666666666666671</v>
      </c>
      <c r="M555">
        <v>0.16666666666666671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6.1682322303047474</v>
      </c>
      <c r="X555">
        <v>0.16666666666666671</v>
      </c>
      <c r="Y555">
        <v>0.6705660525584799</v>
      </c>
      <c r="Z555" t="s">
        <v>24</v>
      </c>
    </row>
    <row r="556" spans="1:26" hidden="1" x14ac:dyDescent="0.2">
      <c r="A556">
        <v>34</v>
      </c>
      <c r="B556" t="s">
        <v>26</v>
      </c>
      <c r="C556" s="10">
        <v>10000033</v>
      </c>
      <c r="D556" t="b">
        <v>0</v>
      </c>
      <c r="E556">
        <v>0</v>
      </c>
      <c r="F556">
        <v>0</v>
      </c>
      <c r="G556">
        <v>0</v>
      </c>
      <c r="H556">
        <v>0.67394112924320715</v>
      </c>
      <c r="I556">
        <v>0</v>
      </c>
      <c r="J556">
        <v>0.32605887075679291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6.6559636242419176</v>
      </c>
      <c r="X556">
        <v>0</v>
      </c>
      <c r="Y556">
        <v>0.67394112924320715</v>
      </c>
      <c r="Z556" t="s">
        <v>24</v>
      </c>
    </row>
    <row r="557" spans="1:26" hidden="1" x14ac:dyDescent="0.2">
      <c r="A557">
        <v>35</v>
      </c>
      <c r="B557" t="s">
        <v>28</v>
      </c>
      <c r="C557" s="10">
        <v>10000082</v>
      </c>
      <c r="D557" t="b">
        <v>1</v>
      </c>
      <c r="F557">
        <v>0</v>
      </c>
      <c r="G557">
        <v>0</v>
      </c>
      <c r="H557">
        <v>0</v>
      </c>
      <c r="I557">
        <v>0.43765042305771479</v>
      </c>
      <c r="J557">
        <v>0.56234957694228527</v>
      </c>
      <c r="W557">
        <v>4.0992088602850414</v>
      </c>
      <c r="X557">
        <v>1</v>
      </c>
      <c r="Y557">
        <v>0.43765042305771479</v>
      </c>
      <c r="Z557" t="s">
        <v>23</v>
      </c>
    </row>
    <row r="558" spans="1:26" hidden="1" x14ac:dyDescent="0.2">
      <c r="A558">
        <v>35</v>
      </c>
      <c r="B558" t="s">
        <v>28</v>
      </c>
      <c r="C558" s="10">
        <v>10000033</v>
      </c>
      <c r="D558" t="b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0.30882977802696898</v>
      </c>
      <c r="Q558">
        <v>0</v>
      </c>
      <c r="R558">
        <v>3.9764766547528481E-2</v>
      </c>
      <c r="S558">
        <v>0</v>
      </c>
      <c r="T558">
        <v>3.9764766547528481E-2</v>
      </c>
      <c r="U558">
        <v>0</v>
      </c>
      <c r="V558">
        <v>0.69117022197303091</v>
      </c>
      <c r="W558">
        <v>6.549249606200112</v>
      </c>
      <c r="X558">
        <v>3.9764766547528481E-2</v>
      </c>
      <c r="Y558">
        <v>0.69117022197303091</v>
      </c>
      <c r="Z558" t="s">
        <v>24</v>
      </c>
    </row>
    <row r="559" spans="1:26" hidden="1" x14ac:dyDescent="0.2">
      <c r="A559">
        <v>35</v>
      </c>
      <c r="B559" t="s">
        <v>34</v>
      </c>
      <c r="C559" s="10">
        <v>10000047</v>
      </c>
      <c r="D559" t="b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0.81633460728357421</v>
      </c>
      <c r="P559">
        <v>0</v>
      </c>
      <c r="Q559">
        <v>0.18366539271642579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6.2715562272836527</v>
      </c>
      <c r="X559">
        <v>0.18366539271642579</v>
      </c>
      <c r="Y559">
        <v>0.81633460728357421</v>
      </c>
      <c r="Z559" t="s">
        <v>24</v>
      </c>
    </row>
    <row r="560" spans="1:26" hidden="1" x14ac:dyDescent="0.2">
      <c r="A560">
        <v>35</v>
      </c>
      <c r="B560" t="s">
        <v>29</v>
      </c>
      <c r="C560" s="10">
        <v>10000033</v>
      </c>
      <c r="D560" t="b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0.30183012684093807</v>
      </c>
      <c r="Q560">
        <v>0</v>
      </c>
      <c r="R560">
        <v>6.2288046098517562E-2</v>
      </c>
      <c r="S560">
        <v>0</v>
      </c>
      <c r="T560">
        <v>6.2288046098517562E-2</v>
      </c>
      <c r="U560">
        <v>0</v>
      </c>
      <c r="V560">
        <v>0.69816987315906187</v>
      </c>
      <c r="W560">
        <v>6.4893936958677232</v>
      </c>
      <c r="X560">
        <v>6.2288046098517562E-2</v>
      </c>
      <c r="Y560">
        <v>0.69816987315906187</v>
      </c>
      <c r="Z560" t="s">
        <v>24</v>
      </c>
    </row>
    <row r="561" spans="1:26" hidden="1" x14ac:dyDescent="0.2">
      <c r="A561">
        <v>35</v>
      </c>
      <c r="B561" t="s">
        <v>29</v>
      </c>
      <c r="C561" s="10">
        <v>10000082</v>
      </c>
      <c r="D561" t="b">
        <v>1</v>
      </c>
      <c r="F561">
        <v>0</v>
      </c>
      <c r="G561">
        <v>0</v>
      </c>
      <c r="H561">
        <v>0</v>
      </c>
      <c r="I561">
        <v>1</v>
      </c>
      <c r="J561">
        <v>0</v>
      </c>
      <c r="W561">
        <v>5.0025004164584352</v>
      </c>
      <c r="X561">
        <v>1</v>
      </c>
      <c r="Y561">
        <v>1</v>
      </c>
      <c r="Z561" t="s">
        <v>23</v>
      </c>
    </row>
    <row r="562" spans="1:26" hidden="1" x14ac:dyDescent="0.2">
      <c r="A562">
        <v>35</v>
      </c>
      <c r="B562" t="s">
        <v>31</v>
      </c>
      <c r="C562" s="10">
        <v>10000033</v>
      </c>
      <c r="D562" t="b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0.30164663246431861</v>
      </c>
      <c r="Q562">
        <v>0</v>
      </c>
      <c r="R562">
        <v>6.2288046098517562E-2</v>
      </c>
      <c r="S562">
        <v>0</v>
      </c>
      <c r="T562">
        <v>6.2288046098517562E-2</v>
      </c>
      <c r="U562">
        <v>0</v>
      </c>
      <c r="V562">
        <v>0.69835336753568134</v>
      </c>
      <c r="W562">
        <v>6.4895338830990079</v>
      </c>
      <c r="X562">
        <v>6.2288046098517562E-2</v>
      </c>
      <c r="Y562">
        <v>0.69835336753568134</v>
      </c>
      <c r="Z562" t="s">
        <v>24</v>
      </c>
    </row>
    <row r="563" spans="1:26" hidden="1" x14ac:dyDescent="0.2">
      <c r="A563">
        <v>35</v>
      </c>
      <c r="B563" t="s">
        <v>35</v>
      </c>
      <c r="C563" s="10">
        <v>10000082</v>
      </c>
      <c r="D563" t="b">
        <v>1</v>
      </c>
      <c r="F563">
        <v>0</v>
      </c>
      <c r="G563">
        <v>0</v>
      </c>
      <c r="H563">
        <v>0</v>
      </c>
      <c r="I563">
        <v>0.99439005887991894</v>
      </c>
      <c r="J563">
        <v>0.1788329303353603</v>
      </c>
      <c r="W563">
        <v>4.9954647852781164</v>
      </c>
      <c r="X563">
        <v>1</v>
      </c>
      <c r="Y563">
        <v>0.99439005887991894</v>
      </c>
      <c r="Z563" t="s">
        <v>23</v>
      </c>
    </row>
    <row r="564" spans="1:26" hidden="1" x14ac:dyDescent="0.2">
      <c r="A564">
        <v>35</v>
      </c>
      <c r="B564" t="s">
        <v>35</v>
      </c>
      <c r="C564" s="10">
        <v>10000073</v>
      </c>
      <c r="D564" t="b">
        <v>1</v>
      </c>
      <c r="E564">
        <v>0</v>
      </c>
      <c r="F564">
        <v>0</v>
      </c>
      <c r="G564">
        <v>0</v>
      </c>
      <c r="H564">
        <v>0</v>
      </c>
      <c r="I564">
        <v>0.59754477864349875</v>
      </c>
      <c r="J564">
        <v>0.23863514219641341</v>
      </c>
      <c r="W564">
        <v>5.8732394901110423</v>
      </c>
      <c r="X564">
        <v>0.23863514219641341</v>
      </c>
      <c r="Y564">
        <v>0.59754477864349875</v>
      </c>
      <c r="Z564" t="s">
        <v>24</v>
      </c>
    </row>
    <row r="565" spans="1:26" hidden="1" x14ac:dyDescent="0.2">
      <c r="A565">
        <v>35</v>
      </c>
      <c r="B565" t="s">
        <v>26</v>
      </c>
      <c r="C565" s="10">
        <v>10000033</v>
      </c>
      <c r="D565" t="b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0.28425102116788492</v>
      </c>
      <c r="Q565">
        <v>0</v>
      </c>
      <c r="R565">
        <v>8.7108942588087032E-2</v>
      </c>
      <c r="S565">
        <v>0</v>
      </c>
      <c r="T565">
        <v>8.7108942588087032E-2</v>
      </c>
      <c r="U565">
        <v>0</v>
      </c>
      <c r="V565">
        <v>0.71574897883211508</v>
      </c>
      <c r="W565">
        <v>6.4333419886254788</v>
      </c>
      <c r="X565">
        <v>8.7108942588087032E-2</v>
      </c>
      <c r="Y565">
        <v>0.71574897883211508</v>
      </c>
      <c r="Z565" t="s">
        <v>24</v>
      </c>
    </row>
    <row r="566" spans="1:26" hidden="1" x14ac:dyDescent="0.2">
      <c r="A566">
        <v>35</v>
      </c>
      <c r="B566" t="s">
        <v>33</v>
      </c>
      <c r="C566" s="10">
        <v>10000082</v>
      </c>
      <c r="D566" t="b">
        <v>1</v>
      </c>
      <c r="F566">
        <v>0</v>
      </c>
      <c r="G566">
        <v>0</v>
      </c>
      <c r="H566">
        <v>0</v>
      </c>
      <c r="I566">
        <v>0.99939945631842775</v>
      </c>
      <c r="J566">
        <v>0.1062688694349677</v>
      </c>
      <c r="W566">
        <v>5.0017491363537188</v>
      </c>
      <c r="X566">
        <v>1</v>
      </c>
      <c r="Y566">
        <v>0.99939945631842775</v>
      </c>
      <c r="Z566" t="s">
        <v>23</v>
      </c>
    </row>
    <row r="567" spans="1:26" hidden="1" x14ac:dyDescent="0.2">
      <c r="A567">
        <v>35</v>
      </c>
      <c r="B567" t="s">
        <v>33</v>
      </c>
      <c r="C567" s="10">
        <v>10000073</v>
      </c>
      <c r="D567" t="b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0.38638580277490009</v>
      </c>
      <c r="P567">
        <v>0</v>
      </c>
      <c r="Q567">
        <v>0.23972761826756231</v>
      </c>
      <c r="R567">
        <v>0</v>
      </c>
      <c r="S567">
        <v>0.23972761826756231</v>
      </c>
      <c r="T567">
        <v>0</v>
      </c>
      <c r="U567">
        <v>0.61361419722509991</v>
      </c>
      <c r="V567">
        <v>0</v>
      </c>
      <c r="W567">
        <v>5.8929580775235069</v>
      </c>
      <c r="X567">
        <v>0.23972761826756231</v>
      </c>
      <c r="Y567">
        <v>0.61361419722509991</v>
      </c>
      <c r="Z567" t="s">
        <v>24</v>
      </c>
    </row>
    <row r="568" spans="1:26" hidden="1" x14ac:dyDescent="0.2">
      <c r="A568">
        <v>35</v>
      </c>
      <c r="B568" t="s">
        <v>32</v>
      </c>
      <c r="C568" s="10">
        <v>10000033</v>
      </c>
      <c r="D568" t="b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0.74530346122679558</v>
      </c>
      <c r="M568">
        <v>0.1480035316665699</v>
      </c>
      <c r="N568">
        <v>0</v>
      </c>
      <c r="O568">
        <v>0</v>
      </c>
      <c r="P568">
        <v>6.6666666666666666E-2</v>
      </c>
      <c r="Q568">
        <v>0</v>
      </c>
      <c r="R568">
        <v>6.6666666666666666E-2</v>
      </c>
      <c r="S568">
        <v>0</v>
      </c>
      <c r="T568">
        <v>6.6666666666666666E-2</v>
      </c>
      <c r="U568">
        <v>0</v>
      </c>
      <c r="V568">
        <v>6.6666666666666666E-2</v>
      </c>
      <c r="W568">
        <v>6.2947836890102886</v>
      </c>
      <c r="X568">
        <v>0.1480035316665699</v>
      </c>
      <c r="Y568">
        <v>0.74530346122679558</v>
      </c>
      <c r="Z568" t="s">
        <v>24</v>
      </c>
    </row>
    <row r="569" spans="1:26" hidden="1" x14ac:dyDescent="0.2">
      <c r="A569">
        <v>35</v>
      </c>
      <c r="B569" t="s">
        <v>30</v>
      </c>
      <c r="C569" s="10">
        <v>10000047</v>
      </c>
      <c r="D569" t="b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0.53846153846153832</v>
      </c>
      <c r="M569">
        <v>0</v>
      </c>
      <c r="N569">
        <v>0</v>
      </c>
      <c r="O569">
        <v>3.3333333333333333E-2</v>
      </c>
      <c r="P569">
        <v>3.3333333333333333E-2</v>
      </c>
      <c r="Q569">
        <v>3.3333333333333333E-2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6.458514639301038</v>
      </c>
      <c r="X569">
        <v>3.3333333333333333E-2</v>
      </c>
      <c r="Y569">
        <v>0.53846153846153832</v>
      </c>
      <c r="Z569" t="s">
        <v>24</v>
      </c>
    </row>
    <row r="570" spans="1:26" hidden="1" x14ac:dyDescent="0.2">
      <c r="A570">
        <v>35</v>
      </c>
      <c r="B570" t="s">
        <v>27</v>
      </c>
      <c r="C570" s="10">
        <v>10000033</v>
      </c>
      <c r="D570" t="b">
        <v>0</v>
      </c>
      <c r="E570">
        <v>0</v>
      </c>
      <c r="F570">
        <v>0</v>
      </c>
      <c r="G570">
        <v>0</v>
      </c>
      <c r="H570">
        <v>0.76047793043048006</v>
      </c>
      <c r="I570">
        <v>0</v>
      </c>
      <c r="J570">
        <v>0.23952206956951991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6.7048224899223543</v>
      </c>
      <c r="X570">
        <v>0</v>
      </c>
      <c r="Y570">
        <v>0.76047793043048006</v>
      </c>
      <c r="Z570" t="s">
        <v>24</v>
      </c>
    </row>
    <row r="571" spans="1:26" hidden="1" x14ac:dyDescent="0.2">
      <c r="A571">
        <v>36</v>
      </c>
      <c r="B571" t="s">
        <v>34</v>
      </c>
      <c r="C571" s="10">
        <v>10000082</v>
      </c>
      <c r="D571" t="b">
        <v>1</v>
      </c>
      <c r="F571">
        <v>0</v>
      </c>
      <c r="G571">
        <v>0</v>
      </c>
      <c r="H571">
        <v>0</v>
      </c>
      <c r="I571">
        <v>0</v>
      </c>
      <c r="J571">
        <v>1</v>
      </c>
      <c r="W571">
        <v>3.1666666666666679</v>
      </c>
      <c r="X571">
        <v>1</v>
      </c>
      <c r="Y571">
        <v>0</v>
      </c>
      <c r="Z571" t="s">
        <v>23</v>
      </c>
    </row>
    <row r="572" spans="1:26" hidden="1" x14ac:dyDescent="0.2">
      <c r="A572">
        <v>36</v>
      </c>
      <c r="B572" t="s">
        <v>34</v>
      </c>
      <c r="C572" s="10">
        <v>10000033</v>
      </c>
      <c r="D572" t="b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0.30882977802696898</v>
      </c>
      <c r="Q572">
        <v>0</v>
      </c>
      <c r="R572">
        <v>6.1944615259248409E-2</v>
      </c>
      <c r="S572">
        <v>0</v>
      </c>
      <c r="T572">
        <v>6.1944615259248409E-2</v>
      </c>
      <c r="U572">
        <v>0</v>
      </c>
      <c r="V572">
        <v>0.69117022197303091</v>
      </c>
      <c r="W572">
        <v>6.4850161317335591</v>
      </c>
      <c r="X572">
        <v>6.1944615259248409E-2</v>
      </c>
      <c r="Y572">
        <v>0.69117022197303091</v>
      </c>
      <c r="Z572" t="s">
        <v>24</v>
      </c>
    </row>
    <row r="573" spans="1:26" hidden="1" x14ac:dyDescent="0.2">
      <c r="A573">
        <v>36</v>
      </c>
      <c r="B573" t="s">
        <v>31</v>
      </c>
      <c r="C573" s="10">
        <v>10000082</v>
      </c>
      <c r="D573" t="b">
        <v>1</v>
      </c>
      <c r="F573">
        <v>0</v>
      </c>
      <c r="G573">
        <v>0</v>
      </c>
      <c r="H573">
        <v>0</v>
      </c>
      <c r="I573">
        <v>0</v>
      </c>
      <c r="J573">
        <v>1</v>
      </c>
      <c r="W573">
        <v>3.1666666666666679</v>
      </c>
      <c r="X573">
        <v>1</v>
      </c>
      <c r="Y573">
        <v>0</v>
      </c>
      <c r="Z573" t="s">
        <v>23</v>
      </c>
    </row>
    <row r="574" spans="1:26" hidden="1" x14ac:dyDescent="0.2">
      <c r="A574">
        <v>36</v>
      </c>
      <c r="B574" t="s">
        <v>31</v>
      </c>
      <c r="C574" s="10">
        <v>10000047</v>
      </c>
      <c r="D574" t="b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0.78021907604784391</v>
      </c>
      <c r="P574">
        <v>0</v>
      </c>
      <c r="Q574">
        <v>0.21978092395215609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6.1467034064043693</v>
      </c>
      <c r="X574">
        <v>0.21978092395215609</v>
      </c>
      <c r="Y574">
        <v>0.78021907604784391</v>
      </c>
      <c r="Z574" t="s">
        <v>24</v>
      </c>
    </row>
    <row r="575" spans="1:26" hidden="1" x14ac:dyDescent="0.2">
      <c r="A575">
        <v>36</v>
      </c>
      <c r="B575" t="s">
        <v>28</v>
      </c>
      <c r="C575" s="10">
        <v>10000082</v>
      </c>
      <c r="D575" t="b">
        <v>1</v>
      </c>
      <c r="F575">
        <v>0</v>
      </c>
      <c r="G575">
        <v>0</v>
      </c>
      <c r="H575">
        <v>0</v>
      </c>
      <c r="I575">
        <v>0</v>
      </c>
      <c r="J575">
        <v>1</v>
      </c>
      <c r="W575">
        <v>3.1666666666666679</v>
      </c>
      <c r="X575">
        <v>1</v>
      </c>
      <c r="Y575">
        <v>0</v>
      </c>
      <c r="Z575" t="s">
        <v>23</v>
      </c>
    </row>
    <row r="576" spans="1:26" hidden="1" x14ac:dyDescent="0.2">
      <c r="A576">
        <v>36</v>
      </c>
      <c r="B576" t="s">
        <v>28</v>
      </c>
      <c r="C576" s="10">
        <v>10000033</v>
      </c>
      <c r="D576" t="b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0.31934894646786499</v>
      </c>
      <c r="Q576">
        <v>0</v>
      </c>
      <c r="R576">
        <v>0.10196958598480139</v>
      </c>
      <c r="S576">
        <v>0</v>
      </c>
      <c r="T576">
        <v>0.10196958598480139</v>
      </c>
      <c r="U576">
        <v>0</v>
      </c>
      <c r="V576">
        <v>0.68065105353213495</v>
      </c>
      <c r="W576">
        <v>6.361251336433801</v>
      </c>
      <c r="X576">
        <v>0.10196958598480139</v>
      </c>
      <c r="Y576">
        <v>0.68065105353213495</v>
      </c>
      <c r="Z576" t="s">
        <v>24</v>
      </c>
    </row>
    <row r="577" spans="1:26" hidden="1" x14ac:dyDescent="0.2">
      <c r="A577">
        <v>36</v>
      </c>
      <c r="B577" t="s">
        <v>30</v>
      </c>
      <c r="C577" s="10">
        <v>10000033</v>
      </c>
      <c r="D577" t="b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0.18181818181818171</v>
      </c>
      <c r="Q577">
        <v>0.30774981057607231</v>
      </c>
      <c r="R577">
        <v>0.1038815597348557</v>
      </c>
      <c r="S577">
        <v>0</v>
      </c>
      <c r="T577">
        <v>0.1038815597348557</v>
      </c>
      <c r="U577">
        <v>0</v>
      </c>
      <c r="V577">
        <v>0.6922501894239278</v>
      </c>
      <c r="W577">
        <v>5.8220834900044789</v>
      </c>
      <c r="X577">
        <v>0.30774981057607231</v>
      </c>
      <c r="Y577">
        <v>0.6922501894239278</v>
      </c>
      <c r="Z577" t="s">
        <v>24</v>
      </c>
    </row>
    <row r="578" spans="1:26" hidden="1" x14ac:dyDescent="0.2">
      <c r="A578">
        <v>36</v>
      </c>
      <c r="B578" t="s">
        <v>27</v>
      </c>
      <c r="C578" s="10">
        <v>10000047</v>
      </c>
      <c r="D578" t="b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0.65127653688091336</v>
      </c>
      <c r="P578">
        <v>0</v>
      </c>
      <c r="Q578">
        <v>0.34872346311908659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5.6605326780565166</v>
      </c>
      <c r="X578">
        <v>0.34872346311908659</v>
      </c>
      <c r="Y578">
        <v>0.65127653688091336</v>
      </c>
      <c r="Z578" t="s">
        <v>24</v>
      </c>
    </row>
    <row r="579" spans="1:26" hidden="1" x14ac:dyDescent="0.2">
      <c r="A579">
        <v>36</v>
      </c>
      <c r="B579" t="s">
        <v>33</v>
      </c>
      <c r="C579" s="10">
        <v>10000033</v>
      </c>
      <c r="D579" t="b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0.33333333333333348</v>
      </c>
      <c r="Q579">
        <v>0.3518038098796939</v>
      </c>
      <c r="R579">
        <v>0.28419931271265902</v>
      </c>
      <c r="S579">
        <v>0</v>
      </c>
      <c r="T579">
        <v>0.28419931271265902</v>
      </c>
      <c r="U579">
        <v>0</v>
      </c>
      <c r="V579">
        <v>0.64819619012030616</v>
      </c>
      <c r="W579">
        <v>5.6481125114117177</v>
      </c>
      <c r="X579">
        <v>0.3518038098796939</v>
      </c>
      <c r="Y579">
        <v>0.64819619012030616</v>
      </c>
      <c r="Z579" t="s">
        <v>24</v>
      </c>
    </row>
    <row r="580" spans="1:26" hidden="1" x14ac:dyDescent="0.2">
      <c r="A580">
        <v>36</v>
      </c>
      <c r="B580" t="s">
        <v>26</v>
      </c>
      <c r="C580" s="10">
        <v>10000033</v>
      </c>
      <c r="D580" t="b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0.34472310093186431</v>
      </c>
      <c r="Q580">
        <v>0.33333333333333348</v>
      </c>
      <c r="R580">
        <v>0.34472310093186431</v>
      </c>
      <c r="S580">
        <v>0</v>
      </c>
      <c r="T580">
        <v>0.43098445428516069</v>
      </c>
      <c r="U580">
        <v>0</v>
      </c>
      <c r="V580">
        <v>0.56901554571483937</v>
      </c>
      <c r="W580">
        <v>5.3151651291931836</v>
      </c>
      <c r="X580">
        <v>0.43098445428516069</v>
      </c>
      <c r="Y580">
        <v>0.56901554571483937</v>
      </c>
      <c r="Z580" t="s">
        <v>24</v>
      </c>
    </row>
    <row r="581" spans="1:26" hidden="1" x14ac:dyDescent="0.2">
      <c r="A581">
        <v>36</v>
      </c>
      <c r="B581" t="s">
        <v>32</v>
      </c>
      <c r="C581" s="10">
        <v>10000033</v>
      </c>
      <c r="D581" t="b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0.1052631578947367</v>
      </c>
      <c r="Q581">
        <v>0.35210097053315531</v>
      </c>
      <c r="R581">
        <v>0.1052631578947367</v>
      </c>
      <c r="S581">
        <v>0</v>
      </c>
      <c r="T581">
        <v>0.43098445428516069</v>
      </c>
      <c r="U581">
        <v>0</v>
      </c>
      <c r="V581">
        <v>0.56901554571483937</v>
      </c>
      <c r="W581">
        <v>5.3151651291931836</v>
      </c>
      <c r="X581">
        <v>0.43098445428516069</v>
      </c>
      <c r="Y581">
        <v>0.56901554571483937</v>
      </c>
      <c r="Z581" t="s">
        <v>24</v>
      </c>
    </row>
    <row r="582" spans="1:26" hidden="1" x14ac:dyDescent="0.2">
      <c r="A582">
        <v>36</v>
      </c>
      <c r="B582" t="s">
        <v>29</v>
      </c>
      <c r="C582" s="10">
        <v>10000073</v>
      </c>
      <c r="D582" t="b">
        <v>1</v>
      </c>
      <c r="E582">
        <v>0</v>
      </c>
      <c r="F582">
        <v>0</v>
      </c>
      <c r="G582">
        <v>0.16666666666666671</v>
      </c>
      <c r="H582">
        <v>0</v>
      </c>
      <c r="I582">
        <v>0.52673130487861253</v>
      </c>
      <c r="J582">
        <v>0.47326869512138758</v>
      </c>
      <c r="W582">
        <v>5.1261774261847428</v>
      </c>
      <c r="X582">
        <v>0.47326869512138758</v>
      </c>
      <c r="Y582">
        <v>0.52673130487861253</v>
      </c>
      <c r="Z582" t="s">
        <v>24</v>
      </c>
    </row>
    <row r="583" spans="1:26" hidden="1" x14ac:dyDescent="0.2">
      <c r="A583">
        <v>36</v>
      </c>
      <c r="B583" t="s">
        <v>35</v>
      </c>
      <c r="C583" s="10">
        <v>10000033</v>
      </c>
      <c r="D583" t="b">
        <v>0</v>
      </c>
      <c r="E583">
        <v>9.5238095238095344E-2</v>
      </c>
      <c r="F583">
        <v>0.35869756940298908</v>
      </c>
      <c r="G583">
        <v>0.5</v>
      </c>
      <c r="H583">
        <v>0</v>
      </c>
      <c r="I583">
        <v>0.35869756940298908</v>
      </c>
      <c r="J583">
        <v>0</v>
      </c>
      <c r="K583">
        <v>9.5238095238095344E-2</v>
      </c>
      <c r="L583">
        <v>0.5</v>
      </c>
      <c r="M583">
        <v>0.44662100840289282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5.0025004164584352</v>
      </c>
      <c r="X583">
        <v>0.5</v>
      </c>
      <c r="Y583">
        <v>0.5</v>
      </c>
      <c r="Z583" t="s">
        <v>23</v>
      </c>
    </row>
    <row r="584" spans="1:26" hidden="1" x14ac:dyDescent="0.2">
      <c r="A584">
        <v>36</v>
      </c>
      <c r="B584" t="s">
        <v>35</v>
      </c>
      <c r="C584" s="10">
        <v>10000082</v>
      </c>
      <c r="D584" t="b">
        <v>1</v>
      </c>
      <c r="F584">
        <v>0</v>
      </c>
      <c r="G584">
        <v>0.5</v>
      </c>
      <c r="H584">
        <v>0</v>
      </c>
      <c r="I584">
        <v>0</v>
      </c>
      <c r="J584">
        <v>0</v>
      </c>
      <c r="W584">
        <v>4.218517807634897</v>
      </c>
      <c r="X584">
        <v>1</v>
      </c>
      <c r="Y584">
        <v>0.5</v>
      </c>
      <c r="Z584" t="s">
        <v>23</v>
      </c>
    </row>
    <row r="585" spans="1:26" hidden="1" x14ac:dyDescent="0.2">
      <c r="A585">
        <v>37</v>
      </c>
      <c r="B585" t="s">
        <v>30</v>
      </c>
      <c r="C585" s="10">
        <v>10000033</v>
      </c>
      <c r="D585" t="b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0.30882977802696898</v>
      </c>
      <c r="Q585">
        <v>0</v>
      </c>
      <c r="R585">
        <v>3.9507867200560529E-2</v>
      </c>
      <c r="S585">
        <v>0</v>
      </c>
      <c r="T585">
        <v>3.9507867200560529E-2</v>
      </c>
      <c r="U585">
        <v>0</v>
      </c>
      <c r="V585">
        <v>0.69117022197303091</v>
      </c>
      <c r="W585">
        <v>6.5499959805318539</v>
      </c>
      <c r="X585">
        <v>3.9507867200560529E-2</v>
      </c>
      <c r="Y585">
        <v>0.69117022197303091</v>
      </c>
      <c r="Z585" t="s">
        <v>24</v>
      </c>
    </row>
    <row r="586" spans="1:26" hidden="1" x14ac:dyDescent="0.2">
      <c r="A586">
        <v>37</v>
      </c>
      <c r="B586" t="s">
        <v>32</v>
      </c>
      <c r="C586" s="10">
        <v>10000033</v>
      </c>
      <c r="D586" t="b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0.30484494861469258</v>
      </c>
      <c r="Q586">
        <v>0</v>
      </c>
      <c r="R586">
        <v>4.4659010569709209E-2</v>
      </c>
      <c r="S586">
        <v>0</v>
      </c>
      <c r="T586">
        <v>4.4659010569709209E-2</v>
      </c>
      <c r="U586">
        <v>0</v>
      </c>
      <c r="V586">
        <v>0.69515505138530742</v>
      </c>
      <c r="W586">
        <v>6.5378673754619303</v>
      </c>
      <c r="X586">
        <v>4.4659010569709209E-2</v>
      </c>
      <c r="Y586">
        <v>0.69515505138530742</v>
      </c>
      <c r="Z586" t="s">
        <v>24</v>
      </c>
    </row>
    <row r="587" spans="1:26" hidden="1" x14ac:dyDescent="0.2">
      <c r="A587">
        <v>37</v>
      </c>
      <c r="B587" t="s">
        <v>34</v>
      </c>
      <c r="C587" s="10">
        <v>10000033</v>
      </c>
      <c r="D587" t="b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0.30395986240973061</v>
      </c>
      <c r="Q587">
        <v>0</v>
      </c>
      <c r="R587">
        <v>6.0257479808546108E-2</v>
      </c>
      <c r="S587">
        <v>0</v>
      </c>
      <c r="T587">
        <v>6.0257479808546108E-2</v>
      </c>
      <c r="U587">
        <v>0</v>
      </c>
      <c r="V587">
        <v>0.69604013759026939</v>
      </c>
      <c r="W587">
        <v>6.4935901805604006</v>
      </c>
      <c r="X587">
        <v>6.0257479808546108E-2</v>
      </c>
      <c r="Y587">
        <v>0.69604013759026939</v>
      </c>
      <c r="Z587" t="s">
        <v>24</v>
      </c>
    </row>
    <row r="588" spans="1:26" hidden="1" x14ac:dyDescent="0.2">
      <c r="A588">
        <v>37</v>
      </c>
      <c r="B588" t="s">
        <v>27</v>
      </c>
      <c r="C588" s="10">
        <v>10000033</v>
      </c>
      <c r="D588" t="b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0.30635629385398883</v>
      </c>
      <c r="Q588">
        <v>0</v>
      </c>
      <c r="R588">
        <v>6.0257479808546108E-2</v>
      </c>
      <c r="S588">
        <v>0</v>
      </c>
      <c r="T588">
        <v>6.0257479808546108E-2</v>
      </c>
      <c r="U588">
        <v>0</v>
      </c>
      <c r="V588">
        <v>0.69364370614601123</v>
      </c>
      <c r="W588">
        <v>6.49177014849875</v>
      </c>
      <c r="X588">
        <v>6.0257479808546108E-2</v>
      </c>
      <c r="Y588">
        <v>0.69364370614601123</v>
      </c>
      <c r="Z588" t="s">
        <v>24</v>
      </c>
    </row>
    <row r="589" spans="1:26" hidden="1" x14ac:dyDescent="0.2">
      <c r="A589">
        <v>37</v>
      </c>
      <c r="B589" t="s">
        <v>33</v>
      </c>
      <c r="C589" s="10">
        <v>10000082</v>
      </c>
      <c r="D589" t="b">
        <v>1</v>
      </c>
      <c r="F589">
        <v>0</v>
      </c>
      <c r="G589">
        <v>0</v>
      </c>
      <c r="H589">
        <v>0</v>
      </c>
      <c r="I589">
        <v>0.31701811351465498</v>
      </c>
      <c r="J589">
        <v>0.68298188648534497</v>
      </c>
      <c r="W589">
        <v>3.856659700287473</v>
      </c>
      <c r="X589">
        <v>1</v>
      </c>
      <c r="Y589">
        <v>0.31701811351465498</v>
      </c>
      <c r="Z589" t="s">
        <v>23</v>
      </c>
    </row>
    <row r="590" spans="1:26" hidden="1" x14ac:dyDescent="0.2">
      <c r="A590">
        <v>37</v>
      </c>
      <c r="B590" t="s">
        <v>26</v>
      </c>
      <c r="C590" s="10">
        <v>10000047</v>
      </c>
      <c r="D590" t="b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0.8004505576834452</v>
      </c>
      <c r="P590">
        <v>0</v>
      </c>
      <c r="Q590">
        <v>0.1995494423165548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6.2172321675637008</v>
      </c>
      <c r="X590">
        <v>0.1995494423165548</v>
      </c>
      <c r="Y590">
        <v>0.8004505576834452</v>
      </c>
      <c r="Z590" t="s">
        <v>24</v>
      </c>
    </row>
    <row r="591" spans="1:26" hidden="1" x14ac:dyDescent="0.2">
      <c r="A591">
        <v>37</v>
      </c>
      <c r="B591" t="s">
        <v>33</v>
      </c>
      <c r="C591" s="10">
        <v>10000033</v>
      </c>
      <c r="D591" t="b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0.30707322710560903</v>
      </c>
      <c r="Q591">
        <v>0</v>
      </c>
      <c r="R591">
        <v>7.9623184929290353E-2</v>
      </c>
      <c r="S591">
        <v>0</v>
      </c>
      <c r="T591">
        <v>7.9623184929290353E-2</v>
      </c>
      <c r="U591">
        <v>0</v>
      </c>
      <c r="V591">
        <v>0.69292677289439097</v>
      </c>
      <c r="W591">
        <v>6.4356886311851529</v>
      </c>
      <c r="X591">
        <v>7.9623184929290353E-2</v>
      </c>
      <c r="Y591">
        <v>0.69292677289439097</v>
      </c>
      <c r="Z591" t="s">
        <v>24</v>
      </c>
    </row>
    <row r="592" spans="1:26" hidden="1" x14ac:dyDescent="0.2">
      <c r="A592">
        <v>37</v>
      </c>
      <c r="B592" t="s">
        <v>31</v>
      </c>
      <c r="C592" s="10">
        <v>10000082</v>
      </c>
      <c r="D592" t="b">
        <v>1</v>
      </c>
      <c r="F592">
        <v>0</v>
      </c>
      <c r="G592">
        <v>0</v>
      </c>
      <c r="H592">
        <v>0</v>
      </c>
      <c r="I592">
        <v>0</v>
      </c>
      <c r="J592">
        <v>0.81902154681565209</v>
      </c>
      <c r="W592">
        <v>3.1666666666666679</v>
      </c>
      <c r="X592">
        <v>1</v>
      </c>
      <c r="Y592">
        <v>0</v>
      </c>
      <c r="Z592" t="s">
        <v>23</v>
      </c>
    </row>
    <row r="593" spans="1:26" hidden="1" x14ac:dyDescent="0.2">
      <c r="A593">
        <v>37</v>
      </c>
      <c r="B593" t="s">
        <v>29</v>
      </c>
      <c r="C593" s="10">
        <v>10000033</v>
      </c>
      <c r="D593" t="b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0.30872805392619679</v>
      </c>
      <c r="Q593">
        <v>0</v>
      </c>
      <c r="R593">
        <v>0.163771824514753</v>
      </c>
      <c r="S593">
        <v>0</v>
      </c>
      <c r="T593">
        <v>0.163771824514753</v>
      </c>
      <c r="U593">
        <v>0</v>
      </c>
      <c r="V593">
        <v>0.69127194607380316</v>
      </c>
      <c r="W593">
        <v>6.1984547039389408</v>
      </c>
      <c r="X593">
        <v>0.163771824514753</v>
      </c>
      <c r="Y593">
        <v>0.69127194607380316</v>
      </c>
      <c r="Z593" t="s">
        <v>24</v>
      </c>
    </row>
    <row r="594" spans="1:26" hidden="1" x14ac:dyDescent="0.2">
      <c r="A594">
        <v>37</v>
      </c>
      <c r="B594" t="s">
        <v>31</v>
      </c>
      <c r="C594" s="10">
        <v>10000033</v>
      </c>
      <c r="D594" t="b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0.31117969095871439</v>
      </c>
      <c r="Q594">
        <v>0</v>
      </c>
      <c r="R594">
        <v>0.163771824514753</v>
      </c>
      <c r="S594">
        <v>0</v>
      </c>
      <c r="T594">
        <v>0.163771824514753</v>
      </c>
      <c r="U594">
        <v>0</v>
      </c>
      <c r="V594">
        <v>0.68882030904128555</v>
      </c>
      <c r="W594">
        <v>6.1958671996815387</v>
      </c>
      <c r="X594">
        <v>0.163771824514753</v>
      </c>
      <c r="Y594">
        <v>0.68882030904128555</v>
      </c>
      <c r="Z594" t="s">
        <v>24</v>
      </c>
    </row>
    <row r="595" spans="1:26" hidden="1" x14ac:dyDescent="0.2">
      <c r="A595">
        <v>37</v>
      </c>
      <c r="B595" t="s">
        <v>28</v>
      </c>
      <c r="C595" s="10">
        <v>10000082</v>
      </c>
      <c r="D595" t="b">
        <v>1</v>
      </c>
      <c r="F595">
        <v>0</v>
      </c>
      <c r="G595">
        <v>0</v>
      </c>
      <c r="H595">
        <v>0</v>
      </c>
      <c r="I595">
        <v>9.9290893164110466E-2</v>
      </c>
      <c r="J595">
        <v>0.90130451878796836</v>
      </c>
      <c r="W595">
        <v>3.3880937693732882</v>
      </c>
      <c r="X595">
        <v>1</v>
      </c>
      <c r="Y595">
        <v>9.9290893164110466E-2</v>
      </c>
      <c r="Z595" t="s">
        <v>23</v>
      </c>
    </row>
    <row r="596" spans="1:26" hidden="1" x14ac:dyDescent="0.2">
      <c r="A596">
        <v>37</v>
      </c>
      <c r="B596" t="s">
        <v>35</v>
      </c>
      <c r="C596" s="10">
        <v>10000082</v>
      </c>
      <c r="D596" t="b">
        <v>1</v>
      </c>
      <c r="F596">
        <v>0</v>
      </c>
      <c r="G596">
        <v>0</v>
      </c>
      <c r="H596">
        <v>0</v>
      </c>
      <c r="I596">
        <v>9.9290893164110466E-2</v>
      </c>
      <c r="J596">
        <v>0.90130451878796836</v>
      </c>
      <c r="W596">
        <v>3.3880937693732882</v>
      </c>
      <c r="X596">
        <v>1</v>
      </c>
      <c r="Y596">
        <v>9.9290893164110466E-2</v>
      </c>
      <c r="Z596" t="s">
        <v>23</v>
      </c>
    </row>
    <row r="597" spans="1:26" hidden="1" x14ac:dyDescent="0.2">
      <c r="A597">
        <v>37</v>
      </c>
      <c r="B597" t="s">
        <v>28</v>
      </c>
      <c r="C597" s="10">
        <v>10000033</v>
      </c>
      <c r="D597" t="b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0.1333333333333333</v>
      </c>
      <c r="M597">
        <v>0.1333333333333333</v>
      </c>
      <c r="N597">
        <v>0</v>
      </c>
      <c r="O597">
        <v>0</v>
      </c>
      <c r="P597">
        <v>0.31253434007468678</v>
      </c>
      <c r="Q597">
        <v>0</v>
      </c>
      <c r="R597">
        <v>0.26339475575019861</v>
      </c>
      <c r="S597">
        <v>0</v>
      </c>
      <c r="T597">
        <v>0.26339475575019861</v>
      </c>
      <c r="U597">
        <v>0</v>
      </c>
      <c r="V597">
        <v>0.68746565992531317</v>
      </c>
      <c r="W597">
        <v>5.9284286756901929</v>
      </c>
      <c r="X597">
        <v>0.26339475575019861</v>
      </c>
      <c r="Y597">
        <v>0.68746565992531317</v>
      </c>
      <c r="Z597" t="s">
        <v>24</v>
      </c>
    </row>
    <row r="598" spans="1:26" hidden="1" x14ac:dyDescent="0.2">
      <c r="A598">
        <v>37</v>
      </c>
      <c r="B598" t="s">
        <v>35</v>
      </c>
      <c r="C598" s="10">
        <v>10000033</v>
      </c>
      <c r="D598" t="b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0.26666666666666672</v>
      </c>
      <c r="M598">
        <v>0.26339475575019861</v>
      </c>
      <c r="N598">
        <v>0</v>
      </c>
      <c r="O598">
        <v>0</v>
      </c>
      <c r="P598">
        <v>0.32692652407894163</v>
      </c>
      <c r="Q598">
        <v>0.17647058823529391</v>
      </c>
      <c r="R598">
        <v>0.26339475575019861</v>
      </c>
      <c r="S598">
        <v>0</v>
      </c>
      <c r="T598">
        <v>0.26339475575019861</v>
      </c>
      <c r="U598">
        <v>0</v>
      </c>
      <c r="V598">
        <v>0.67307347592105837</v>
      </c>
      <c r="W598">
        <v>5.9096721713277516</v>
      </c>
      <c r="X598">
        <v>0.26339475575019861</v>
      </c>
      <c r="Y598">
        <v>0.67307347592105837</v>
      </c>
      <c r="Z598" t="s">
        <v>24</v>
      </c>
    </row>
    <row r="599" spans="1:26" hidden="1" x14ac:dyDescent="0.2">
      <c r="A599">
        <v>38</v>
      </c>
      <c r="B599" t="s">
        <v>30</v>
      </c>
      <c r="C599" s="10">
        <v>10000033</v>
      </c>
      <c r="D599" t="b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0.30882977802696898</v>
      </c>
      <c r="Q599">
        <v>0</v>
      </c>
      <c r="R599">
        <v>4.102543490926925E-2</v>
      </c>
      <c r="S599">
        <v>0</v>
      </c>
      <c r="T599">
        <v>4.102543490926925E-2</v>
      </c>
      <c r="U599">
        <v>0</v>
      </c>
      <c r="V599">
        <v>0.69117022197303091</v>
      </c>
      <c r="W599">
        <v>6.5455814178645122</v>
      </c>
      <c r="X599">
        <v>4.102543490926925E-2</v>
      </c>
      <c r="Y599">
        <v>0.69117022197303091</v>
      </c>
      <c r="Z599" t="s">
        <v>24</v>
      </c>
    </row>
    <row r="600" spans="1:26" hidden="1" x14ac:dyDescent="0.2">
      <c r="A600">
        <v>38</v>
      </c>
      <c r="B600" t="s">
        <v>35</v>
      </c>
      <c r="C600" s="10">
        <v>10000082</v>
      </c>
      <c r="D600" t="b">
        <v>1</v>
      </c>
      <c r="F600">
        <v>0</v>
      </c>
      <c r="G600">
        <v>0</v>
      </c>
      <c r="H600">
        <v>0</v>
      </c>
      <c r="I600">
        <v>4.1457853549254761E-3</v>
      </c>
      <c r="J600">
        <v>0.99585421464507451</v>
      </c>
      <c r="W600">
        <v>3.1759481760312229</v>
      </c>
      <c r="X600">
        <v>1</v>
      </c>
      <c r="Y600">
        <v>4.1457853549254761E-3</v>
      </c>
      <c r="Z600" t="s">
        <v>23</v>
      </c>
    </row>
    <row r="601" spans="1:26" hidden="1" x14ac:dyDescent="0.2">
      <c r="A601">
        <v>38</v>
      </c>
      <c r="B601" t="s">
        <v>32</v>
      </c>
      <c r="C601" s="10">
        <v>10000047</v>
      </c>
      <c r="D601" t="b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0.78449968244220758</v>
      </c>
      <c r="P601">
        <v>0</v>
      </c>
      <c r="Q601">
        <v>0.21550031755779239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6.1617516142270032</v>
      </c>
      <c r="X601">
        <v>0.21550031755779239</v>
      </c>
      <c r="Y601">
        <v>0.78449968244220758</v>
      </c>
      <c r="Z601" t="s">
        <v>24</v>
      </c>
    </row>
    <row r="602" spans="1:26" hidden="1" x14ac:dyDescent="0.2">
      <c r="A602">
        <v>38</v>
      </c>
      <c r="B602" t="s">
        <v>35</v>
      </c>
      <c r="C602" s="10">
        <v>10000047</v>
      </c>
      <c r="D602" t="b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0.78449968244220758</v>
      </c>
      <c r="P602">
        <v>0</v>
      </c>
      <c r="Q602">
        <v>0.21550031755779239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6.1617516142270032</v>
      </c>
      <c r="X602">
        <v>0.21550031755779239</v>
      </c>
      <c r="Y602">
        <v>0.78449968244220758</v>
      </c>
      <c r="Z602" t="s">
        <v>24</v>
      </c>
    </row>
    <row r="603" spans="1:26" hidden="1" x14ac:dyDescent="0.2">
      <c r="A603">
        <v>38</v>
      </c>
      <c r="B603" t="s">
        <v>31</v>
      </c>
      <c r="C603" s="10">
        <v>10000033</v>
      </c>
      <c r="D603" t="b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0.34559717838761073</v>
      </c>
      <c r="Q603">
        <v>0.34559717838761073</v>
      </c>
      <c r="R603">
        <v>0.10933360130791631</v>
      </c>
      <c r="S603">
        <v>0</v>
      </c>
      <c r="T603">
        <v>0.10933360130791631</v>
      </c>
      <c r="U603">
        <v>0</v>
      </c>
      <c r="V603">
        <v>0.60000000000000009</v>
      </c>
      <c r="W603">
        <v>5.5861846001350486</v>
      </c>
      <c r="X603">
        <v>0.34559717838761073</v>
      </c>
      <c r="Y603">
        <v>0.60000000000000009</v>
      </c>
      <c r="Z603" t="s">
        <v>24</v>
      </c>
    </row>
    <row r="604" spans="1:26" hidden="1" x14ac:dyDescent="0.2">
      <c r="A604">
        <v>38</v>
      </c>
      <c r="B604" t="s">
        <v>33</v>
      </c>
      <c r="C604" s="10">
        <v>10000033</v>
      </c>
      <c r="D604" t="b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0.34422117833068172</v>
      </c>
      <c r="Q604">
        <v>0.34422117833068172</v>
      </c>
      <c r="R604">
        <v>0.1132933068702911</v>
      </c>
      <c r="S604">
        <v>0</v>
      </c>
      <c r="T604">
        <v>0.1132933068702911</v>
      </c>
      <c r="U604">
        <v>0</v>
      </c>
      <c r="V604">
        <v>0.54545454545454541</v>
      </c>
      <c r="W604">
        <v>5.493220514994607</v>
      </c>
      <c r="X604">
        <v>0.34422117833068172</v>
      </c>
      <c r="Y604">
        <v>0.54545454545454541</v>
      </c>
      <c r="Z604" t="s">
        <v>24</v>
      </c>
    </row>
    <row r="605" spans="1:26" hidden="1" x14ac:dyDescent="0.2">
      <c r="A605">
        <v>38</v>
      </c>
      <c r="B605" t="s">
        <v>34</v>
      </c>
      <c r="C605" s="10">
        <v>10000082</v>
      </c>
      <c r="D605" t="b">
        <v>1</v>
      </c>
      <c r="F605">
        <v>0</v>
      </c>
      <c r="G605">
        <v>0</v>
      </c>
      <c r="H605">
        <v>0</v>
      </c>
      <c r="I605">
        <v>0.71914791280040702</v>
      </c>
      <c r="J605">
        <v>0.28085208719959298</v>
      </c>
      <c r="W605">
        <v>4.6011028395874991</v>
      </c>
      <c r="X605">
        <v>1</v>
      </c>
      <c r="Y605">
        <v>0.71914791280040702</v>
      </c>
      <c r="Z605" t="s">
        <v>23</v>
      </c>
    </row>
    <row r="606" spans="1:26" hidden="1" x14ac:dyDescent="0.2">
      <c r="A606">
        <v>38</v>
      </c>
      <c r="B606" t="s">
        <v>34</v>
      </c>
      <c r="C606" s="10">
        <v>10000033</v>
      </c>
      <c r="D606" t="b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0.33884204898820969</v>
      </c>
      <c r="Q606">
        <v>0.23076923076923081</v>
      </c>
      <c r="R606">
        <v>0.15767326083666661</v>
      </c>
      <c r="S606">
        <v>0</v>
      </c>
      <c r="T606">
        <v>0.15767326083666661</v>
      </c>
      <c r="U606">
        <v>0</v>
      </c>
      <c r="V606">
        <v>0.6611579510117902</v>
      </c>
      <c r="W606">
        <v>5.9809684844702158</v>
      </c>
      <c r="X606">
        <v>0.23076923076923081</v>
      </c>
      <c r="Y606">
        <v>0.6611579510117902</v>
      </c>
      <c r="Z606" t="s">
        <v>24</v>
      </c>
    </row>
    <row r="607" spans="1:26" hidden="1" x14ac:dyDescent="0.2">
      <c r="A607">
        <v>38</v>
      </c>
      <c r="B607" t="s">
        <v>27</v>
      </c>
      <c r="C607" s="10">
        <v>10000033</v>
      </c>
      <c r="D607" t="b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0.3331875632154751</v>
      </c>
      <c r="R607">
        <v>0</v>
      </c>
      <c r="S607">
        <v>0</v>
      </c>
      <c r="T607">
        <v>0.15767326083666661</v>
      </c>
      <c r="U607">
        <v>0</v>
      </c>
      <c r="V607">
        <v>0.66681243678452495</v>
      </c>
      <c r="W607">
        <v>5.7225849067701784</v>
      </c>
      <c r="X607">
        <v>0.3331875632154751</v>
      </c>
      <c r="Y607">
        <v>0.66681243678452495</v>
      </c>
      <c r="Z607" t="s">
        <v>24</v>
      </c>
    </row>
    <row r="608" spans="1:26" hidden="1" x14ac:dyDescent="0.2">
      <c r="A608">
        <v>38</v>
      </c>
      <c r="B608" t="s">
        <v>28</v>
      </c>
      <c r="C608" s="10">
        <v>10000082</v>
      </c>
      <c r="D608" t="b">
        <v>1</v>
      </c>
      <c r="F608">
        <v>0</v>
      </c>
      <c r="G608">
        <v>0</v>
      </c>
      <c r="H608">
        <v>0</v>
      </c>
      <c r="I608">
        <v>0.68034378872193857</v>
      </c>
      <c r="J608">
        <v>0.31965621127806138</v>
      </c>
      <c r="W608">
        <v>4.5377090606704211</v>
      </c>
      <c r="X608">
        <v>1</v>
      </c>
      <c r="Y608">
        <v>0.68034378872193857</v>
      </c>
      <c r="Z608" t="s">
        <v>23</v>
      </c>
    </row>
    <row r="609" spans="1:26" hidden="1" x14ac:dyDescent="0.2">
      <c r="A609">
        <v>38</v>
      </c>
      <c r="B609" t="s">
        <v>28</v>
      </c>
      <c r="C609" s="10">
        <v>10000033</v>
      </c>
      <c r="D609" t="b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0.20000000000000021</v>
      </c>
      <c r="Q609">
        <v>0.33175627170693112</v>
      </c>
      <c r="R609">
        <v>0.17808751444520221</v>
      </c>
      <c r="S609">
        <v>0</v>
      </c>
      <c r="T609">
        <v>0.17808751444520221</v>
      </c>
      <c r="U609">
        <v>0</v>
      </c>
      <c r="V609">
        <v>0.66824372829306888</v>
      </c>
      <c r="W609">
        <v>5.7282528036241338</v>
      </c>
      <c r="X609">
        <v>0.33175627170693112</v>
      </c>
      <c r="Y609">
        <v>0.66824372829306888</v>
      </c>
      <c r="Z609" t="s">
        <v>24</v>
      </c>
    </row>
    <row r="610" spans="1:26" hidden="1" x14ac:dyDescent="0.2">
      <c r="A610">
        <v>38</v>
      </c>
      <c r="B610" t="s">
        <v>29</v>
      </c>
      <c r="C610" s="10">
        <v>10000073</v>
      </c>
      <c r="D610" t="b">
        <v>1</v>
      </c>
      <c r="E610">
        <v>0</v>
      </c>
      <c r="F610">
        <v>0</v>
      </c>
      <c r="G610">
        <v>0</v>
      </c>
      <c r="H610">
        <v>0</v>
      </c>
      <c r="I610">
        <v>0.55821319746914377</v>
      </c>
      <c r="J610">
        <v>0.33223883015378242</v>
      </c>
      <c r="W610">
        <v>5.5490876339574164</v>
      </c>
      <c r="X610">
        <v>0.33223883015378242</v>
      </c>
      <c r="Y610">
        <v>0.55821319746914377</v>
      </c>
      <c r="Z610" t="s">
        <v>24</v>
      </c>
    </row>
    <row r="611" spans="1:26" hidden="1" x14ac:dyDescent="0.2">
      <c r="A611">
        <v>38</v>
      </c>
      <c r="B611" t="s">
        <v>26</v>
      </c>
      <c r="C611" s="10">
        <v>10000082</v>
      </c>
      <c r="D611" t="b">
        <v>1</v>
      </c>
      <c r="F611">
        <v>0</v>
      </c>
      <c r="G611">
        <v>0.50586544434483416</v>
      </c>
      <c r="H611">
        <v>0</v>
      </c>
      <c r="I611">
        <v>0</v>
      </c>
      <c r="J611">
        <v>0</v>
      </c>
      <c r="W611">
        <v>4.2295157334229696</v>
      </c>
      <c r="X611">
        <v>1</v>
      </c>
      <c r="Y611">
        <v>0.50586544434483416</v>
      </c>
      <c r="Z611" t="s">
        <v>23</v>
      </c>
    </row>
    <row r="612" spans="1:26" hidden="1" x14ac:dyDescent="0.2">
      <c r="A612">
        <v>38</v>
      </c>
      <c r="B612" t="s">
        <v>26</v>
      </c>
      <c r="C612" s="10">
        <v>10000073</v>
      </c>
      <c r="D612" t="b">
        <v>0</v>
      </c>
      <c r="E612">
        <v>0.43481017830738772</v>
      </c>
      <c r="F612">
        <v>0</v>
      </c>
      <c r="G612">
        <v>0.56518982169261234</v>
      </c>
      <c r="H612">
        <v>0</v>
      </c>
      <c r="I612">
        <v>0</v>
      </c>
      <c r="J612">
        <v>0</v>
      </c>
      <c r="K612">
        <v>0.1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3.408998567862271</v>
      </c>
      <c r="X612">
        <v>0.56518982169261234</v>
      </c>
      <c r="Y612">
        <v>0</v>
      </c>
      <c r="Z612" t="s">
        <v>23</v>
      </c>
    </row>
    <row r="613" spans="1:26" hidden="1" x14ac:dyDescent="0.2">
      <c r="A613">
        <v>38</v>
      </c>
      <c r="B613" t="s">
        <v>26</v>
      </c>
      <c r="C613" s="10">
        <v>10000047</v>
      </c>
      <c r="D613" t="b">
        <v>0</v>
      </c>
      <c r="E613">
        <v>0.28571428571428581</v>
      </c>
      <c r="F613">
        <v>0</v>
      </c>
      <c r="G613">
        <v>0</v>
      </c>
      <c r="H613">
        <v>0</v>
      </c>
      <c r="I613">
        <v>0.71428571428571419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5.9061973367719451</v>
      </c>
      <c r="X613">
        <v>0.28571428571428581</v>
      </c>
      <c r="Y613">
        <v>0.71428571428571419</v>
      </c>
      <c r="Z613" t="s">
        <v>24</v>
      </c>
    </row>
    <row r="614" spans="1:26" hidden="1" x14ac:dyDescent="0.2">
      <c r="A614">
        <v>39</v>
      </c>
      <c r="B614" t="s">
        <v>34</v>
      </c>
      <c r="C614" s="10">
        <v>10000047</v>
      </c>
      <c r="D614" t="b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0.77070007455966816</v>
      </c>
      <c r="P614">
        <v>0</v>
      </c>
      <c r="Q614">
        <v>0.2292999254403319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6.1129946244578246</v>
      </c>
      <c r="X614">
        <v>0.2292999254403319</v>
      </c>
      <c r="Y614">
        <v>0.77070007455966816</v>
      </c>
      <c r="Z614" t="s">
        <v>24</v>
      </c>
    </row>
    <row r="615" spans="1:26" hidden="1" x14ac:dyDescent="0.2">
      <c r="A615">
        <v>39</v>
      </c>
      <c r="B615" t="s">
        <v>29</v>
      </c>
      <c r="C615" s="10">
        <v>10000082</v>
      </c>
      <c r="D615" t="b">
        <v>1</v>
      </c>
      <c r="F615">
        <v>0</v>
      </c>
      <c r="G615">
        <v>0</v>
      </c>
      <c r="H615">
        <v>0</v>
      </c>
      <c r="I615">
        <v>0.99870843785275754</v>
      </c>
      <c r="J615">
        <v>0.2352401143788721</v>
      </c>
      <c r="W615">
        <v>5.0008841139643261</v>
      </c>
      <c r="X615">
        <v>1</v>
      </c>
      <c r="Y615">
        <v>0.99870843785275754</v>
      </c>
      <c r="Z615" t="s">
        <v>23</v>
      </c>
    </row>
    <row r="616" spans="1:26" hidden="1" x14ac:dyDescent="0.2">
      <c r="A616">
        <v>39</v>
      </c>
      <c r="B616" t="s">
        <v>29</v>
      </c>
      <c r="C616" s="10">
        <v>10000033</v>
      </c>
      <c r="D616" t="b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0.30113416724489273</v>
      </c>
      <c r="Q616">
        <v>0</v>
      </c>
      <c r="R616">
        <v>0.1173287583427116</v>
      </c>
      <c r="S616">
        <v>0</v>
      </c>
      <c r="T616">
        <v>0.1173287583427116</v>
      </c>
      <c r="U616">
        <v>0</v>
      </c>
      <c r="V616">
        <v>0.69886583275510739</v>
      </c>
      <c r="W616">
        <v>6.3344353982769812</v>
      </c>
      <c r="X616">
        <v>0.1173287583427116</v>
      </c>
      <c r="Y616">
        <v>0.69886583275510739</v>
      </c>
      <c r="Z616" t="s">
        <v>24</v>
      </c>
    </row>
    <row r="617" spans="1:26" hidden="1" x14ac:dyDescent="0.2">
      <c r="A617">
        <v>39</v>
      </c>
      <c r="B617" t="s">
        <v>28</v>
      </c>
      <c r="C617" s="10">
        <v>10000047</v>
      </c>
      <c r="D617" t="b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0.69228380181198013</v>
      </c>
      <c r="P617">
        <v>0.30771619818801987</v>
      </c>
      <c r="Q617">
        <v>0.30771619818801987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5.8222132280883443</v>
      </c>
      <c r="X617">
        <v>0.30771619818801987</v>
      </c>
      <c r="Y617">
        <v>0.69228380181198013</v>
      </c>
      <c r="Z617" t="s">
        <v>24</v>
      </c>
    </row>
    <row r="618" spans="1:26" hidden="1" x14ac:dyDescent="0.2">
      <c r="A618">
        <v>39</v>
      </c>
      <c r="B618" t="s">
        <v>35</v>
      </c>
      <c r="C618" s="10">
        <v>10000082</v>
      </c>
      <c r="D618" t="b">
        <v>1</v>
      </c>
      <c r="F618">
        <v>0</v>
      </c>
      <c r="G618">
        <v>0</v>
      </c>
      <c r="H618">
        <v>0</v>
      </c>
      <c r="I618">
        <v>0.99827001238500068</v>
      </c>
      <c r="J618">
        <v>0.19003713965912911</v>
      </c>
      <c r="W618">
        <v>5.0003349794443777</v>
      </c>
      <c r="X618">
        <v>1</v>
      </c>
      <c r="Y618">
        <v>0.99827001238500068</v>
      </c>
      <c r="Z618" t="s">
        <v>23</v>
      </c>
    </row>
    <row r="619" spans="1:26" hidden="1" x14ac:dyDescent="0.2">
      <c r="A619">
        <v>39</v>
      </c>
      <c r="B619" t="s">
        <v>35</v>
      </c>
      <c r="C619" s="10">
        <v>10000033</v>
      </c>
      <c r="D619" t="b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0.31890667464351591</v>
      </c>
      <c r="Q619">
        <v>0</v>
      </c>
      <c r="R619">
        <v>0.25975199311565872</v>
      </c>
      <c r="S619">
        <v>0</v>
      </c>
      <c r="T619">
        <v>0.25975199311565872</v>
      </c>
      <c r="U619">
        <v>0</v>
      </c>
      <c r="V619">
        <v>0.68109332535648404</v>
      </c>
      <c r="W619">
        <v>5.9296541831294709</v>
      </c>
      <c r="X619">
        <v>0.25975199311565872</v>
      </c>
      <c r="Y619">
        <v>0.68109332535648404</v>
      </c>
      <c r="Z619" t="s">
        <v>24</v>
      </c>
    </row>
    <row r="620" spans="1:26" hidden="1" x14ac:dyDescent="0.2">
      <c r="A620">
        <v>39</v>
      </c>
      <c r="B620" t="s">
        <v>30</v>
      </c>
      <c r="C620" s="10">
        <v>10000047</v>
      </c>
      <c r="D620" t="b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0.6804027628192949</v>
      </c>
      <c r="P620">
        <v>0.3195972371807051</v>
      </c>
      <c r="Q620">
        <v>0.3195972371807051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5.7760653516779916</v>
      </c>
      <c r="X620">
        <v>0.3195972371807051</v>
      </c>
      <c r="Y620">
        <v>0.6804027628192949</v>
      </c>
      <c r="Z620" t="s">
        <v>24</v>
      </c>
    </row>
    <row r="621" spans="1:26" hidden="1" x14ac:dyDescent="0.2">
      <c r="A621">
        <v>39</v>
      </c>
      <c r="B621" t="s">
        <v>27</v>
      </c>
      <c r="C621" s="10">
        <v>10000047</v>
      </c>
      <c r="D621" t="b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0.65907840428114528</v>
      </c>
      <c r="P621">
        <v>0</v>
      </c>
      <c r="Q621">
        <v>0.34092159571885472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5.6918171559244906</v>
      </c>
      <c r="X621">
        <v>0.34092159571885472</v>
      </c>
      <c r="Y621">
        <v>0.65907840428114528</v>
      </c>
      <c r="Z621" t="s">
        <v>24</v>
      </c>
    </row>
    <row r="622" spans="1:26" hidden="1" x14ac:dyDescent="0.2">
      <c r="A622">
        <v>39</v>
      </c>
      <c r="B622" t="s">
        <v>32</v>
      </c>
      <c r="C622" s="10">
        <v>10000082</v>
      </c>
      <c r="D622" t="b">
        <v>1</v>
      </c>
      <c r="F622">
        <v>0</v>
      </c>
      <c r="G622">
        <v>0</v>
      </c>
      <c r="H622">
        <v>0</v>
      </c>
      <c r="I622">
        <v>0.92629302300334382</v>
      </c>
      <c r="J622">
        <v>0.21706331121024089</v>
      </c>
      <c r="W622">
        <v>4.9069007102453046</v>
      </c>
      <c r="X622">
        <v>1</v>
      </c>
      <c r="Y622">
        <v>0.92629302300334382</v>
      </c>
      <c r="Z622" t="s">
        <v>23</v>
      </c>
    </row>
    <row r="623" spans="1:26" hidden="1" x14ac:dyDescent="0.2">
      <c r="A623">
        <v>39</v>
      </c>
      <c r="B623" t="s">
        <v>32</v>
      </c>
      <c r="C623" s="10">
        <v>10000033</v>
      </c>
      <c r="D623" t="b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0.32577836298933299</v>
      </c>
      <c r="Q623">
        <v>0</v>
      </c>
      <c r="R623">
        <v>0.29203209812796671</v>
      </c>
      <c r="S623">
        <v>0</v>
      </c>
      <c r="T623">
        <v>0.29203209812796671</v>
      </c>
      <c r="U623">
        <v>0</v>
      </c>
      <c r="V623">
        <v>0.67422163701066695</v>
      </c>
      <c r="W623">
        <v>5.837126593631643</v>
      </c>
      <c r="X623">
        <v>0.29203209812796671</v>
      </c>
      <c r="Y623">
        <v>0.67422163701066695</v>
      </c>
      <c r="Z623" t="s">
        <v>24</v>
      </c>
    </row>
    <row r="624" spans="1:26" hidden="1" x14ac:dyDescent="0.2">
      <c r="A624">
        <v>39</v>
      </c>
      <c r="B624" t="s">
        <v>33</v>
      </c>
      <c r="C624" s="10">
        <v>10000033</v>
      </c>
      <c r="D624" t="b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0.6333333333333333</v>
      </c>
      <c r="M624">
        <v>0.31924411437333972</v>
      </c>
      <c r="N624">
        <v>0</v>
      </c>
      <c r="O624">
        <v>0</v>
      </c>
      <c r="P624">
        <v>0.32487976680051051</v>
      </c>
      <c r="Q624">
        <v>0</v>
      </c>
      <c r="R624">
        <v>0.31924411437333972</v>
      </c>
      <c r="S624">
        <v>0</v>
      </c>
      <c r="T624">
        <v>0.31924411437333972</v>
      </c>
      <c r="U624">
        <v>0</v>
      </c>
      <c r="V624">
        <v>0.36666666666666659</v>
      </c>
      <c r="W624">
        <v>5.7078387828654664</v>
      </c>
      <c r="X624">
        <v>0.31924411437333972</v>
      </c>
      <c r="Y624">
        <v>0.6333333333333333</v>
      </c>
      <c r="Z624" t="s">
        <v>24</v>
      </c>
    </row>
    <row r="625" spans="1:26" hidden="1" x14ac:dyDescent="0.2">
      <c r="A625">
        <v>39</v>
      </c>
      <c r="B625" t="s">
        <v>31</v>
      </c>
      <c r="C625" s="10">
        <v>10000033</v>
      </c>
      <c r="D625" t="b">
        <v>0</v>
      </c>
      <c r="E625">
        <v>0</v>
      </c>
      <c r="F625">
        <v>0</v>
      </c>
      <c r="G625">
        <v>0</v>
      </c>
      <c r="H625">
        <v>0.67573067088603445</v>
      </c>
      <c r="I625">
        <v>0</v>
      </c>
      <c r="J625">
        <v>0.32426932911396561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6.6569796286813663</v>
      </c>
      <c r="X625">
        <v>0</v>
      </c>
      <c r="Y625">
        <v>0.67573067088603445</v>
      </c>
      <c r="Z625" t="s">
        <v>24</v>
      </c>
    </row>
    <row r="626" spans="1:26" hidden="1" x14ac:dyDescent="0.2">
      <c r="A626">
        <v>39</v>
      </c>
      <c r="B626" t="s">
        <v>26</v>
      </c>
      <c r="C626" s="10">
        <v>10000033</v>
      </c>
      <c r="D626" t="b">
        <v>0</v>
      </c>
      <c r="E626">
        <v>0</v>
      </c>
      <c r="F626">
        <v>0</v>
      </c>
      <c r="G626">
        <v>0</v>
      </c>
      <c r="H626">
        <v>0.67550338715039315</v>
      </c>
      <c r="I626">
        <v>0</v>
      </c>
      <c r="J626">
        <v>0.32449661284960679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6.6568508501035319</v>
      </c>
      <c r="X626">
        <v>0</v>
      </c>
      <c r="Y626">
        <v>0.67550338715039315</v>
      </c>
      <c r="Z626" t="s">
        <v>24</v>
      </c>
    </row>
    <row r="627" spans="1:26" hidden="1" x14ac:dyDescent="0.2">
      <c r="A627">
        <v>40</v>
      </c>
      <c r="B627" t="s">
        <v>28</v>
      </c>
      <c r="C627" s="10">
        <v>10000047</v>
      </c>
      <c r="D627" t="b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0.83290975310272986</v>
      </c>
      <c r="P627">
        <v>0</v>
      </c>
      <c r="Q627">
        <v>0.16709024689727009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6.3272710428456591</v>
      </c>
      <c r="X627">
        <v>0.16709024689727009</v>
      </c>
      <c r="Y627">
        <v>0.83290975310272986</v>
      </c>
      <c r="Z627" t="s">
        <v>24</v>
      </c>
    </row>
    <row r="628" spans="1:26" hidden="1" x14ac:dyDescent="0.2">
      <c r="A628">
        <v>40</v>
      </c>
      <c r="B628" t="s">
        <v>35</v>
      </c>
      <c r="C628" s="10">
        <v>10000082</v>
      </c>
      <c r="D628" t="b">
        <v>1</v>
      </c>
      <c r="F628">
        <v>0</v>
      </c>
      <c r="G628">
        <v>0</v>
      </c>
      <c r="H628">
        <v>0</v>
      </c>
      <c r="I628">
        <v>0</v>
      </c>
      <c r="J628">
        <v>0.75338130000504422</v>
      </c>
      <c r="W628">
        <v>3.1666666666666679</v>
      </c>
      <c r="X628">
        <v>1</v>
      </c>
      <c r="Y628">
        <v>0</v>
      </c>
      <c r="Z628" t="s">
        <v>23</v>
      </c>
    </row>
    <row r="629" spans="1:26" hidden="1" x14ac:dyDescent="0.2">
      <c r="A629">
        <v>40</v>
      </c>
      <c r="B629" t="s">
        <v>32</v>
      </c>
      <c r="C629" s="10">
        <v>10000082</v>
      </c>
      <c r="D629" t="b">
        <v>1</v>
      </c>
      <c r="F629">
        <v>0</v>
      </c>
      <c r="G629">
        <v>0</v>
      </c>
      <c r="H629">
        <v>0</v>
      </c>
      <c r="I629">
        <v>0</v>
      </c>
      <c r="J629">
        <v>0.75338130000504422</v>
      </c>
      <c r="W629">
        <v>3.1666666666666679</v>
      </c>
      <c r="X629">
        <v>1</v>
      </c>
      <c r="Y629">
        <v>0</v>
      </c>
      <c r="Z629" t="s">
        <v>23</v>
      </c>
    </row>
    <row r="630" spans="1:26" hidden="1" x14ac:dyDescent="0.2">
      <c r="A630">
        <v>40</v>
      </c>
      <c r="B630" t="s">
        <v>32</v>
      </c>
      <c r="C630" s="10">
        <v>10000033</v>
      </c>
      <c r="D630" t="b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0.29909840781312091</v>
      </c>
      <c r="Q630">
        <v>0</v>
      </c>
      <c r="R630">
        <v>4.7237209754746011E-2</v>
      </c>
      <c r="S630">
        <v>0</v>
      </c>
      <c r="T630">
        <v>4.7237209754746011E-2</v>
      </c>
      <c r="U630">
        <v>0</v>
      </c>
      <c r="V630">
        <v>0.70090159218687909</v>
      </c>
      <c r="W630">
        <v>6.5345471526020136</v>
      </c>
      <c r="X630">
        <v>4.7237209754746011E-2</v>
      </c>
      <c r="Y630">
        <v>0.70090159218687909</v>
      </c>
      <c r="Z630" t="s">
        <v>24</v>
      </c>
    </row>
    <row r="631" spans="1:26" hidden="1" x14ac:dyDescent="0.2">
      <c r="A631">
        <v>40</v>
      </c>
      <c r="B631" t="s">
        <v>35</v>
      </c>
      <c r="C631" s="10">
        <v>10000033</v>
      </c>
      <c r="D631" t="b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0.30177528429070949</v>
      </c>
      <c r="Q631">
        <v>0</v>
      </c>
      <c r="R631">
        <v>4.7237209754746011E-2</v>
      </c>
      <c r="S631">
        <v>0</v>
      </c>
      <c r="T631">
        <v>4.7237209754746011E-2</v>
      </c>
      <c r="U631">
        <v>0</v>
      </c>
      <c r="V631">
        <v>0.69822471570929057</v>
      </c>
      <c r="W631">
        <v>6.5326268390002298</v>
      </c>
      <c r="X631">
        <v>4.7237209754746011E-2</v>
      </c>
      <c r="Y631">
        <v>0.69822471570929057</v>
      </c>
      <c r="Z631" t="s">
        <v>24</v>
      </c>
    </row>
    <row r="632" spans="1:26" hidden="1" x14ac:dyDescent="0.2">
      <c r="A632">
        <v>40</v>
      </c>
      <c r="B632" t="s">
        <v>27</v>
      </c>
      <c r="C632" s="10">
        <v>10000082</v>
      </c>
      <c r="D632" t="b">
        <v>1</v>
      </c>
      <c r="F632">
        <v>0</v>
      </c>
      <c r="G632">
        <v>0</v>
      </c>
      <c r="H632">
        <v>0</v>
      </c>
      <c r="I632">
        <v>0</v>
      </c>
      <c r="J632">
        <v>0.68415809055881616</v>
      </c>
      <c r="W632">
        <v>3.1666666666666679</v>
      </c>
      <c r="X632">
        <v>1</v>
      </c>
      <c r="Y632">
        <v>0</v>
      </c>
      <c r="Z632" t="s">
        <v>23</v>
      </c>
    </row>
    <row r="633" spans="1:26" hidden="1" x14ac:dyDescent="0.2">
      <c r="A633">
        <v>40</v>
      </c>
      <c r="B633" t="s">
        <v>31</v>
      </c>
      <c r="C633" s="10">
        <v>10000082</v>
      </c>
      <c r="D633" t="b">
        <v>1</v>
      </c>
      <c r="F633">
        <v>0</v>
      </c>
      <c r="G633">
        <v>0</v>
      </c>
      <c r="H633">
        <v>0</v>
      </c>
      <c r="I633">
        <v>0</v>
      </c>
      <c r="J633">
        <v>0.68415809055881616</v>
      </c>
      <c r="W633">
        <v>3.1666666666666679</v>
      </c>
      <c r="X633">
        <v>1</v>
      </c>
      <c r="Y633">
        <v>0</v>
      </c>
      <c r="Z633" t="s">
        <v>23</v>
      </c>
    </row>
    <row r="634" spans="1:26" hidden="1" x14ac:dyDescent="0.2">
      <c r="A634">
        <v>40</v>
      </c>
      <c r="B634" t="s">
        <v>27</v>
      </c>
      <c r="C634" s="10">
        <v>10000033</v>
      </c>
      <c r="D634" t="b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0.30408141571905067</v>
      </c>
      <c r="R634">
        <v>0</v>
      </c>
      <c r="S634">
        <v>0</v>
      </c>
      <c r="T634">
        <v>6.4008222723227592E-2</v>
      </c>
      <c r="U634">
        <v>0</v>
      </c>
      <c r="V634">
        <v>0.69591858428094922</v>
      </c>
      <c r="W634">
        <v>5.8362193991073719</v>
      </c>
      <c r="X634">
        <v>0.30408141571905067</v>
      </c>
      <c r="Y634">
        <v>0.69591858428094922</v>
      </c>
      <c r="Z634" t="s">
        <v>24</v>
      </c>
    </row>
    <row r="635" spans="1:26" hidden="1" x14ac:dyDescent="0.2">
      <c r="A635">
        <v>40</v>
      </c>
      <c r="B635" t="s">
        <v>27</v>
      </c>
      <c r="C635" s="10">
        <v>10000073</v>
      </c>
      <c r="D635" t="b">
        <v>1</v>
      </c>
      <c r="E635">
        <v>0</v>
      </c>
      <c r="F635">
        <v>0</v>
      </c>
      <c r="G635">
        <v>0</v>
      </c>
      <c r="H635">
        <v>0</v>
      </c>
      <c r="I635">
        <v>0.57223789461934083</v>
      </c>
      <c r="J635">
        <v>0.22962392171634469</v>
      </c>
      <c r="W635">
        <v>5.8623218825238448</v>
      </c>
      <c r="X635">
        <v>0.22962392171634469</v>
      </c>
      <c r="Y635">
        <v>0.57223789461934083</v>
      </c>
      <c r="Z635" t="s">
        <v>24</v>
      </c>
    </row>
    <row r="636" spans="1:26" hidden="1" x14ac:dyDescent="0.2">
      <c r="A636">
        <v>40</v>
      </c>
      <c r="B636" t="s">
        <v>31</v>
      </c>
      <c r="C636" s="10">
        <v>10000033</v>
      </c>
      <c r="D636" t="b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0.29840703812411978</v>
      </c>
      <c r="R636">
        <v>0</v>
      </c>
      <c r="S636">
        <v>0</v>
      </c>
      <c r="T636">
        <v>6.4008222723227592E-2</v>
      </c>
      <c r="U636">
        <v>0</v>
      </c>
      <c r="V636">
        <v>0.70159296187588016</v>
      </c>
      <c r="W636">
        <v>5.8579794641773333</v>
      </c>
      <c r="X636">
        <v>0.29840703812411978</v>
      </c>
      <c r="Y636">
        <v>0.70159296187588016</v>
      </c>
      <c r="Z636" t="s">
        <v>24</v>
      </c>
    </row>
    <row r="637" spans="1:26" hidden="1" x14ac:dyDescent="0.2">
      <c r="A637">
        <v>40</v>
      </c>
      <c r="B637" t="s">
        <v>34</v>
      </c>
      <c r="C637" s="10">
        <v>10000082</v>
      </c>
      <c r="D637" t="b">
        <v>1</v>
      </c>
      <c r="F637">
        <v>0</v>
      </c>
      <c r="G637">
        <v>0</v>
      </c>
      <c r="H637">
        <v>0</v>
      </c>
      <c r="I637">
        <v>0</v>
      </c>
      <c r="J637">
        <v>0.87537220627096601</v>
      </c>
      <c r="W637">
        <v>3.1666666666666679</v>
      </c>
      <c r="X637">
        <v>1</v>
      </c>
      <c r="Y637">
        <v>0</v>
      </c>
      <c r="Z637" t="s">
        <v>23</v>
      </c>
    </row>
    <row r="638" spans="1:26" hidden="1" x14ac:dyDescent="0.2">
      <c r="A638">
        <v>40</v>
      </c>
      <c r="B638" t="s">
        <v>26</v>
      </c>
      <c r="C638" s="10">
        <v>10000033</v>
      </c>
      <c r="D638" t="b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0.28571428571428559</v>
      </c>
      <c r="Q638">
        <v>0.29968875845785481</v>
      </c>
      <c r="R638">
        <v>7.1893630530198066E-2</v>
      </c>
      <c r="S638">
        <v>0</v>
      </c>
      <c r="T638">
        <v>7.1893630530198066E-2</v>
      </c>
      <c r="U638">
        <v>0</v>
      </c>
      <c r="V638">
        <v>0.70031124154214519</v>
      </c>
      <c r="W638">
        <v>5.8530758651256676</v>
      </c>
      <c r="X638">
        <v>0.29968875845785481</v>
      </c>
      <c r="Y638">
        <v>0.70031124154214519</v>
      </c>
      <c r="Z638" t="s">
        <v>24</v>
      </c>
    </row>
    <row r="639" spans="1:26" hidden="1" x14ac:dyDescent="0.2">
      <c r="A639">
        <v>40</v>
      </c>
      <c r="B639" t="s">
        <v>30</v>
      </c>
      <c r="C639" s="10">
        <v>10000047</v>
      </c>
      <c r="D639" t="b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0.81162744648326834</v>
      </c>
      <c r="P639">
        <v>0</v>
      </c>
      <c r="Q639">
        <v>0.18837255351673171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6.2555530888163018</v>
      </c>
      <c r="X639">
        <v>0.18837255351673171</v>
      </c>
      <c r="Y639">
        <v>0.81162744648326834</v>
      </c>
      <c r="Z639" t="s">
        <v>24</v>
      </c>
    </row>
    <row r="640" spans="1:26" hidden="1" x14ac:dyDescent="0.2">
      <c r="A640">
        <v>40</v>
      </c>
      <c r="B640" t="s">
        <v>34</v>
      </c>
      <c r="C640" s="10">
        <v>10000033</v>
      </c>
      <c r="D640" t="b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0.1333333333333333</v>
      </c>
      <c r="Q640">
        <v>0.30395154163118993</v>
      </c>
      <c r="R640">
        <v>7.1893630530198066E-2</v>
      </c>
      <c r="S640">
        <v>0</v>
      </c>
      <c r="T640">
        <v>7.1893630530198066E-2</v>
      </c>
      <c r="U640">
        <v>0</v>
      </c>
      <c r="V640">
        <v>0.69604845836881013</v>
      </c>
      <c r="W640">
        <v>5.8367189068173264</v>
      </c>
      <c r="X640">
        <v>0.30395154163118993</v>
      </c>
      <c r="Y640">
        <v>0.69604845836881013</v>
      </c>
      <c r="Z640" t="s">
        <v>24</v>
      </c>
    </row>
    <row r="641" spans="1:26" hidden="1" x14ac:dyDescent="0.2">
      <c r="A641">
        <v>40</v>
      </c>
      <c r="B641" t="s">
        <v>29</v>
      </c>
      <c r="C641" s="10">
        <v>10000082</v>
      </c>
      <c r="D641" t="b">
        <v>1</v>
      </c>
      <c r="F641">
        <v>0</v>
      </c>
      <c r="G641">
        <v>0</v>
      </c>
      <c r="H641">
        <v>0</v>
      </c>
      <c r="I641">
        <v>0</v>
      </c>
      <c r="J641">
        <v>0.59907149832667628</v>
      </c>
      <c r="W641">
        <v>3.1666666666666679</v>
      </c>
      <c r="X641">
        <v>1</v>
      </c>
      <c r="Y641">
        <v>0</v>
      </c>
      <c r="Z641" t="s">
        <v>23</v>
      </c>
    </row>
    <row r="642" spans="1:26" hidden="1" x14ac:dyDescent="0.2">
      <c r="A642">
        <v>40</v>
      </c>
      <c r="B642" t="s">
        <v>33</v>
      </c>
      <c r="C642" s="10">
        <v>10000082</v>
      </c>
      <c r="D642" t="b">
        <v>1</v>
      </c>
      <c r="F642">
        <v>0</v>
      </c>
      <c r="G642">
        <v>0</v>
      </c>
      <c r="H642">
        <v>0</v>
      </c>
      <c r="I642">
        <v>0</v>
      </c>
      <c r="J642">
        <v>0.59907149832667628</v>
      </c>
      <c r="W642">
        <v>3.1666666666666679</v>
      </c>
      <c r="X642">
        <v>1</v>
      </c>
      <c r="Y642">
        <v>0</v>
      </c>
      <c r="Z642" t="s">
        <v>23</v>
      </c>
    </row>
    <row r="643" spans="1:26" hidden="1" x14ac:dyDescent="0.2">
      <c r="A643">
        <v>40</v>
      </c>
      <c r="B643" t="s">
        <v>33</v>
      </c>
      <c r="C643" s="10">
        <v>10000047</v>
      </c>
      <c r="D643" t="b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0.80479510015959954</v>
      </c>
      <c r="P643">
        <v>0</v>
      </c>
      <c r="Q643">
        <v>0.19520489984040049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6.2321815036176513</v>
      </c>
      <c r="X643">
        <v>0.19520489984040049</v>
      </c>
      <c r="Y643">
        <v>0.80479510015959954</v>
      </c>
      <c r="Z643" t="s">
        <v>24</v>
      </c>
    </row>
    <row r="644" spans="1:26" hidden="1" x14ac:dyDescent="0.2">
      <c r="A644">
        <v>40</v>
      </c>
      <c r="B644" t="s">
        <v>29</v>
      </c>
      <c r="C644" s="10">
        <v>10000033</v>
      </c>
      <c r="D644" t="b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0.16666666666666671</v>
      </c>
      <c r="M644">
        <v>7.8234201192932881E-2</v>
      </c>
      <c r="N644">
        <v>0</v>
      </c>
      <c r="O644">
        <v>0</v>
      </c>
      <c r="P644">
        <v>0.25</v>
      </c>
      <c r="Q644">
        <v>0.30546055325971172</v>
      </c>
      <c r="R644">
        <v>7.8234201192932881E-2</v>
      </c>
      <c r="S644">
        <v>0</v>
      </c>
      <c r="T644">
        <v>7.8234201192932881E-2</v>
      </c>
      <c r="U644">
        <v>0</v>
      </c>
      <c r="V644">
        <v>0.69453944674028834</v>
      </c>
      <c r="W644">
        <v>5.8309105381221036</v>
      </c>
      <c r="X644">
        <v>0.30546055325971172</v>
      </c>
      <c r="Y644">
        <v>0.69453944674028834</v>
      </c>
      <c r="Z644" t="s">
        <v>24</v>
      </c>
    </row>
    <row r="645" spans="1:26" hidden="1" x14ac:dyDescent="0.2">
      <c r="A645">
        <v>41</v>
      </c>
      <c r="B645" t="s">
        <v>30</v>
      </c>
      <c r="C645" s="10">
        <v>10000082</v>
      </c>
      <c r="D645" t="b">
        <v>1</v>
      </c>
      <c r="F645">
        <v>0</v>
      </c>
      <c r="G645">
        <v>0</v>
      </c>
      <c r="H645">
        <v>0</v>
      </c>
      <c r="I645">
        <v>1</v>
      </c>
      <c r="J645">
        <v>0</v>
      </c>
      <c r="W645">
        <v>5.0025004164584352</v>
      </c>
      <c r="X645">
        <v>1</v>
      </c>
      <c r="Y645">
        <v>1</v>
      </c>
      <c r="Z645" t="s">
        <v>23</v>
      </c>
    </row>
    <row r="646" spans="1:26" hidden="1" x14ac:dyDescent="0.2">
      <c r="A646">
        <v>41</v>
      </c>
      <c r="B646" t="s">
        <v>30</v>
      </c>
      <c r="C646" s="10">
        <v>10000047</v>
      </c>
      <c r="D646" t="b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0.8324464589105538</v>
      </c>
      <c r="P646">
        <v>0</v>
      </c>
      <c r="Q646">
        <v>0.1675535410894462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6.3257275592333606</v>
      </c>
      <c r="X646">
        <v>0.1675535410894462</v>
      </c>
      <c r="Y646">
        <v>0.8324464589105538</v>
      </c>
      <c r="Z646" t="s">
        <v>24</v>
      </c>
    </row>
    <row r="647" spans="1:26" hidden="1" x14ac:dyDescent="0.2">
      <c r="A647">
        <v>41</v>
      </c>
      <c r="B647" t="s">
        <v>33</v>
      </c>
      <c r="C647" s="10">
        <v>10000082</v>
      </c>
      <c r="D647" t="b">
        <v>1</v>
      </c>
      <c r="F647">
        <v>0</v>
      </c>
      <c r="G647">
        <v>0</v>
      </c>
      <c r="H647">
        <v>0</v>
      </c>
      <c r="I647">
        <v>0</v>
      </c>
      <c r="J647">
        <v>0.78137867463135979</v>
      </c>
      <c r="W647">
        <v>3.1666666666666679</v>
      </c>
      <c r="X647">
        <v>1</v>
      </c>
      <c r="Y647">
        <v>0</v>
      </c>
      <c r="Z647" t="s">
        <v>23</v>
      </c>
    </row>
    <row r="648" spans="1:26" hidden="1" x14ac:dyDescent="0.2">
      <c r="A648">
        <v>41</v>
      </c>
      <c r="B648" t="s">
        <v>31</v>
      </c>
      <c r="C648" s="10">
        <v>10000033</v>
      </c>
      <c r="D648" t="b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0.29900304270584233</v>
      </c>
      <c r="Q648">
        <v>0</v>
      </c>
      <c r="R648">
        <v>7.0680825581635395E-2</v>
      </c>
      <c r="S648">
        <v>0</v>
      </c>
      <c r="T648">
        <v>7.0680825581635395E-2</v>
      </c>
      <c r="U648">
        <v>0</v>
      </c>
      <c r="V648">
        <v>0.70099695729415767</v>
      </c>
      <c r="W648">
        <v>6.467651641285233</v>
      </c>
      <c r="X648">
        <v>7.0680825581635395E-2</v>
      </c>
      <c r="Y648">
        <v>0.70099695729415767</v>
      </c>
      <c r="Z648" t="s">
        <v>24</v>
      </c>
    </row>
    <row r="649" spans="1:26" hidden="1" x14ac:dyDescent="0.2">
      <c r="A649">
        <v>41</v>
      </c>
      <c r="B649" t="s">
        <v>33</v>
      </c>
      <c r="C649" s="10">
        <v>10000033</v>
      </c>
      <c r="D649" t="b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0.30532545803239192</v>
      </c>
      <c r="Q649">
        <v>0.30532545803239192</v>
      </c>
      <c r="R649">
        <v>7.0680825581635395E-2</v>
      </c>
      <c r="S649">
        <v>0</v>
      </c>
      <c r="T649">
        <v>7.0680825581635395E-2</v>
      </c>
      <c r="U649">
        <v>0</v>
      </c>
      <c r="V649">
        <v>0.66666666666666652</v>
      </c>
      <c r="W649">
        <v>5.7926277501438763</v>
      </c>
      <c r="X649">
        <v>0.30532545803239192</v>
      </c>
      <c r="Y649">
        <v>0.66666666666666652</v>
      </c>
      <c r="Z649" t="s">
        <v>24</v>
      </c>
    </row>
    <row r="650" spans="1:26" hidden="1" x14ac:dyDescent="0.2">
      <c r="A650">
        <v>41</v>
      </c>
      <c r="B650" t="s">
        <v>34</v>
      </c>
      <c r="C650" s="10">
        <v>10000082</v>
      </c>
      <c r="D650" t="b">
        <v>1</v>
      </c>
      <c r="F650">
        <v>0</v>
      </c>
      <c r="G650">
        <v>0</v>
      </c>
      <c r="H650">
        <v>0</v>
      </c>
      <c r="I650">
        <v>0</v>
      </c>
      <c r="J650">
        <v>0.88237468609535652</v>
      </c>
      <c r="W650">
        <v>3.1666666666666679</v>
      </c>
      <c r="X650">
        <v>1</v>
      </c>
      <c r="Y650">
        <v>0</v>
      </c>
      <c r="Z650" t="s">
        <v>23</v>
      </c>
    </row>
    <row r="651" spans="1:26" hidden="1" x14ac:dyDescent="0.2">
      <c r="A651">
        <v>41</v>
      </c>
      <c r="B651" t="s">
        <v>34</v>
      </c>
      <c r="C651" s="10">
        <v>10000033</v>
      </c>
      <c r="D651" t="b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0.30258127443771349</v>
      </c>
      <c r="R651">
        <v>0</v>
      </c>
      <c r="S651">
        <v>0.15384615384615369</v>
      </c>
      <c r="T651">
        <v>0.12077049103624191</v>
      </c>
      <c r="U651">
        <v>0</v>
      </c>
      <c r="V651">
        <v>0.69741872556228646</v>
      </c>
      <c r="W651">
        <v>5.841983946546196</v>
      </c>
      <c r="X651">
        <v>0.30258127443771349</v>
      </c>
      <c r="Y651">
        <v>0.69741872556228646</v>
      </c>
      <c r="Z651" t="s">
        <v>24</v>
      </c>
    </row>
    <row r="652" spans="1:26" hidden="1" x14ac:dyDescent="0.2">
      <c r="A652">
        <v>41</v>
      </c>
      <c r="B652" t="s">
        <v>28</v>
      </c>
      <c r="C652" s="10">
        <v>10000073</v>
      </c>
      <c r="D652" t="b">
        <v>1</v>
      </c>
      <c r="E652">
        <v>0</v>
      </c>
      <c r="F652">
        <v>0</v>
      </c>
      <c r="G652">
        <v>0</v>
      </c>
      <c r="H652">
        <v>0</v>
      </c>
      <c r="I652">
        <v>0.56902386076386258</v>
      </c>
      <c r="J652">
        <v>0.31925511203698131</v>
      </c>
      <c r="W652">
        <v>5.6034059837837944</v>
      </c>
      <c r="X652">
        <v>0.31925511203698131</v>
      </c>
      <c r="Y652">
        <v>0.56902386076386258</v>
      </c>
      <c r="Z652" t="s">
        <v>24</v>
      </c>
    </row>
    <row r="653" spans="1:26" hidden="1" x14ac:dyDescent="0.2">
      <c r="A653">
        <v>41</v>
      </c>
      <c r="B653" t="s">
        <v>32</v>
      </c>
      <c r="C653" s="10">
        <v>10000082</v>
      </c>
      <c r="D653" t="b">
        <v>1</v>
      </c>
      <c r="F653">
        <v>0</v>
      </c>
      <c r="G653">
        <v>0</v>
      </c>
      <c r="H653">
        <v>0</v>
      </c>
      <c r="I653">
        <v>0</v>
      </c>
      <c r="J653">
        <v>1</v>
      </c>
      <c r="W653">
        <v>3.1666666666666679</v>
      </c>
      <c r="X653">
        <v>1</v>
      </c>
      <c r="Y653">
        <v>0</v>
      </c>
      <c r="Z653" t="s">
        <v>23</v>
      </c>
    </row>
    <row r="654" spans="1:26" hidden="1" x14ac:dyDescent="0.2">
      <c r="A654">
        <v>41</v>
      </c>
      <c r="B654" t="s">
        <v>32</v>
      </c>
      <c r="C654" s="10">
        <v>10000033</v>
      </c>
      <c r="D654" t="b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0.25</v>
      </c>
      <c r="Q654">
        <v>0.30717016192872781</v>
      </c>
      <c r="R654">
        <v>0.20688666146778439</v>
      </c>
      <c r="S654">
        <v>0</v>
      </c>
      <c r="T654">
        <v>0.20688666146778439</v>
      </c>
      <c r="U654">
        <v>0</v>
      </c>
      <c r="V654">
        <v>0.69282983807127219</v>
      </c>
      <c r="W654">
        <v>5.8243202770152607</v>
      </c>
      <c r="X654">
        <v>0.30717016192872781</v>
      </c>
      <c r="Y654">
        <v>0.69282983807127219</v>
      </c>
      <c r="Z654" t="s">
        <v>24</v>
      </c>
    </row>
    <row r="655" spans="1:26" hidden="1" x14ac:dyDescent="0.2">
      <c r="A655">
        <v>41</v>
      </c>
      <c r="B655" t="s">
        <v>29</v>
      </c>
      <c r="C655" s="10">
        <v>10000082</v>
      </c>
      <c r="D655" t="b">
        <v>1</v>
      </c>
      <c r="F655">
        <v>0</v>
      </c>
      <c r="G655">
        <v>0</v>
      </c>
      <c r="H655">
        <v>0</v>
      </c>
      <c r="I655">
        <v>0</v>
      </c>
      <c r="J655">
        <v>1</v>
      </c>
      <c r="W655">
        <v>3.1666666666666679</v>
      </c>
      <c r="X655">
        <v>1</v>
      </c>
      <c r="Y655">
        <v>0</v>
      </c>
      <c r="Z655" t="s">
        <v>23</v>
      </c>
    </row>
    <row r="656" spans="1:26" hidden="1" x14ac:dyDescent="0.2">
      <c r="A656">
        <v>41</v>
      </c>
      <c r="B656" t="s">
        <v>29</v>
      </c>
      <c r="C656" s="10">
        <v>10000073</v>
      </c>
      <c r="D656" t="b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0.43264745756666212</v>
      </c>
      <c r="P656">
        <v>0</v>
      </c>
      <c r="Q656">
        <v>0.32534208707575368</v>
      </c>
      <c r="R656">
        <v>0</v>
      </c>
      <c r="S656">
        <v>0.32534208707575368</v>
      </c>
      <c r="T656">
        <v>0</v>
      </c>
      <c r="U656">
        <v>0.56735254243333788</v>
      </c>
      <c r="V656">
        <v>0</v>
      </c>
      <c r="W656">
        <v>5.5839693463425562</v>
      </c>
      <c r="X656">
        <v>0.32534208707575368</v>
      </c>
      <c r="Y656">
        <v>0.56735254243333788</v>
      </c>
      <c r="Z656" t="s">
        <v>24</v>
      </c>
    </row>
    <row r="657" spans="1:26" hidden="1" x14ac:dyDescent="0.2">
      <c r="A657">
        <v>41</v>
      </c>
      <c r="B657" t="s">
        <v>26</v>
      </c>
      <c r="C657" s="10">
        <v>10000033</v>
      </c>
      <c r="D657" t="b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0.30690314457943407</v>
      </c>
      <c r="R657">
        <v>0</v>
      </c>
      <c r="S657">
        <v>0.2</v>
      </c>
      <c r="T657">
        <v>0.28207298900424449</v>
      </c>
      <c r="U657">
        <v>0</v>
      </c>
      <c r="V657">
        <v>0.69309685542056587</v>
      </c>
      <c r="W657">
        <v>5.8253502631072784</v>
      </c>
      <c r="X657">
        <v>0.30690314457943407</v>
      </c>
      <c r="Y657">
        <v>0.69309685542056587</v>
      </c>
      <c r="Z657" t="s">
        <v>24</v>
      </c>
    </row>
    <row r="658" spans="1:26" hidden="1" x14ac:dyDescent="0.2">
      <c r="A658">
        <v>41</v>
      </c>
      <c r="B658" t="s">
        <v>35</v>
      </c>
      <c r="C658" s="10">
        <v>10000033</v>
      </c>
      <c r="D658" t="b">
        <v>0</v>
      </c>
      <c r="E658">
        <v>0</v>
      </c>
      <c r="F658">
        <v>0.28364496361704172</v>
      </c>
      <c r="G658">
        <v>0.71635503638295828</v>
      </c>
      <c r="H658">
        <v>0.24000000000000021</v>
      </c>
      <c r="I658">
        <v>0.28364496361704172</v>
      </c>
      <c r="J658">
        <v>0.24000000000000021</v>
      </c>
      <c r="K658">
        <v>0</v>
      </c>
      <c r="L658">
        <v>3.3333333333333333E-2</v>
      </c>
      <c r="M658">
        <v>3.3333333333333333E-2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4.09015763047113</v>
      </c>
      <c r="X658">
        <v>0.71635503638295828</v>
      </c>
      <c r="Y658">
        <v>0.28364496361704172</v>
      </c>
      <c r="Z658" t="s">
        <v>23</v>
      </c>
    </row>
    <row r="659" spans="1:26" hidden="1" x14ac:dyDescent="0.2">
      <c r="A659">
        <v>41</v>
      </c>
      <c r="B659" t="s">
        <v>35</v>
      </c>
      <c r="C659" s="10">
        <v>10000082</v>
      </c>
      <c r="D659" t="b">
        <v>1</v>
      </c>
      <c r="F659">
        <v>0.89496074787804736</v>
      </c>
      <c r="G659">
        <v>0.1050392521219526</v>
      </c>
      <c r="H659">
        <v>0</v>
      </c>
      <c r="I659">
        <v>0</v>
      </c>
      <c r="J659">
        <v>0</v>
      </c>
      <c r="W659">
        <v>3.400825447507966</v>
      </c>
      <c r="X659">
        <v>1</v>
      </c>
      <c r="Y659">
        <v>0.1050392521219526</v>
      </c>
      <c r="Z659" t="s">
        <v>23</v>
      </c>
    </row>
    <row r="660" spans="1:26" hidden="1" x14ac:dyDescent="0.2">
      <c r="A660">
        <v>41</v>
      </c>
      <c r="B660" t="s">
        <v>35</v>
      </c>
      <c r="C660" s="10">
        <v>10000047</v>
      </c>
      <c r="D660" t="b">
        <v>0</v>
      </c>
      <c r="E660">
        <v>0.22222222222222229</v>
      </c>
      <c r="F660">
        <v>0</v>
      </c>
      <c r="G660">
        <v>0</v>
      </c>
      <c r="H660">
        <v>0</v>
      </c>
      <c r="I660">
        <v>0.50798359441445362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5.7836764225639969</v>
      </c>
      <c r="X660">
        <v>0.22222222222222229</v>
      </c>
      <c r="Y660">
        <v>0.50798359441445362</v>
      </c>
      <c r="Z660" t="s">
        <v>24</v>
      </c>
    </row>
    <row r="661" spans="1:26" hidden="1" x14ac:dyDescent="0.2">
      <c r="A661">
        <v>41</v>
      </c>
      <c r="B661" t="s">
        <v>27</v>
      </c>
      <c r="C661" s="10">
        <v>10000033</v>
      </c>
      <c r="D661" t="b">
        <v>0</v>
      </c>
      <c r="E661">
        <v>0</v>
      </c>
      <c r="F661">
        <v>0.26992975133321712</v>
      </c>
      <c r="G661">
        <v>0.73007024866678294</v>
      </c>
      <c r="H661">
        <v>0.24000000000000021</v>
      </c>
      <c r="I661">
        <v>0.26992975133321712</v>
      </c>
      <c r="J661">
        <v>0.24000000000000021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4.0388025594134191</v>
      </c>
      <c r="X661">
        <v>0.73007024866678294</v>
      </c>
      <c r="Y661">
        <v>0.26992975133321712</v>
      </c>
      <c r="Z661" t="s">
        <v>23</v>
      </c>
    </row>
    <row r="662" spans="1:26" hidden="1" x14ac:dyDescent="0.2">
      <c r="A662">
        <v>41</v>
      </c>
      <c r="B662" t="s">
        <v>27</v>
      </c>
      <c r="C662" s="10">
        <v>10000047</v>
      </c>
      <c r="D662" t="b">
        <v>0</v>
      </c>
      <c r="E662">
        <v>0</v>
      </c>
      <c r="F662">
        <v>0</v>
      </c>
      <c r="G662">
        <v>0</v>
      </c>
      <c r="H662">
        <v>0</v>
      </c>
      <c r="I662">
        <v>5.2631578947368578E-2</v>
      </c>
      <c r="J662">
        <v>0.94736842105263142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6.8076294793122836</v>
      </c>
      <c r="X662">
        <v>0</v>
      </c>
      <c r="Y662">
        <v>0.94736842105263142</v>
      </c>
      <c r="Z662" t="s">
        <v>24</v>
      </c>
    </row>
    <row r="663" spans="1:26" hidden="1" x14ac:dyDescent="0.2">
      <c r="A663">
        <v>42</v>
      </c>
      <c r="B663" t="s">
        <v>31</v>
      </c>
      <c r="C663" s="10">
        <v>10000033</v>
      </c>
      <c r="D663" t="b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0.30882977802696898</v>
      </c>
      <c r="Q663">
        <v>0</v>
      </c>
      <c r="R663">
        <v>4.2851806573029262E-2</v>
      </c>
      <c r="S663">
        <v>0</v>
      </c>
      <c r="T663">
        <v>4.2851806573029262E-2</v>
      </c>
      <c r="U663">
        <v>0</v>
      </c>
      <c r="V663">
        <v>0.69117022197303091</v>
      </c>
      <c r="W663">
        <v>6.5402734227201504</v>
      </c>
      <c r="X663">
        <v>4.2851806573029262E-2</v>
      </c>
      <c r="Y663">
        <v>0.69117022197303091</v>
      </c>
      <c r="Z663" t="s">
        <v>24</v>
      </c>
    </row>
    <row r="664" spans="1:26" hidden="1" x14ac:dyDescent="0.2">
      <c r="A664">
        <v>42</v>
      </c>
      <c r="B664" t="s">
        <v>26</v>
      </c>
      <c r="C664" s="10">
        <v>10000033</v>
      </c>
      <c r="D664" t="b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0.29831901747356138</v>
      </c>
      <c r="R664">
        <v>0</v>
      </c>
      <c r="S664">
        <v>0</v>
      </c>
      <c r="T664">
        <v>7.3124013155207904E-2</v>
      </c>
      <c r="U664">
        <v>0</v>
      </c>
      <c r="V664">
        <v>0.70168098252643862</v>
      </c>
      <c r="W664">
        <v>5.8583160033407413</v>
      </c>
      <c r="X664">
        <v>0.29831901747356138</v>
      </c>
      <c r="Y664">
        <v>0.70168098252643862</v>
      </c>
      <c r="Z664" t="s">
        <v>24</v>
      </c>
    </row>
    <row r="665" spans="1:26" hidden="1" x14ac:dyDescent="0.2">
      <c r="A665">
        <v>42</v>
      </c>
      <c r="B665" t="s">
        <v>29</v>
      </c>
      <c r="C665" s="10">
        <v>10000082</v>
      </c>
      <c r="D665" t="b">
        <v>1</v>
      </c>
      <c r="F665">
        <v>0</v>
      </c>
      <c r="G665">
        <v>0</v>
      </c>
      <c r="H665">
        <v>0</v>
      </c>
      <c r="I665">
        <v>0.74062329636009161</v>
      </c>
      <c r="J665">
        <v>0.28504605847842007</v>
      </c>
      <c r="W665">
        <v>4.6353620465935874</v>
      </c>
      <c r="X665">
        <v>1</v>
      </c>
      <c r="Y665">
        <v>0.74062329636009161</v>
      </c>
      <c r="Z665" t="s">
        <v>23</v>
      </c>
    </row>
    <row r="666" spans="1:26" hidden="1" x14ac:dyDescent="0.2">
      <c r="A666">
        <v>42</v>
      </c>
      <c r="B666" t="s">
        <v>29</v>
      </c>
      <c r="C666" s="10">
        <v>10000033</v>
      </c>
      <c r="D666" t="b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0.31337708026172911</v>
      </c>
      <c r="Q666">
        <v>0.31337708026172911</v>
      </c>
      <c r="R666">
        <v>7.3176671759660278E-2</v>
      </c>
      <c r="S666">
        <v>0</v>
      </c>
      <c r="T666">
        <v>7.3176671759660278E-2</v>
      </c>
      <c r="U666">
        <v>0</v>
      </c>
      <c r="V666">
        <v>0.66666666666666652</v>
      </c>
      <c r="W666">
        <v>5.772169327863498</v>
      </c>
      <c r="X666">
        <v>0.31337708026172911</v>
      </c>
      <c r="Y666">
        <v>0.66666666666666652</v>
      </c>
      <c r="Z666" t="s">
        <v>24</v>
      </c>
    </row>
    <row r="667" spans="1:26" hidden="1" x14ac:dyDescent="0.2">
      <c r="A667">
        <v>42</v>
      </c>
      <c r="B667" t="s">
        <v>27</v>
      </c>
      <c r="C667" s="10">
        <v>10000047</v>
      </c>
      <c r="D667" t="b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0.79813642167114585</v>
      </c>
      <c r="P667">
        <v>0</v>
      </c>
      <c r="Q667">
        <v>0.20186357832885421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6.2092402669941826</v>
      </c>
      <c r="X667">
        <v>0.20186357832885421</v>
      </c>
      <c r="Y667">
        <v>0.79813642167114585</v>
      </c>
      <c r="Z667" t="s">
        <v>24</v>
      </c>
    </row>
    <row r="668" spans="1:26" hidden="1" x14ac:dyDescent="0.2">
      <c r="A668">
        <v>42</v>
      </c>
      <c r="B668" t="s">
        <v>28</v>
      </c>
      <c r="C668" s="10">
        <v>10000082</v>
      </c>
      <c r="D668" t="b">
        <v>1</v>
      </c>
      <c r="F668">
        <v>0</v>
      </c>
      <c r="G668">
        <v>0</v>
      </c>
      <c r="H668">
        <v>0</v>
      </c>
      <c r="I668">
        <v>1</v>
      </c>
      <c r="J668">
        <v>0</v>
      </c>
      <c r="W668">
        <v>5.0025004164584352</v>
      </c>
      <c r="X668">
        <v>1</v>
      </c>
      <c r="Y668">
        <v>1</v>
      </c>
      <c r="Z668" t="s">
        <v>23</v>
      </c>
    </row>
    <row r="669" spans="1:26" hidden="1" x14ac:dyDescent="0.2">
      <c r="A669">
        <v>42</v>
      </c>
      <c r="B669" t="s">
        <v>28</v>
      </c>
      <c r="C669" s="10">
        <v>10000033</v>
      </c>
      <c r="D669" t="b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0.30458997312884611</v>
      </c>
      <c r="Q669">
        <v>0.20000000000000021</v>
      </c>
      <c r="R669">
        <v>0.12895355966506281</v>
      </c>
      <c r="S669">
        <v>0</v>
      </c>
      <c r="T669">
        <v>0.12895355966506281</v>
      </c>
      <c r="U669">
        <v>0</v>
      </c>
      <c r="V669">
        <v>0.69541002687115383</v>
      </c>
      <c r="W669">
        <v>6.1048629748977374</v>
      </c>
      <c r="X669">
        <v>0.20000000000000021</v>
      </c>
      <c r="Y669">
        <v>0.69541002687115383</v>
      </c>
      <c r="Z669" t="s">
        <v>24</v>
      </c>
    </row>
    <row r="670" spans="1:26" hidden="1" x14ac:dyDescent="0.2">
      <c r="A670">
        <v>42</v>
      </c>
      <c r="B670" t="s">
        <v>35</v>
      </c>
      <c r="C670" s="10">
        <v>10000047</v>
      </c>
      <c r="D670" t="b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0.76340273184596674</v>
      </c>
      <c r="P670">
        <v>0</v>
      </c>
      <c r="Q670">
        <v>0.23659726815403331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6.086925251471115</v>
      </c>
      <c r="X670">
        <v>0.23659726815403331</v>
      </c>
      <c r="Y670">
        <v>0.76340273184596674</v>
      </c>
      <c r="Z670" t="s">
        <v>24</v>
      </c>
    </row>
    <row r="671" spans="1:26" hidden="1" x14ac:dyDescent="0.2">
      <c r="A671">
        <v>42</v>
      </c>
      <c r="B671" t="s">
        <v>33</v>
      </c>
      <c r="C671" s="10">
        <v>10000073</v>
      </c>
      <c r="D671" t="b">
        <v>1</v>
      </c>
      <c r="E671">
        <v>0</v>
      </c>
      <c r="F671">
        <v>0</v>
      </c>
      <c r="G671">
        <v>0</v>
      </c>
      <c r="H671">
        <v>0</v>
      </c>
      <c r="I671">
        <v>0.57192421536220228</v>
      </c>
      <c r="J671">
        <v>0.26441902121167588</v>
      </c>
      <c r="W671">
        <v>5.7610845228193543</v>
      </c>
      <c r="X671">
        <v>0.26441902121167588</v>
      </c>
      <c r="Y671">
        <v>0.57192421536220228</v>
      </c>
      <c r="Z671" t="s">
        <v>24</v>
      </c>
    </row>
    <row r="672" spans="1:26" hidden="1" x14ac:dyDescent="0.2">
      <c r="A672">
        <v>42</v>
      </c>
      <c r="B672" t="s">
        <v>32</v>
      </c>
      <c r="C672" s="10">
        <v>10000033</v>
      </c>
      <c r="D672" t="b">
        <v>0</v>
      </c>
      <c r="E672">
        <v>0</v>
      </c>
      <c r="F672">
        <v>0.18580665498346441</v>
      </c>
      <c r="G672">
        <v>0.45454545454545459</v>
      </c>
      <c r="H672">
        <v>0.54545454545454541</v>
      </c>
      <c r="I672">
        <v>0.32252678461538081</v>
      </c>
      <c r="J672">
        <v>0.32252678461538081</v>
      </c>
      <c r="K672">
        <v>0</v>
      </c>
      <c r="L672">
        <v>0.23333333333333331</v>
      </c>
      <c r="M672">
        <v>0.18580665498346441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5.210850855247628</v>
      </c>
      <c r="X672">
        <v>0.45454545454545459</v>
      </c>
      <c r="Y672">
        <v>0.54545454545454541</v>
      </c>
      <c r="Z672" t="s">
        <v>24</v>
      </c>
    </row>
    <row r="673" spans="1:26" hidden="1" x14ac:dyDescent="0.2">
      <c r="A673">
        <v>42</v>
      </c>
      <c r="B673" t="s">
        <v>34</v>
      </c>
      <c r="C673" s="10">
        <v>10000073</v>
      </c>
      <c r="D673" t="b">
        <v>0</v>
      </c>
      <c r="E673">
        <v>0.45140369788406182</v>
      </c>
      <c r="F673">
        <v>0</v>
      </c>
      <c r="G673">
        <v>0.54859630211593824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3.4186270183147491</v>
      </c>
      <c r="X673">
        <v>0.54859630211593824</v>
      </c>
      <c r="Y673">
        <v>0</v>
      </c>
      <c r="Z673" t="s">
        <v>23</v>
      </c>
    </row>
    <row r="674" spans="1:26" hidden="1" x14ac:dyDescent="0.2">
      <c r="A674">
        <v>42</v>
      </c>
      <c r="B674" t="s">
        <v>34</v>
      </c>
      <c r="C674" s="10">
        <v>10000047</v>
      </c>
      <c r="D674" t="b">
        <v>0</v>
      </c>
      <c r="E674">
        <v>0.66666666666666674</v>
      </c>
      <c r="F674">
        <v>0</v>
      </c>
      <c r="G674">
        <v>0</v>
      </c>
      <c r="H674">
        <v>0</v>
      </c>
      <c r="I674">
        <v>0.33333333333333331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4.2823877535118076</v>
      </c>
      <c r="X674">
        <v>0.66666666666666674</v>
      </c>
      <c r="Y674">
        <v>0.33333333333333331</v>
      </c>
      <c r="Z674" t="s">
        <v>23</v>
      </c>
    </row>
    <row r="675" spans="1:26" hidden="1" x14ac:dyDescent="0.2">
      <c r="A675">
        <v>42</v>
      </c>
      <c r="B675" t="s">
        <v>30</v>
      </c>
      <c r="C675" s="10">
        <v>10000033</v>
      </c>
      <c r="D675" t="b">
        <v>0</v>
      </c>
      <c r="E675">
        <v>0</v>
      </c>
      <c r="F675">
        <v>0.18580665498346441</v>
      </c>
      <c r="G675">
        <v>0.2799999999999998</v>
      </c>
      <c r="H675">
        <v>0.66945718985319713</v>
      </c>
      <c r="I675">
        <v>0.2799999999999998</v>
      </c>
      <c r="J675">
        <v>0.33054281014680281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5.8615997606863681</v>
      </c>
      <c r="X675">
        <v>0.2799999999999998</v>
      </c>
      <c r="Y675">
        <v>0.66945718985319713</v>
      </c>
      <c r="Z675" t="s">
        <v>24</v>
      </c>
    </row>
    <row r="676" spans="1:26" hidden="1" x14ac:dyDescent="0.2">
      <c r="A676">
        <v>42</v>
      </c>
      <c r="B676" t="s">
        <v>34</v>
      </c>
      <c r="C676" s="10">
        <v>10000082</v>
      </c>
      <c r="D676" t="b">
        <v>1</v>
      </c>
      <c r="F676">
        <v>0.61173181747440075</v>
      </c>
      <c r="G676">
        <v>0.38826818252559919</v>
      </c>
      <c r="H676">
        <v>0</v>
      </c>
      <c r="I676">
        <v>0</v>
      </c>
      <c r="J676">
        <v>0</v>
      </c>
      <c r="W676">
        <v>4.0016972871306082</v>
      </c>
      <c r="X676">
        <v>1</v>
      </c>
      <c r="Y676">
        <v>0.38826818252559919</v>
      </c>
      <c r="Z676" t="s">
        <v>23</v>
      </c>
    </row>
    <row r="677" spans="1:26" hidden="1" x14ac:dyDescent="0.2">
      <c r="A677">
        <v>42</v>
      </c>
      <c r="B677" t="s">
        <v>34</v>
      </c>
      <c r="C677" s="10">
        <v>10000033</v>
      </c>
      <c r="D677" t="b">
        <v>0</v>
      </c>
      <c r="E677">
        <v>0</v>
      </c>
      <c r="F677">
        <v>0.18518518518518509</v>
      </c>
      <c r="G677">
        <v>0.18518518518518509</v>
      </c>
      <c r="H677">
        <v>0.67046595762325134</v>
      </c>
      <c r="I677">
        <v>0.18518518518518509</v>
      </c>
      <c r="J677">
        <v>0.3295340423767486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6.1167192599402513</v>
      </c>
      <c r="X677">
        <v>0.18518518518518509</v>
      </c>
      <c r="Y677">
        <v>0.67046595762325134</v>
      </c>
      <c r="Z677" t="s">
        <v>24</v>
      </c>
    </row>
    <row r="678" spans="1:26" hidden="1" x14ac:dyDescent="0.2">
      <c r="A678">
        <v>43</v>
      </c>
      <c r="B678" t="s">
        <v>29</v>
      </c>
      <c r="C678" s="10">
        <v>10000047</v>
      </c>
      <c r="D678" t="b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0.79391698453509663</v>
      </c>
      <c r="P678">
        <v>0</v>
      </c>
      <c r="Q678">
        <v>0.2060830154649034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6.194619305359355</v>
      </c>
      <c r="X678">
        <v>0.2060830154649034</v>
      </c>
      <c r="Y678">
        <v>0.79391698453509663</v>
      </c>
      <c r="Z678" t="s">
        <v>24</v>
      </c>
    </row>
    <row r="679" spans="1:26" hidden="1" x14ac:dyDescent="0.2">
      <c r="A679">
        <v>43</v>
      </c>
      <c r="B679" t="s">
        <v>32</v>
      </c>
      <c r="C679" s="10">
        <v>10000033</v>
      </c>
      <c r="D679" t="b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0.30974360263016038</v>
      </c>
      <c r="Q679">
        <v>0</v>
      </c>
      <c r="R679">
        <v>0.1128401170867772</v>
      </c>
      <c r="S679">
        <v>0</v>
      </c>
      <c r="T679">
        <v>0.1128401170867772</v>
      </c>
      <c r="U679">
        <v>0</v>
      </c>
      <c r="V679">
        <v>0.69025639736983968</v>
      </c>
      <c r="W679">
        <v>6.3391003577653446</v>
      </c>
      <c r="X679">
        <v>0.1128401170867772</v>
      </c>
      <c r="Y679">
        <v>0.69025639736983968</v>
      </c>
      <c r="Z679" t="s">
        <v>24</v>
      </c>
    </row>
    <row r="680" spans="1:26" hidden="1" x14ac:dyDescent="0.2">
      <c r="A680">
        <v>43</v>
      </c>
      <c r="B680" t="s">
        <v>28</v>
      </c>
      <c r="C680" s="10">
        <v>10000033</v>
      </c>
      <c r="D680" t="b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0.31949676851284398</v>
      </c>
      <c r="Q680">
        <v>0</v>
      </c>
      <c r="R680">
        <v>0.1128401170867772</v>
      </c>
      <c r="S680">
        <v>0</v>
      </c>
      <c r="T680">
        <v>0.1128401170867772</v>
      </c>
      <c r="U680">
        <v>0</v>
      </c>
      <c r="V680">
        <v>0.68050323148715597</v>
      </c>
      <c r="W680">
        <v>6.3300859239672507</v>
      </c>
      <c r="X680">
        <v>0.1128401170867772</v>
      </c>
      <c r="Y680">
        <v>0.68050323148715597</v>
      </c>
      <c r="Z680" t="s">
        <v>24</v>
      </c>
    </row>
    <row r="681" spans="1:26" hidden="1" x14ac:dyDescent="0.2">
      <c r="A681">
        <v>43</v>
      </c>
      <c r="B681" t="s">
        <v>31</v>
      </c>
      <c r="C681" s="10">
        <v>10000033</v>
      </c>
      <c r="D681" t="b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0.31680627373567122</v>
      </c>
      <c r="Q681">
        <v>0</v>
      </c>
      <c r="R681">
        <v>0.1136942934393393</v>
      </c>
      <c r="S681">
        <v>0</v>
      </c>
      <c r="T681">
        <v>0.1136942934393393</v>
      </c>
      <c r="U681">
        <v>0</v>
      </c>
      <c r="V681">
        <v>0.68319372626432884</v>
      </c>
      <c r="W681">
        <v>6.3301574523862598</v>
      </c>
      <c r="X681">
        <v>0.1136942934393393</v>
      </c>
      <c r="Y681">
        <v>0.68319372626432884</v>
      </c>
      <c r="Z681" t="s">
        <v>24</v>
      </c>
    </row>
    <row r="682" spans="1:26" hidden="1" x14ac:dyDescent="0.2">
      <c r="A682">
        <v>43</v>
      </c>
      <c r="B682" t="s">
        <v>26</v>
      </c>
      <c r="C682" s="10">
        <v>10000033</v>
      </c>
      <c r="D682" t="b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0.31345690887978672</v>
      </c>
      <c r="Q682">
        <v>0</v>
      </c>
      <c r="R682">
        <v>0.13592737240087049</v>
      </c>
      <c r="S682">
        <v>0</v>
      </c>
      <c r="T682">
        <v>0.13592737240087049</v>
      </c>
      <c r="U682">
        <v>0</v>
      </c>
      <c r="V682">
        <v>0.68654309112021328</v>
      </c>
      <c r="W682">
        <v>6.2707343473814676</v>
      </c>
      <c r="X682">
        <v>0.13592737240087049</v>
      </c>
      <c r="Y682">
        <v>0.68654309112021328</v>
      </c>
      <c r="Z682" t="s">
        <v>24</v>
      </c>
    </row>
    <row r="683" spans="1:26" hidden="1" x14ac:dyDescent="0.2">
      <c r="A683">
        <v>43</v>
      </c>
      <c r="B683" t="s">
        <v>35</v>
      </c>
      <c r="C683" s="10">
        <v>10000033</v>
      </c>
      <c r="D683" t="b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0.31965041974770297</v>
      </c>
      <c r="Q683">
        <v>0</v>
      </c>
      <c r="R683">
        <v>0.15607525834811439</v>
      </c>
      <c r="S683">
        <v>0</v>
      </c>
      <c r="T683">
        <v>0.15607525834811439</v>
      </c>
      <c r="U683">
        <v>0</v>
      </c>
      <c r="V683">
        <v>0.68034958025229697</v>
      </c>
      <c r="W683">
        <v>6.2082250541191684</v>
      </c>
      <c r="X683">
        <v>0.15607525834811439</v>
      </c>
      <c r="Y683">
        <v>0.68034958025229697</v>
      </c>
      <c r="Z683" t="s">
        <v>24</v>
      </c>
    </row>
    <row r="684" spans="1:26" hidden="1" x14ac:dyDescent="0.2">
      <c r="A684">
        <v>43</v>
      </c>
      <c r="B684" t="s">
        <v>33</v>
      </c>
      <c r="C684" s="10">
        <v>10000047</v>
      </c>
      <c r="D684" t="b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0.70715585861394858</v>
      </c>
      <c r="P684">
        <v>0</v>
      </c>
      <c r="Q684">
        <v>0.29284414138605142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5.8791900470218588</v>
      </c>
      <c r="X684">
        <v>0.29284414138605142</v>
      </c>
      <c r="Y684">
        <v>0.70715585861394858</v>
      </c>
      <c r="Z684" t="s">
        <v>24</v>
      </c>
    </row>
    <row r="685" spans="1:26" hidden="1" x14ac:dyDescent="0.2">
      <c r="A685">
        <v>43</v>
      </c>
      <c r="B685" t="s">
        <v>27</v>
      </c>
      <c r="C685" s="10">
        <v>10000082</v>
      </c>
      <c r="D685" t="b">
        <v>1</v>
      </c>
      <c r="F685">
        <v>0</v>
      </c>
      <c r="G685">
        <v>0</v>
      </c>
      <c r="H685">
        <v>0</v>
      </c>
      <c r="I685">
        <v>0.47695721432419902</v>
      </c>
      <c r="J685">
        <v>0.61633242950988476</v>
      </c>
      <c r="W685">
        <v>4.1749348704920974</v>
      </c>
      <c r="X685">
        <v>1</v>
      </c>
      <c r="Y685">
        <v>0.47695721432419902</v>
      </c>
      <c r="Z685" t="s">
        <v>23</v>
      </c>
    </row>
    <row r="686" spans="1:26" hidden="1" x14ac:dyDescent="0.2">
      <c r="A686">
        <v>43</v>
      </c>
      <c r="B686" t="s">
        <v>27</v>
      </c>
      <c r="C686" s="10">
        <v>10000033</v>
      </c>
      <c r="D686" t="b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0.32087646528463609</v>
      </c>
      <c r="Q686">
        <v>0</v>
      </c>
      <c r="R686">
        <v>0.22205031737726499</v>
      </c>
      <c r="S686">
        <v>0</v>
      </c>
      <c r="T686">
        <v>0.22205031737726499</v>
      </c>
      <c r="U686">
        <v>0</v>
      </c>
      <c r="V686">
        <v>0.6791235347153638</v>
      </c>
      <c r="W686">
        <v>6.0267280104800962</v>
      </c>
      <c r="X686">
        <v>0.22205031737726499</v>
      </c>
      <c r="Y686">
        <v>0.6791235347153638</v>
      </c>
      <c r="Z686" t="s">
        <v>24</v>
      </c>
    </row>
    <row r="687" spans="1:26" hidden="1" x14ac:dyDescent="0.2">
      <c r="A687">
        <v>43</v>
      </c>
      <c r="B687" t="s">
        <v>34</v>
      </c>
      <c r="C687" s="10">
        <v>10000082</v>
      </c>
      <c r="D687" t="b">
        <v>1</v>
      </c>
      <c r="F687">
        <v>0</v>
      </c>
      <c r="G687">
        <v>0.86689181081727129</v>
      </c>
      <c r="H687">
        <v>0</v>
      </c>
      <c r="I687">
        <v>0</v>
      </c>
      <c r="J687">
        <v>0</v>
      </c>
      <c r="W687">
        <v>4.8248352408774924</v>
      </c>
      <c r="X687">
        <v>1</v>
      </c>
      <c r="Y687">
        <v>0.86689181081727129</v>
      </c>
      <c r="Z687" t="s">
        <v>23</v>
      </c>
    </row>
    <row r="688" spans="1:26" hidden="1" x14ac:dyDescent="0.2">
      <c r="A688">
        <v>43</v>
      </c>
      <c r="B688" t="s">
        <v>30</v>
      </c>
      <c r="C688" s="10">
        <v>10000073</v>
      </c>
      <c r="D688" t="b">
        <v>1</v>
      </c>
      <c r="E688">
        <v>0</v>
      </c>
      <c r="F688">
        <v>0</v>
      </c>
      <c r="G688">
        <v>0.57224632690516342</v>
      </c>
      <c r="H688">
        <v>0</v>
      </c>
      <c r="I688">
        <v>0</v>
      </c>
      <c r="J688">
        <v>0</v>
      </c>
      <c r="W688">
        <v>6.5975955026445234</v>
      </c>
      <c r="X688">
        <v>0</v>
      </c>
      <c r="Y688">
        <v>0.57224632690516342</v>
      </c>
      <c r="Z688" t="s">
        <v>24</v>
      </c>
    </row>
    <row r="689" spans="1:26" hidden="1" x14ac:dyDescent="0.2">
      <c r="A689">
        <v>43</v>
      </c>
      <c r="B689" t="s">
        <v>34</v>
      </c>
      <c r="C689" s="10">
        <v>10000033</v>
      </c>
      <c r="D689" t="b">
        <v>0</v>
      </c>
      <c r="E689">
        <v>0</v>
      </c>
      <c r="F689">
        <v>0</v>
      </c>
      <c r="G689">
        <v>0</v>
      </c>
      <c r="H689">
        <v>0.70129288283754165</v>
      </c>
      <c r="I689">
        <v>0</v>
      </c>
      <c r="J689">
        <v>0.29870711716245829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6.6714886034719898</v>
      </c>
      <c r="X689">
        <v>0</v>
      </c>
      <c r="Y689">
        <v>0.70129288283754165</v>
      </c>
      <c r="Z689" t="s">
        <v>24</v>
      </c>
    </row>
    <row r="690" spans="1:26" hidden="1" x14ac:dyDescent="0.2">
      <c r="A690">
        <v>44</v>
      </c>
      <c r="B690" t="s">
        <v>26</v>
      </c>
      <c r="C690" s="10">
        <v>10000047</v>
      </c>
      <c r="D690" t="b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0.78384857096023319</v>
      </c>
      <c r="P690">
        <v>0</v>
      </c>
      <c r="Q690">
        <v>0.21615142903976681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6.1594673673015317</v>
      </c>
      <c r="X690">
        <v>0.21615142903976681</v>
      </c>
      <c r="Y690">
        <v>0.78384857096023319</v>
      </c>
      <c r="Z690" t="s">
        <v>24</v>
      </c>
    </row>
    <row r="691" spans="1:26" hidden="1" x14ac:dyDescent="0.2">
      <c r="A691">
        <v>44</v>
      </c>
      <c r="B691" t="s">
        <v>33</v>
      </c>
      <c r="C691" s="10">
        <v>10000033</v>
      </c>
      <c r="D691" t="b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0.31785006125536652</v>
      </c>
      <c r="Q691">
        <v>0</v>
      </c>
      <c r="R691">
        <v>0.14534388796655309</v>
      </c>
      <c r="S691">
        <v>0</v>
      </c>
      <c r="T691">
        <v>0.14534388796655309</v>
      </c>
      <c r="U691">
        <v>0</v>
      </c>
      <c r="V691">
        <v>0.68214993874463348</v>
      </c>
      <c r="W691">
        <v>6.2400056465515474</v>
      </c>
      <c r="X691">
        <v>0.14534388796655309</v>
      </c>
      <c r="Y691">
        <v>0.68214993874463348</v>
      </c>
      <c r="Z691" t="s">
        <v>24</v>
      </c>
    </row>
    <row r="692" spans="1:26" hidden="1" x14ac:dyDescent="0.2">
      <c r="A692">
        <v>44</v>
      </c>
      <c r="B692" t="s">
        <v>35</v>
      </c>
      <c r="C692" s="10">
        <v>10000033</v>
      </c>
      <c r="D692" t="b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0.32791987078651008</v>
      </c>
      <c r="Q692">
        <v>0</v>
      </c>
      <c r="R692">
        <v>0.25867711844521529</v>
      </c>
      <c r="S692">
        <v>0</v>
      </c>
      <c r="T692">
        <v>0.25867711844521529</v>
      </c>
      <c r="U692">
        <v>0</v>
      </c>
      <c r="V692">
        <v>0.67208012921348992</v>
      </c>
      <c r="W692">
        <v>5.9207268580491208</v>
      </c>
      <c r="X692">
        <v>0.25867711844521529</v>
      </c>
      <c r="Y692">
        <v>0.67208012921348992</v>
      </c>
      <c r="Z692" t="s">
        <v>24</v>
      </c>
    </row>
    <row r="693" spans="1:26" hidden="1" x14ac:dyDescent="0.2">
      <c r="A693">
        <v>44</v>
      </c>
      <c r="B693" t="s">
        <v>35</v>
      </c>
      <c r="C693" s="10">
        <v>10000073</v>
      </c>
      <c r="D693" t="b">
        <v>1</v>
      </c>
      <c r="E693">
        <v>0</v>
      </c>
      <c r="F693">
        <v>0</v>
      </c>
      <c r="G693">
        <v>0</v>
      </c>
      <c r="H693">
        <v>0</v>
      </c>
      <c r="I693">
        <v>0.54939883952663537</v>
      </c>
      <c r="J693">
        <v>0.37522552604536058</v>
      </c>
      <c r="W693">
        <v>5.4181436024796721</v>
      </c>
      <c r="X693">
        <v>0.37522552604536058</v>
      </c>
      <c r="Y693">
        <v>0.54939883952663537</v>
      </c>
      <c r="Z693" t="s">
        <v>24</v>
      </c>
    </row>
    <row r="694" spans="1:26" hidden="1" x14ac:dyDescent="0.2">
      <c r="A694">
        <v>44</v>
      </c>
      <c r="B694" t="s">
        <v>32</v>
      </c>
      <c r="C694" s="10">
        <v>10000033</v>
      </c>
      <c r="D694" t="b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0.3208038244919183</v>
      </c>
      <c r="Q694">
        <v>0.23076923076923081</v>
      </c>
      <c r="R694">
        <v>0.31383093728961009</v>
      </c>
      <c r="S694">
        <v>0</v>
      </c>
      <c r="T694">
        <v>0.31383093728961009</v>
      </c>
      <c r="U694">
        <v>0</v>
      </c>
      <c r="V694">
        <v>0.67919617550808176</v>
      </c>
      <c r="W694">
        <v>5.7887948520175776</v>
      </c>
      <c r="X694">
        <v>0.31383093728961009</v>
      </c>
      <c r="Y694">
        <v>0.67919617550808176</v>
      </c>
      <c r="Z694" t="s">
        <v>24</v>
      </c>
    </row>
    <row r="695" spans="1:26" hidden="1" x14ac:dyDescent="0.2">
      <c r="A695">
        <v>44</v>
      </c>
      <c r="B695" t="s">
        <v>29</v>
      </c>
      <c r="C695" s="10">
        <v>10000082</v>
      </c>
      <c r="D695" t="b">
        <v>1</v>
      </c>
      <c r="F695">
        <v>0</v>
      </c>
      <c r="G695">
        <v>0</v>
      </c>
      <c r="H695">
        <v>0</v>
      </c>
      <c r="I695">
        <v>0.69137214356114696</v>
      </c>
      <c r="J695">
        <v>0.31167666542399031</v>
      </c>
      <c r="W695">
        <v>4.555920539788973</v>
      </c>
      <c r="X695">
        <v>1</v>
      </c>
      <c r="Y695">
        <v>0.69137214356114696</v>
      </c>
      <c r="Z695" t="s">
        <v>23</v>
      </c>
    </row>
    <row r="696" spans="1:26" hidden="1" x14ac:dyDescent="0.2">
      <c r="A696">
        <v>44</v>
      </c>
      <c r="B696" t="s">
        <v>29</v>
      </c>
      <c r="C696" s="10">
        <v>10000047</v>
      </c>
      <c r="D696" t="b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0.64871895272979563</v>
      </c>
      <c r="P696">
        <v>0</v>
      </c>
      <c r="Q696">
        <v>0.35128104727020443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5.6502228380353463</v>
      </c>
      <c r="X696">
        <v>0.35128104727020443</v>
      </c>
      <c r="Y696">
        <v>0.64871895272979563</v>
      </c>
      <c r="Z696" t="s">
        <v>24</v>
      </c>
    </row>
    <row r="697" spans="1:26" hidden="1" x14ac:dyDescent="0.2">
      <c r="A697">
        <v>44</v>
      </c>
      <c r="B697" t="s">
        <v>34</v>
      </c>
      <c r="C697" s="10">
        <v>10000033</v>
      </c>
      <c r="D697" t="b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0.31592811095166978</v>
      </c>
      <c r="Q697">
        <v>0</v>
      </c>
      <c r="R697">
        <v>0.31521634851554903</v>
      </c>
      <c r="S697">
        <v>0</v>
      </c>
      <c r="T697">
        <v>0.31521634851554903</v>
      </c>
      <c r="U697">
        <v>0</v>
      </c>
      <c r="V697">
        <v>0.68407188904833016</v>
      </c>
      <c r="W697">
        <v>5.7921529430707546</v>
      </c>
      <c r="X697">
        <v>0.31521634851554903</v>
      </c>
      <c r="Y697">
        <v>0.68407188904833016</v>
      </c>
      <c r="Z697" t="s">
        <v>24</v>
      </c>
    </row>
    <row r="698" spans="1:26" hidden="1" x14ac:dyDescent="0.2">
      <c r="A698">
        <v>44</v>
      </c>
      <c r="B698" t="s">
        <v>28</v>
      </c>
      <c r="C698" s="10">
        <v>10000047</v>
      </c>
      <c r="D698" t="b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0.64871895272979563</v>
      </c>
      <c r="P698">
        <v>0</v>
      </c>
      <c r="Q698">
        <v>0.35128104727020443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5.6502228380353463</v>
      </c>
      <c r="X698">
        <v>0.35128104727020443</v>
      </c>
      <c r="Y698">
        <v>0.64871895272979563</v>
      </c>
      <c r="Z698" t="s">
        <v>24</v>
      </c>
    </row>
    <row r="699" spans="1:26" hidden="1" x14ac:dyDescent="0.2">
      <c r="A699">
        <v>44</v>
      </c>
      <c r="B699" t="s">
        <v>30</v>
      </c>
      <c r="C699" s="10">
        <v>10000082</v>
      </c>
      <c r="D699" t="b">
        <v>1</v>
      </c>
      <c r="F699">
        <v>0</v>
      </c>
      <c r="G699">
        <v>0.68456239156534615</v>
      </c>
      <c r="H699">
        <v>0</v>
      </c>
      <c r="I699">
        <v>0</v>
      </c>
      <c r="J699">
        <v>0</v>
      </c>
      <c r="W699">
        <v>4.5446936355691889</v>
      </c>
      <c r="X699">
        <v>1</v>
      </c>
      <c r="Y699">
        <v>0.68456239156534615</v>
      </c>
      <c r="Z699" t="s">
        <v>23</v>
      </c>
    </row>
    <row r="700" spans="1:26" hidden="1" x14ac:dyDescent="0.2">
      <c r="A700">
        <v>44</v>
      </c>
      <c r="B700" t="s">
        <v>30</v>
      </c>
      <c r="C700" s="10">
        <v>10000033</v>
      </c>
      <c r="D700" t="b">
        <v>0</v>
      </c>
      <c r="E700">
        <v>0</v>
      </c>
      <c r="F700">
        <v>0</v>
      </c>
      <c r="G700">
        <v>0</v>
      </c>
      <c r="H700">
        <v>0.68404454190763408</v>
      </c>
      <c r="I700">
        <v>0</v>
      </c>
      <c r="J700">
        <v>0.31595545809236592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6.6617046155572899</v>
      </c>
      <c r="X700">
        <v>0</v>
      </c>
      <c r="Y700">
        <v>0.68404454190763408</v>
      </c>
      <c r="Z700" t="s">
        <v>24</v>
      </c>
    </row>
    <row r="701" spans="1:26" hidden="1" x14ac:dyDescent="0.2">
      <c r="A701">
        <v>44</v>
      </c>
      <c r="B701" t="s">
        <v>27</v>
      </c>
      <c r="C701" s="10">
        <v>10000047</v>
      </c>
      <c r="D701" t="b">
        <v>0</v>
      </c>
      <c r="E701">
        <v>0.39999999999999991</v>
      </c>
      <c r="F701">
        <v>0</v>
      </c>
      <c r="G701">
        <v>0</v>
      </c>
      <c r="H701">
        <v>0</v>
      </c>
      <c r="I701">
        <v>0.60000000000000009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5.4486344311186956</v>
      </c>
      <c r="X701">
        <v>0.39999999999999991</v>
      </c>
      <c r="Y701">
        <v>0.60000000000000009</v>
      </c>
      <c r="Z701" t="s">
        <v>24</v>
      </c>
    </row>
    <row r="702" spans="1:26" hidden="1" x14ac:dyDescent="0.2">
      <c r="A702">
        <v>44</v>
      </c>
      <c r="B702" t="s">
        <v>31</v>
      </c>
      <c r="C702" s="10">
        <v>10000047</v>
      </c>
      <c r="D702" t="b">
        <v>0</v>
      </c>
      <c r="E702">
        <v>0.66666666666666674</v>
      </c>
      <c r="F702">
        <v>0</v>
      </c>
      <c r="G702">
        <v>0</v>
      </c>
      <c r="H702">
        <v>0</v>
      </c>
      <c r="I702">
        <v>0.33333333333333331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4.2823877535118076</v>
      </c>
      <c r="X702">
        <v>0.66666666666666674</v>
      </c>
      <c r="Y702">
        <v>0.33333333333333331</v>
      </c>
      <c r="Z702" t="s">
        <v>23</v>
      </c>
    </row>
    <row r="703" spans="1:26" hidden="1" x14ac:dyDescent="0.2">
      <c r="A703">
        <v>44</v>
      </c>
      <c r="B703" t="s">
        <v>31</v>
      </c>
      <c r="C703" s="10">
        <v>10000033</v>
      </c>
      <c r="D703" t="b">
        <v>0</v>
      </c>
      <c r="E703">
        <v>0</v>
      </c>
      <c r="F703">
        <v>0.20000000000000021</v>
      </c>
      <c r="G703">
        <v>0.20000000000000021</v>
      </c>
      <c r="H703">
        <v>0.67623150647359942</v>
      </c>
      <c r="I703">
        <v>0.20000000000000021</v>
      </c>
      <c r="J703">
        <v>0.32376849352640058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6.0827795533695559</v>
      </c>
      <c r="X703">
        <v>0.20000000000000021</v>
      </c>
      <c r="Y703">
        <v>0.67623150647359942</v>
      </c>
      <c r="Z703" t="s">
        <v>24</v>
      </c>
    </row>
    <row r="704" spans="1:26" hidden="1" x14ac:dyDescent="0.2">
      <c r="A704">
        <v>45</v>
      </c>
      <c r="B704" t="s">
        <v>29</v>
      </c>
      <c r="C704" s="10">
        <v>10000082</v>
      </c>
      <c r="D704" t="b">
        <v>1</v>
      </c>
      <c r="F704">
        <v>0</v>
      </c>
      <c r="G704">
        <v>0</v>
      </c>
      <c r="H704">
        <v>0</v>
      </c>
      <c r="I704">
        <v>0.40084975459673261</v>
      </c>
      <c r="J704">
        <v>0.64598219175072424</v>
      </c>
      <c r="W704">
        <v>4.0267851570611333</v>
      </c>
      <c r="X704">
        <v>1</v>
      </c>
      <c r="Y704">
        <v>0.40084975459673261</v>
      </c>
      <c r="Z704" t="s">
        <v>23</v>
      </c>
    </row>
    <row r="705" spans="1:26" hidden="1" x14ac:dyDescent="0.2">
      <c r="A705">
        <v>45</v>
      </c>
      <c r="B705" t="s">
        <v>29</v>
      </c>
      <c r="C705" s="10">
        <v>10000033</v>
      </c>
      <c r="D705" t="b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0.30882977802696898</v>
      </c>
      <c r="Q705">
        <v>0</v>
      </c>
      <c r="R705">
        <v>3.9523647410708483E-2</v>
      </c>
      <c r="S705">
        <v>0</v>
      </c>
      <c r="T705">
        <v>3.9523647410708483E-2</v>
      </c>
      <c r="U705">
        <v>0</v>
      </c>
      <c r="V705">
        <v>0.69117022197303091</v>
      </c>
      <c r="W705">
        <v>6.5499501278857384</v>
      </c>
      <c r="X705">
        <v>3.9523647410708483E-2</v>
      </c>
      <c r="Y705">
        <v>0.69117022197303091</v>
      </c>
      <c r="Z705" t="s">
        <v>24</v>
      </c>
    </row>
    <row r="706" spans="1:26" hidden="1" x14ac:dyDescent="0.2">
      <c r="A706">
        <v>45</v>
      </c>
      <c r="B706" t="s">
        <v>30</v>
      </c>
      <c r="C706" s="10">
        <v>10000047</v>
      </c>
      <c r="D706" t="b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0.79799363634959075</v>
      </c>
      <c r="P706">
        <v>0</v>
      </c>
      <c r="Q706">
        <v>0.2020063636504093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6.2087465554840504</v>
      </c>
      <c r="X706">
        <v>0.2020063636504093</v>
      </c>
      <c r="Y706">
        <v>0.79799363634959075</v>
      </c>
      <c r="Z706" t="s">
        <v>24</v>
      </c>
    </row>
    <row r="707" spans="1:26" hidden="1" x14ac:dyDescent="0.2">
      <c r="A707">
        <v>45</v>
      </c>
      <c r="B707" t="s">
        <v>26</v>
      </c>
      <c r="C707" s="10">
        <v>10000082</v>
      </c>
      <c r="D707" t="b">
        <v>1</v>
      </c>
      <c r="F707">
        <v>0</v>
      </c>
      <c r="G707">
        <v>0</v>
      </c>
      <c r="H707">
        <v>0</v>
      </c>
      <c r="I707">
        <v>1</v>
      </c>
      <c r="J707">
        <v>0</v>
      </c>
      <c r="W707">
        <v>5.0025004164584352</v>
      </c>
      <c r="X707">
        <v>1</v>
      </c>
      <c r="Y707">
        <v>1</v>
      </c>
      <c r="Z707" t="s">
        <v>23</v>
      </c>
    </row>
    <row r="708" spans="1:26" hidden="1" x14ac:dyDescent="0.2">
      <c r="A708">
        <v>45</v>
      </c>
      <c r="B708" t="s">
        <v>26</v>
      </c>
      <c r="C708" s="10">
        <v>10000033</v>
      </c>
      <c r="D708" t="b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0.30242452634767919</v>
      </c>
      <c r="Q708">
        <v>0</v>
      </c>
      <c r="R708">
        <v>7.0678717706481667E-2</v>
      </c>
      <c r="S708">
        <v>0</v>
      </c>
      <c r="T708">
        <v>7.0678717706481667E-2</v>
      </c>
      <c r="U708">
        <v>0</v>
      </c>
      <c r="V708">
        <v>0.69757547365232075</v>
      </c>
      <c r="W708">
        <v>6.4649597307392828</v>
      </c>
      <c r="X708">
        <v>7.0678717706481667E-2</v>
      </c>
      <c r="Y708">
        <v>0.69757547365232075</v>
      </c>
      <c r="Z708" t="s">
        <v>24</v>
      </c>
    </row>
    <row r="709" spans="1:26" hidden="1" x14ac:dyDescent="0.2">
      <c r="A709">
        <v>45</v>
      </c>
      <c r="B709" t="s">
        <v>28</v>
      </c>
      <c r="C709" s="10">
        <v>10000082</v>
      </c>
      <c r="D709" t="b">
        <v>1</v>
      </c>
      <c r="F709">
        <v>0</v>
      </c>
      <c r="G709">
        <v>0</v>
      </c>
      <c r="H709">
        <v>0</v>
      </c>
      <c r="I709">
        <v>1</v>
      </c>
      <c r="J709">
        <v>0</v>
      </c>
      <c r="W709">
        <v>5.0025004164584352</v>
      </c>
      <c r="X709">
        <v>1</v>
      </c>
      <c r="Y709">
        <v>1</v>
      </c>
      <c r="Z709" t="s">
        <v>23</v>
      </c>
    </row>
    <row r="710" spans="1:26" hidden="1" x14ac:dyDescent="0.2">
      <c r="A710">
        <v>45</v>
      </c>
      <c r="B710" t="s">
        <v>31</v>
      </c>
      <c r="C710" s="10">
        <v>10000047</v>
      </c>
      <c r="D710" t="b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0.75383812481643575</v>
      </c>
      <c r="P710">
        <v>0.24616187518356419</v>
      </c>
      <c r="Q710">
        <v>0.24616187518356419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6.052452137756001</v>
      </c>
      <c r="X710">
        <v>0.24616187518356419</v>
      </c>
      <c r="Y710">
        <v>0.75383812481643575</v>
      </c>
      <c r="Z710" t="s">
        <v>24</v>
      </c>
    </row>
    <row r="711" spans="1:26" hidden="1" x14ac:dyDescent="0.2">
      <c r="A711">
        <v>45</v>
      </c>
      <c r="B711" t="s">
        <v>33</v>
      </c>
      <c r="C711" s="10">
        <v>10000047</v>
      </c>
      <c r="D711" t="b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0.75383812481643575</v>
      </c>
      <c r="P711">
        <v>0</v>
      </c>
      <c r="Q711">
        <v>0.24616187518356419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6.052452137756001</v>
      </c>
      <c r="X711">
        <v>0.24616187518356419</v>
      </c>
      <c r="Y711">
        <v>0.75383812481643575</v>
      </c>
      <c r="Z711" t="s">
        <v>24</v>
      </c>
    </row>
    <row r="712" spans="1:26" hidden="1" x14ac:dyDescent="0.2">
      <c r="A712">
        <v>45</v>
      </c>
      <c r="B712" t="s">
        <v>28</v>
      </c>
      <c r="C712" s="10">
        <v>10000033</v>
      </c>
      <c r="D712" t="b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0.32233842478793701</v>
      </c>
      <c r="Q712">
        <v>0</v>
      </c>
      <c r="R712">
        <v>0.15057733739199219</v>
      </c>
      <c r="S712">
        <v>0</v>
      </c>
      <c r="T712">
        <v>0.15057733739199219</v>
      </c>
      <c r="U712">
        <v>0</v>
      </c>
      <c r="V712">
        <v>0.67766157521206305</v>
      </c>
      <c r="W712">
        <v>6.220756578266788</v>
      </c>
      <c r="X712">
        <v>0.15057733739199219</v>
      </c>
      <c r="Y712">
        <v>0.67766157521206305</v>
      </c>
      <c r="Z712" t="s">
        <v>24</v>
      </c>
    </row>
    <row r="713" spans="1:26" hidden="1" x14ac:dyDescent="0.2">
      <c r="A713">
        <v>45</v>
      </c>
      <c r="B713" t="s">
        <v>28</v>
      </c>
      <c r="C713" s="10">
        <v>10000047</v>
      </c>
      <c r="D713" t="b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0.74362179273978279</v>
      </c>
      <c r="P713">
        <v>0</v>
      </c>
      <c r="Q713">
        <v>0.25637820726021721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6.0152492225165171</v>
      </c>
      <c r="X713">
        <v>0.25637820726021721</v>
      </c>
      <c r="Y713">
        <v>0.74362179273978279</v>
      </c>
      <c r="Z713" t="s">
        <v>24</v>
      </c>
    </row>
    <row r="714" spans="1:26" hidden="1" x14ac:dyDescent="0.2">
      <c r="A714">
        <v>45</v>
      </c>
      <c r="B714" t="s">
        <v>34</v>
      </c>
      <c r="C714" s="10">
        <v>10000047</v>
      </c>
      <c r="D714" t="b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0.61080321566507634</v>
      </c>
      <c r="P714">
        <v>0</v>
      </c>
      <c r="Q714">
        <v>0.38919678433492372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5.4941976408138</v>
      </c>
      <c r="X714">
        <v>0.38919678433492372</v>
      </c>
      <c r="Y714">
        <v>0.61080321566507634</v>
      </c>
      <c r="Z714" t="s">
        <v>24</v>
      </c>
    </row>
    <row r="715" spans="1:26" hidden="1" x14ac:dyDescent="0.2">
      <c r="A715">
        <v>45</v>
      </c>
      <c r="B715" t="s">
        <v>35</v>
      </c>
      <c r="C715" s="10">
        <v>10000033</v>
      </c>
      <c r="D715" t="b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0.28571428571428559</v>
      </c>
      <c r="Q715">
        <v>0.32058642213905719</v>
      </c>
      <c r="R715">
        <v>0.28571428571428559</v>
      </c>
      <c r="S715">
        <v>0</v>
      </c>
      <c r="T715">
        <v>0.33184448216697798</v>
      </c>
      <c r="U715">
        <v>0</v>
      </c>
      <c r="V715">
        <v>0.66815551783302196</v>
      </c>
      <c r="W715">
        <v>5.7279038213177422</v>
      </c>
      <c r="X715">
        <v>0.33184448216697798</v>
      </c>
      <c r="Y715">
        <v>0.66815551783302196</v>
      </c>
      <c r="Z715" t="s">
        <v>24</v>
      </c>
    </row>
    <row r="716" spans="1:26" hidden="1" x14ac:dyDescent="0.2">
      <c r="A716">
        <v>45</v>
      </c>
      <c r="B716" t="s">
        <v>32</v>
      </c>
      <c r="C716" s="10">
        <v>10000033</v>
      </c>
      <c r="D716" t="b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0.32251612021494941</v>
      </c>
      <c r="Q716">
        <v>4.347826086956541E-2</v>
      </c>
      <c r="R716">
        <v>0.32251612021494941</v>
      </c>
      <c r="S716">
        <v>0</v>
      </c>
      <c r="T716">
        <v>0.43980264623755272</v>
      </c>
      <c r="U716">
        <v>0</v>
      </c>
      <c r="V716">
        <v>0.56019735376244728</v>
      </c>
      <c r="W716">
        <v>5.2764125050129413</v>
      </c>
      <c r="X716">
        <v>0.43980264623755272</v>
      </c>
      <c r="Y716">
        <v>0.56019735376244728</v>
      </c>
      <c r="Z716" t="s">
        <v>24</v>
      </c>
    </row>
    <row r="717" spans="1:26" hidden="1" x14ac:dyDescent="0.2">
      <c r="A717">
        <v>45</v>
      </c>
      <c r="B717" t="s">
        <v>27</v>
      </c>
      <c r="C717" s="10">
        <v>10000047</v>
      </c>
      <c r="D717" t="b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0.1333333333333333</v>
      </c>
      <c r="L717">
        <v>0.1333333333333333</v>
      </c>
      <c r="M717">
        <v>0</v>
      </c>
      <c r="N717">
        <v>0</v>
      </c>
      <c r="O717">
        <v>0.52163461726668681</v>
      </c>
      <c r="P717">
        <v>0</v>
      </c>
      <c r="Q717">
        <v>0.47836538273331308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5.1028516265482224</v>
      </c>
      <c r="X717">
        <v>0.47836538273331308</v>
      </c>
      <c r="Y717">
        <v>0.52163461726668681</v>
      </c>
      <c r="Z717" t="s">
        <v>24</v>
      </c>
    </row>
    <row r="718" spans="1:26" hidden="1" x14ac:dyDescent="0.2">
      <c r="A718">
        <v>46</v>
      </c>
      <c r="B718" t="s">
        <v>28</v>
      </c>
      <c r="C718" s="10">
        <v>10000082</v>
      </c>
      <c r="D718" t="b">
        <v>1</v>
      </c>
      <c r="F718">
        <v>0</v>
      </c>
      <c r="G718">
        <v>0</v>
      </c>
      <c r="H718">
        <v>0</v>
      </c>
      <c r="I718">
        <v>0.34321381618645158</v>
      </c>
      <c r="J718">
        <v>0.6965921903913399</v>
      </c>
      <c r="W718">
        <v>3.9105530801123929</v>
      </c>
      <c r="X718">
        <v>1</v>
      </c>
      <c r="Y718">
        <v>0.34321381618645158</v>
      </c>
      <c r="Z718" t="s">
        <v>23</v>
      </c>
    </row>
    <row r="719" spans="1:26" hidden="1" x14ac:dyDescent="0.2">
      <c r="A719">
        <v>46</v>
      </c>
      <c r="B719" t="s">
        <v>28</v>
      </c>
      <c r="C719" s="10">
        <v>10000047</v>
      </c>
      <c r="D719" t="b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0.82832424556919249</v>
      </c>
      <c r="P719">
        <v>0</v>
      </c>
      <c r="Q719">
        <v>0.1716757544308076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6.3119566792804536</v>
      </c>
      <c r="X719">
        <v>0.1716757544308076</v>
      </c>
      <c r="Y719">
        <v>0.82832424556919249</v>
      </c>
      <c r="Z719" t="s">
        <v>24</v>
      </c>
    </row>
    <row r="720" spans="1:26" hidden="1" x14ac:dyDescent="0.2">
      <c r="A720">
        <v>46</v>
      </c>
      <c r="B720" t="s">
        <v>29</v>
      </c>
      <c r="C720" s="10">
        <v>10000033</v>
      </c>
      <c r="D720" t="b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0.31560735354681402</v>
      </c>
      <c r="Q720">
        <v>0</v>
      </c>
      <c r="R720">
        <v>0.12666172758309541</v>
      </c>
      <c r="S720">
        <v>0</v>
      </c>
      <c r="T720">
        <v>0.12666172758309541</v>
      </c>
      <c r="U720">
        <v>0</v>
      </c>
      <c r="V720">
        <v>0.68439264645318598</v>
      </c>
      <c r="W720">
        <v>6.2946327712009973</v>
      </c>
      <c r="X720">
        <v>0.12666172758309541</v>
      </c>
      <c r="Y720">
        <v>0.68439264645318598</v>
      </c>
      <c r="Z720" t="s">
        <v>24</v>
      </c>
    </row>
    <row r="721" spans="1:26" hidden="1" x14ac:dyDescent="0.2">
      <c r="A721">
        <v>46</v>
      </c>
      <c r="B721" t="s">
        <v>33</v>
      </c>
      <c r="C721" s="10">
        <v>10000047</v>
      </c>
      <c r="D721" t="b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0.79417486274668259</v>
      </c>
      <c r="P721">
        <v>0</v>
      </c>
      <c r="Q721">
        <v>0.20582513725331739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6.1955147725133086</v>
      </c>
      <c r="X721">
        <v>0.20582513725331739</v>
      </c>
      <c r="Y721">
        <v>0.79417486274668259</v>
      </c>
      <c r="Z721" t="s">
        <v>24</v>
      </c>
    </row>
    <row r="722" spans="1:26" hidden="1" x14ac:dyDescent="0.2">
      <c r="A722">
        <v>46</v>
      </c>
      <c r="B722" t="s">
        <v>27</v>
      </c>
      <c r="C722" s="10">
        <v>10000073</v>
      </c>
      <c r="D722" t="b">
        <v>1</v>
      </c>
      <c r="E722">
        <v>0</v>
      </c>
      <c r="F722">
        <v>0</v>
      </c>
      <c r="G722">
        <v>0</v>
      </c>
      <c r="H722">
        <v>0</v>
      </c>
      <c r="I722">
        <v>0.57276380748456268</v>
      </c>
      <c r="J722">
        <v>0.26816250844183659</v>
      </c>
      <c r="W722">
        <v>5.751758915050579</v>
      </c>
      <c r="X722">
        <v>0.26816250844183659</v>
      </c>
      <c r="Y722">
        <v>0.57276380748456268</v>
      </c>
      <c r="Z722" t="s">
        <v>24</v>
      </c>
    </row>
    <row r="723" spans="1:26" hidden="1" x14ac:dyDescent="0.2">
      <c r="A723">
        <v>46</v>
      </c>
      <c r="B723" t="s">
        <v>34</v>
      </c>
      <c r="C723" s="10">
        <v>10000033</v>
      </c>
      <c r="D723" t="b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0.30897462755281219</v>
      </c>
      <c r="Q723">
        <v>0</v>
      </c>
      <c r="R723">
        <v>0.171436406810586</v>
      </c>
      <c r="S723">
        <v>0</v>
      </c>
      <c r="T723">
        <v>0.171436406810586</v>
      </c>
      <c r="U723">
        <v>0</v>
      </c>
      <c r="V723">
        <v>0.69102537244718787</v>
      </c>
      <c r="W723">
        <v>6.1772194971230272</v>
      </c>
      <c r="X723">
        <v>0.171436406810586</v>
      </c>
      <c r="Y723">
        <v>0.69102537244718787</v>
      </c>
      <c r="Z723" t="s">
        <v>24</v>
      </c>
    </row>
    <row r="724" spans="1:26" hidden="1" x14ac:dyDescent="0.2">
      <c r="A724">
        <v>46</v>
      </c>
      <c r="B724" t="s">
        <v>31</v>
      </c>
      <c r="C724" s="10">
        <v>10000033</v>
      </c>
      <c r="D724" t="b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0.30550770360464791</v>
      </c>
      <c r="Q724">
        <v>0</v>
      </c>
      <c r="R724">
        <v>0.2012681479889577</v>
      </c>
      <c r="S724">
        <v>0</v>
      </c>
      <c r="T724">
        <v>0.2012681479889577</v>
      </c>
      <c r="U724">
        <v>0</v>
      </c>
      <c r="V724">
        <v>0.69449229639535215</v>
      </c>
      <c r="W724">
        <v>6.100424905446892</v>
      </c>
      <c r="X724">
        <v>0.2012681479889577</v>
      </c>
      <c r="Y724">
        <v>0.69449229639535215</v>
      </c>
      <c r="Z724" t="s">
        <v>24</v>
      </c>
    </row>
    <row r="725" spans="1:26" hidden="1" x14ac:dyDescent="0.2">
      <c r="A725">
        <v>46</v>
      </c>
      <c r="B725" t="s">
        <v>30</v>
      </c>
      <c r="C725" s="10">
        <v>10000033</v>
      </c>
      <c r="D725" t="b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0.2</v>
      </c>
      <c r="M725">
        <v>0.2</v>
      </c>
      <c r="N725">
        <v>0</v>
      </c>
      <c r="O725">
        <v>0</v>
      </c>
      <c r="P725">
        <v>0.32147032474959369</v>
      </c>
      <c r="Q725">
        <v>0.18518518518518509</v>
      </c>
      <c r="R725">
        <v>0.20382653408052359</v>
      </c>
      <c r="S725">
        <v>0</v>
      </c>
      <c r="T725">
        <v>0.20382653408052359</v>
      </c>
      <c r="U725">
        <v>0</v>
      </c>
      <c r="V725">
        <v>0.67852967525040631</v>
      </c>
      <c r="W725">
        <v>6.0750831435241821</v>
      </c>
      <c r="X725">
        <v>0.20382653408052359</v>
      </c>
      <c r="Y725">
        <v>0.67852967525040631</v>
      </c>
      <c r="Z725" t="s">
        <v>24</v>
      </c>
    </row>
    <row r="726" spans="1:26" hidden="1" x14ac:dyDescent="0.2">
      <c r="A726">
        <v>46</v>
      </c>
      <c r="B726" t="s">
        <v>35</v>
      </c>
      <c r="C726" s="10">
        <v>10000073</v>
      </c>
      <c r="D726" t="b">
        <v>0</v>
      </c>
      <c r="E726">
        <v>0.44920736840282838</v>
      </c>
      <c r="F726">
        <v>0</v>
      </c>
      <c r="G726">
        <v>0.55079263159717151</v>
      </c>
      <c r="H726">
        <v>0</v>
      </c>
      <c r="I726">
        <v>0</v>
      </c>
      <c r="J726">
        <v>0</v>
      </c>
      <c r="K726">
        <v>0.4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3.4173500600711502</v>
      </c>
      <c r="X726">
        <v>0.55079263159717151</v>
      </c>
      <c r="Y726">
        <v>0</v>
      </c>
      <c r="Z726" t="s">
        <v>23</v>
      </c>
    </row>
    <row r="727" spans="1:26" hidden="1" x14ac:dyDescent="0.2">
      <c r="A727">
        <v>46</v>
      </c>
      <c r="B727" t="s">
        <v>35</v>
      </c>
      <c r="C727" s="10">
        <v>10000082</v>
      </c>
      <c r="D727" t="b">
        <v>1</v>
      </c>
      <c r="F727">
        <v>0</v>
      </c>
      <c r="G727">
        <v>0.83333333333333337</v>
      </c>
      <c r="H727">
        <v>0</v>
      </c>
      <c r="I727">
        <v>0</v>
      </c>
      <c r="J727">
        <v>0</v>
      </c>
      <c r="W727">
        <v>4.7764762020634493</v>
      </c>
      <c r="X727">
        <v>1</v>
      </c>
      <c r="Y727">
        <v>0.83333333333333337</v>
      </c>
      <c r="Z727" t="s">
        <v>23</v>
      </c>
    </row>
    <row r="728" spans="1:26" hidden="1" x14ac:dyDescent="0.2">
      <c r="A728">
        <v>46</v>
      </c>
      <c r="B728" t="s">
        <v>32</v>
      </c>
      <c r="C728" s="10">
        <v>10000082</v>
      </c>
      <c r="D728" t="b">
        <v>1</v>
      </c>
      <c r="F728">
        <v>0</v>
      </c>
      <c r="G728">
        <v>0.97820636310874753</v>
      </c>
      <c r="H728">
        <v>0</v>
      </c>
      <c r="I728">
        <v>0</v>
      </c>
      <c r="J728">
        <v>0</v>
      </c>
      <c r="W728">
        <v>4.9749469604035266</v>
      </c>
      <c r="X728">
        <v>1</v>
      </c>
      <c r="Y728">
        <v>0.97820636310874753</v>
      </c>
      <c r="Z728" t="s">
        <v>23</v>
      </c>
    </row>
    <row r="729" spans="1:26" hidden="1" x14ac:dyDescent="0.2">
      <c r="A729">
        <v>46</v>
      </c>
      <c r="B729" t="s">
        <v>35</v>
      </c>
      <c r="C729" s="10">
        <v>10000033</v>
      </c>
      <c r="D729" t="b">
        <v>0</v>
      </c>
      <c r="E729">
        <v>0</v>
      </c>
      <c r="F729">
        <v>0.32421827748421861</v>
      </c>
      <c r="G729">
        <v>0.46666666666666679</v>
      </c>
      <c r="H729">
        <v>0.53333333333333321</v>
      </c>
      <c r="I729">
        <v>0.32421827748421861</v>
      </c>
      <c r="J729">
        <v>0.32421827748421861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5.1562159479179526</v>
      </c>
      <c r="X729">
        <v>0.46666666666666679</v>
      </c>
      <c r="Y729">
        <v>0.53333333333333321</v>
      </c>
      <c r="Z729" t="s">
        <v>24</v>
      </c>
    </row>
    <row r="730" spans="1:26" hidden="1" x14ac:dyDescent="0.2">
      <c r="A730">
        <v>46</v>
      </c>
      <c r="B730" t="s">
        <v>26</v>
      </c>
      <c r="C730" s="10">
        <v>10000033</v>
      </c>
      <c r="D730" t="b">
        <v>0</v>
      </c>
      <c r="E730">
        <v>0</v>
      </c>
      <c r="F730">
        <v>0.31389631975075721</v>
      </c>
      <c r="G730">
        <v>0.68610368024924273</v>
      </c>
      <c r="H730">
        <v>0.30303030303030321</v>
      </c>
      <c r="I730">
        <v>0.31389631975075721</v>
      </c>
      <c r="J730">
        <v>0.30303030303030321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4.2060260894525827</v>
      </c>
      <c r="X730">
        <v>0.68610368024924273</v>
      </c>
      <c r="Y730">
        <v>0.31389631975075721</v>
      </c>
      <c r="Z730" t="s">
        <v>23</v>
      </c>
    </row>
    <row r="731" spans="1:26" hidden="1" x14ac:dyDescent="0.2">
      <c r="A731">
        <v>46</v>
      </c>
      <c r="B731" t="s">
        <v>32</v>
      </c>
      <c r="C731" s="10">
        <v>10000073</v>
      </c>
      <c r="D731" t="b">
        <v>0</v>
      </c>
      <c r="E731">
        <v>0.43866824205393151</v>
      </c>
      <c r="F731">
        <v>0</v>
      </c>
      <c r="G731">
        <v>0.56133175794606849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3.4112344754774511</v>
      </c>
      <c r="X731">
        <v>0.56133175794606849</v>
      </c>
      <c r="Y731">
        <v>0</v>
      </c>
      <c r="Z731" t="s">
        <v>23</v>
      </c>
    </row>
    <row r="732" spans="1:26" hidden="1" x14ac:dyDescent="0.2">
      <c r="A732">
        <v>46</v>
      </c>
      <c r="B732" t="s">
        <v>32</v>
      </c>
      <c r="C732" s="10">
        <v>10000033</v>
      </c>
      <c r="D732" t="b">
        <v>0</v>
      </c>
      <c r="E732">
        <v>0</v>
      </c>
      <c r="F732">
        <v>0.31389631975075721</v>
      </c>
      <c r="G732">
        <v>0.68610368024924273</v>
      </c>
      <c r="H732">
        <v>0.30303030303030321</v>
      </c>
      <c r="I732">
        <v>0.31389631975075721</v>
      </c>
      <c r="J732">
        <v>0.30303030303030321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4.2060260894525827</v>
      </c>
      <c r="X732">
        <v>0.68610368024924273</v>
      </c>
      <c r="Y732">
        <v>0.31389631975075721</v>
      </c>
      <c r="Z732" t="s">
        <v>23</v>
      </c>
    </row>
    <row r="733" spans="1:26" hidden="1" x14ac:dyDescent="0.2">
      <c r="A733">
        <v>46</v>
      </c>
      <c r="B733" t="s">
        <v>26</v>
      </c>
      <c r="C733" s="10">
        <v>10000082</v>
      </c>
      <c r="D733" t="b">
        <v>1</v>
      </c>
      <c r="F733">
        <v>0</v>
      </c>
      <c r="G733">
        <v>0.97820636310874753</v>
      </c>
      <c r="H733">
        <v>0</v>
      </c>
      <c r="I733">
        <v>0</v>
      </c>
      <c r="J733">
        <v>0</v>
      </c>
      <c r="W733">
        <v>4.9749469604035266</v>
      </c>
      <c r="X733">
        <v>1</v>
      </c>
      <c r="Y733">
        <v>0.97820636310874753</v>
      </c>
      <c r="Z733" t="s">
        <v>23</v>
      </c>
    </row>
    <row r="734" spans="1:26" hidden="1" x14ac:dyDescent="0.2">
      <c r="A734">
        <v>46</v>
      </c>
      <c r="B734" t="s">
        <v>32</v>
      </c>
      <c r="C734" s="10">
        <v>10000047</v>
      </c>
      <c r="D734" t="b">
        <v>0</v>
      </c>
      <c r="E734">
        <v>0.46153846153846151</v>
      </c>
      <c r="F734">
        <v>0</v>
      </c>
      <c r="G734">
        <v>0</v>
      </c>
      <c r="H734">
        <v>0</v>
      </c>
      <c r="I734">
        <v>0.53846153846153855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5.1794118428000537</v>
      </c>
      <c r="X734">
        <v>0.46153846153846151</v>
      </c>
      <c r="Y734">
        <v>0.53846153846153855</v>
      </c>
      <c r="Z734" t="s">
        <v>24</v>
      </c>
    </row>
    <row r="735" spans="1:26" hidden="1" x14ac:dyDescent="0.2">
      <c r="A735">
        <v>46</v>
      </c>
      <c r="B735" t="s">
        <v>26</v>
      </c>
      <c r="C735" s="10">
        <v>10000047</v>
      </c>
      <c r="D735" t="b">
        <v>0</v>
      </c>
      <c r="E735">
        <v>0.1333333333333333</v>
      </c>
      <c r="F735">
        <v>0</v>
      </c>
      <c r="G735">
        <v>0</v>
      </c>
      <c r="H735">
        <v>0</v>
      </c>
      <c r="I735">
        <v>0.63574110705933506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6.2264729107433334</v>
      </c>
      <c r="X735">
        <v>0.1333333333333333</v>
      </c>
      <c r="Y735">
        <v>0.63574110705933506</v>
      </c>
      <c r="Z735" t="s">
        <v>24</v>
      </c>
    </row>
    <row r="736" spans="1:26" hidden="1" x14ac:dyDescent="0.2">
      <c r="A736">
        <v>47</v>
      </c>
      <c r="B736" t="s">
        <v>31</v>
      </c>
      <c r="C736" s="10">
        <v>10000047</v>
      </c>
      <c r="D736" t="b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0.82978590670879793</v>
      </c>
      <c r="P736">
        <v>0</v>
      </c>
      <c r="Q736">
        <v>0.1702140932912021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6.3168456145611556</v>
      </c>
      <c r="X736">
        <v>0.1702140932912021</v>
      </c>
      <c r="Y736">
        <v>0.82978590670879793</v>
      </c>
      <c r="Z736" t="s">
        <v>24</v>
      </c>
    </row>
    <row r="737" spans="1:26" hidden="1" x14ac:dyDescent="0.2">
      <c r="A737">
        <v>47</v>
      </c>
      <c r="B737" t="s">
        <v>33</v>
      </c>
      <c r="C737" s="10">
        <v>10000047</v>
      </c>
      <c r="D737" t="b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0.78001257860179407</v>
      </c>
      <c r="P737">
        <v>0</v>
      </c>
      <c r="Q737">
        <v>0.21998742139820601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6.1459759868377564</v>
      </c>
      <c r="X737">
        <v>0.21998742139820601</v>
      </c>
      <c r="Y737">
        <v>0.78001257860179407</v>
      </c>
      <c r="Z737" t="s">
        <v>24</v>
      </c>
    </row>
    <row r="738" spans="1:26" hidden="1" x14ac:dyDescent="0.2">
      <c r="A738">
        <v>47</v>
      </c>
      <c r="B738" t="s">
        <v>30</v>
      </c>
      <c r="C738" s="10">
        <v>10000082</v>
      </c>
      <c r="D738" t="b">
        <v>1</v>
      </c>
      <c r="F738">
        <v>0</v>
      </c>
      <c r="G738">
        <v>0</v>
      </c>
      <c r="H738">
        <v>0</v>
      </c>
      <c r="I738">
        <v>1</v>
      </c>
      <c r="J738">
        <v>0</v>
      </c>
      <c r="W738">
        <v>5.0025004164584352</v>
      </c>
      <c r="X738">
        <v>1</v>
      </c>
      <c r="Y738">
        <v>1</v>
      </c>
      <c r="Z738" t="s">
        <v>23</v>
      </c>
    </row>
    <row r="739" spans="1:26" hidden="1" x14ac:dyDescent="0.2">
      <c r="A739">
        <v>47</v>
      </c>
      <c r="B739" t="s">
        <v>27</v>
      </c>
      <c r="C739" s="10">
        <v>10000033</v>
      </c>
      <c r="D739" t="b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0.28549537572945299</v>
      </c>
      <c r="Q739">
        <v>0</v>
      </c>
      <c r="R739">
        <v>0.13993003986893349</v>
      </c>
      <c r="S739">
        <v>0</v>
      </c>
      <c r="T739">
        <v>0.13993003986893349</v>
      </c>
      <c r="U739">
        <v>0</v>
      </c>
      <c r="V739">
        <v>0.71450462427054695</v>
      </c>
      <c r="W739">
        <v>6.2869607691579414</v>
      </c>
      <c r="X739">
        <v>0.13993003986893349</v>
      </c>
      <c r="Y739">
        <v>0.71450462427054695</v>
      </c>
      <c r="Z739" t="s">
        <v>24</v>
      </c>
    </row>
    <row r="740" spans="1:26" hidden="1" x14ac:dyDescent="0.2">
      <c r="A740">
        <v>47</v>
      </c>
      <c r="B740" t="s">
        <v>27</v>
      </c>
      <c r="C740" s="10">
        <v>10000073</v>
      </c>
      <c r="D740" t="b">
        <v>1</v>
      </c>
      <c r="E740">
        <v>0</v>
      </c>
      <c r="F740">
        <v>0</v>
      </c>
      <c r="G740">
        <v>0</v>
      </c>
      <c r="H740">
        <v>0</v>
      </c>
      <c r="I740">
        <v>0.59222139455523581</v>
      </c>
      <c r="J740">
        <v>0.29621816314513988</v>
      </c>
      <c r="W740">
        <v>5.7047081149296632</v>
      </c>
      <c r="X740">
        <v>0.29621816314513988</v>
      </c>
      <c r="Y740">
        <v>0.59222139455523581</v>
      </c>
      <c r="Z740" t="s">
        <v>24</v>
      </c>
    </row>
    <row r="741" spans="1:26" hidden="1" x14ac:dyDescent="0.2">
      <c r="A741">
        <v>47</v>
      </c>
      <c r="B741" t="s">
        <v>30</v>
      </c>
      <c r="C741" s="10">
        <v>10000033</v>
      </c>
      <c r="D741" t="b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0.2838227289238901</v>
      </c>
      <c r="Q741">
        <v>0</v>
      </c>
      <c r="R741">
        <v>0.13993003986893349</v>
      </c>
      <c r="S741">
        <v>0</v>
      </c>
      <c r="T741">
        <v>0.13993003986893349</v>
      </c>
      <c r="U741">
        <v>0</v>
      </c>
      <c r="V741">
        <v>0.71617727107610984</v>
      </c>
      <c r="W741">
        <v>6.2885685895964754</v>
      </c>
      <c r="X741">
        <v>0.13993003986893349</v>
      </c>
      <c r="Y741">
        <v>0.71617727107610984</v>
      </c>
      <c r="Z741" t="s">
        <v>24</v>
      </c>
    </row>
    <row r="742" spans="1:26" hidden="1" x14ac:dyDescent="0.2">
      <c r="A742">
        <v>47</v>
      </c>
      <c r="B742" t="s">
        <v>29</v>
      </c>
      <c r="C742" s="10">
        <v>10000047</v>
      </c>
      <c r="D742" t="b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0.71988296882308533</v>
      </c>
      <c r="P742">
        <v>0</v>
      </c>
      <c r="Q742">
        <v>0.28011703117691472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5.9272614919583688</v>
      </c>
      <c r="X742">
        <v>0.28011703117691472</v>
      </c>
      <c r="Y742">
        <v>0.71988296882308533</v>
      </c>
      <c r="Z742" t="s">
        <v>24</v>
      </c>
    </row>
    <row r="743" spans="1:26" hidden="1" x14ac:dyDescent="0.2">
      <c r="A743">
        <v>47</v>
      </c>
      <c r="B743" t="s">
        <v>35</v>
      </c>
      <c r="C743" s="10">
        <v>10000033</v>
      </c>
      <c r="D743" t="b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0.28453615239893648</v>
      </c>
      <c r="Q743">
        <v>0</v>
      </c>
      <c r="R743">
        <v>0.17309097149373909</v>
      </c>
      <c r="S743">
        <v>0</v>
      </c>
      <c r="T743">
        <v>0.17309097149373909</v>
      </c>
      <c r="U743">
        <v>0</v>
      </c>
      <c r="V743">
        <v>0.71546384760106352</v>
      </c>
      <c r="W743">
        <v>6.1985993667184038</v>
      </c>
      <c r="X743">
        <v>0.17309097149373909</v>
      </c>
      <c r="Y743">
        <v>0.71546384760106352</v>
      </c>
      <c r="Z743" t="s">
        <v>24</v>
      </c>
    </row>
    <row r="744" spans="1:26" hidden="1" x14ac:dyDescent="0.2">
      <c r="A744">
        <v>47</v>
      </c>
      <c r="B744" t="s">
        <v>35</v>
      </c>
      <c r="C744" s="10">
        <v>10000082</v>
      </c>
      <c r="D744" t="b">
        <v>1</v>
      </c>
      <c r="F744">
        <v>0</v>
      </c>
      <c r="G744">
        <v>0</v>
      </c>
      <c r="H744">
        <v>0</v>
      </c>
      <c r="I744">
        <v>1</v>
      </c>
      <c r="J744">
        <v>0</v>
      </c>
      <c r="W744">
        <v>5.0025004164584352</v>
      </c>
      <c r="X744">
        <v>1</v>
      </c>
      <c r="Y744">
        <v>1</v>
      </c>
      <c r="Z744" t="s">
        <v>23</v>
      </c>
    </row>
    <row r="745" spans="1:26" hidden="1" x14ac:dyDescent="0.2">
      <c r="A745">
        <v>47</v>
      </c>
      <c r="B745" t="s">
        <v>26</v>
      </c>
      <c r="C745" s="10">
        <v>10000082</v>
      </c>
      <c r="D745" t="b">
        <v>1</v>
      </c>
      <c r="F745">
        <v>0</v>
      </c>
      <c r="G745">
        <v>0</v>
      </c>
      <c r="H745">
        <v>0</v>
      </c>
      <c r="I745">
        <v>1</v>
      </c>
      <c r="J745">
        <v>0</v>
      </c>
      <c r="W745">
        <v>5.0025004164584352</v>
      </c>
      <c r="X745">
        <v>1</v>
      </c>
      <c r="Y745">
        <v>1</v>
      </c>
      <c r="Z745" t="s">
        <v>23</v>
      </c>
    </row>
    <row r="746" spans="1:26" hidden="1" x14ac:dyDescent="0.2">
      <c r="A746">
        <v>47</v>
      </c>
      <c r="B746" t="s">
        <v>26</v>
      </c>
      <c r="C746" s="10">
        <v>10000033</v>
      </c>
      <c r="D746" t="b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0.28894454271894138</v>
      </c>
      <c r="Q746">
        <v>0</v>
      </c>
      <c r="R746">
        <v>0.17309097149373909</v>
      </c>
      <c r="S746">
        <v>0</v>
      </c>
      <c r="T746">
        <v>0.17309097149373909</v>
      </c>
      <c r="U746">
        <v>0</v>
      </c>
      <c r="V746">
        <v>0.71105545728105868</v>
      </c>
      <c r="W746">
        <v>6.1939910723494442</v>
      </c>
      <c r="X746">
        <v>0.17309097149373909</v>
      </c>
      <c r="Y746">
        <v>0.71105545728105868</v>
      </c>
      <c r="Z746" t="s">
        <v>24</v>
      </c>
    </row>
    <row r="747" spans="1:26" hidden="1" x14ac:dyDescent="0.2">
      <c r="A747">
        <v>47</v>
      </c>
      <c r="B747" t="s">
        <v>34</v>
      </c>
      <c r="C747" s="10">
        <v>10000033</v>
      </c>
      <c r="D747" t="b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0.71423970955494431</v>
      </c>
      <c r="M747">
        <v>0.27987486308598158</v>
      </c>
      <c r="N747">
        <v>0</v>
      </c>
      <c r="O747">
        <v>0</v>
      </c>
      <c r="P747">
        <v>0.16666666666666671</v>
      </c>
      <c r="Q747">
        <v>0</v>
      </c>
      <c r="R747">
        <v>0.16666666666666671</v>
      </c>
      <c r="S747">
        <v>0</v>
      </c>
      <c r="T747">
        <v>0.16666666666666671</v>
      </c>
      <c r="U747">
        <v>0</v>
      </c>
      <c r="V747">
        <v>0.16666666666666671</v>
      </c>
      <c r="W747">
        <v>5.9207367908738204</v>
      </c>
      <c r="X747">
        <v>0.27987486308598158</v>
      </c>
      <c r="Y747">
        <v>0.71423970955494431</v>
      </c>
      <c r="Z747" t="s">
        <v>24</v>
      </c>
    </row>
    <row r="748" spans="1:26" hidden="1" x14ac:dyDescent="0.2">
      <c r="A748">
        <v>47</v>
      </c>
      <c r="B748" t="s">
        <v>32</v>
      </c>
      <c r="C748" s="10">
        <v>10000047</v>
      </c>
      <c r="D748" t="b">
        <v>0</v>
      </c>
      <c r="E748">
        <v>0.1333333333333333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0.8666666666666667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3.2388150639880449</v>
      </c>
      <c r="X748">
        <v>0.8666666666666667</v>
      </c>
      <c r="Y748">
        <v>0</v>
      </c>
      <c r="Z748" t="s">
        <v>23</v>
      </c>
    </row>
    <row r="749" spans="1:26" hidden="1" x14ac:dyDescent="0.2">
      <c r="A749">
        <v>47</v>
      </c>
      <c r="B749" t="s">
        <v>32</v>
      </c>
      <c r="C749" s="10">
        <v>10000033</v>
      </c>
      <c r="D749" t="b">
        <v>0</v>
      </c>
      <c r="E749">
        <v>0</v>
      </c>
      <c r="F749">
        <v>0</v>
      </c>
      <c r="G749">
        <v>0</v>
      </c>
      <c r="H749">
        <v>0.23333333333333331</v>
      </c>
      <c r="I749">
        <v>0</v>
      </c>
      <c r="J749">
        <v>0.23333333333333331</v>
      </c>
      <c r="K749">
        <v>0</v>
      </c>
      <c r="L749">
        <v>0.70841988586959892</v>
      </c>
      <c r="M749">
        <v>0.27987486308598158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5.9133198985506441</v>
      </c>
      <c r="X749">
        <v>0.27987486308598158</v>
      </c>
      <c r="Y749">
        <v>0.70841988586959892</v>
      </c>
      <c r="Z749" t="s">
        <v>24</v>
      </c>
    </row>
    <row r="750" spans="1:26" hidden="1" x14ac:dyDescent="0.2">
      <c r="A750">
        <v>47</v>
      </c>
      <c r="B750" t="s">
        <v>28</v>
      </c>
      <c r="C750" s="10">
        <v>10000033</v>
      </c>
      <c r="D750" t="b">
        <v>0</v>
      </c>
      <c r="E750">
        <v>0</v>
      </c>
      <c r="F750">
        <v>0</v>
      </c>
      <c r="G750">
        <v>0</v>
      </c>
      <c r="H750">
        <v>0.71755519809922963</v>
      </c>
      <c r="I750">
        <v>0</v>
      </c>
      <c r="J750">
        <v>0.28244480190077043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6.6806839163275207</v>
      </c>
      <c r="X750">
        <v>0</v>
      </c>
      <c r="Y750">
        <v>0.71755519809922963</v>
      </c>
      <c r="Z750" t="s">
        <v>24</v>
      </c>
    </row>
    <row r="751" spans="1:26" hidden="1" x14ac:dyDescent="0.2">
      <c r="A751">
        <v>48</v>
      </c>
      <c r="B751" t="s">
        <v>31</v>
      </c>
      <c r="C751" s="10">
        <v>10000033</v>
      </c>
      <c r="D751" t="b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0.30882977802696898</v>
      </c>
      <c r="Q751">
        <v>0</v>
      </c>
      <c r="R751">
        <v>3.9764420998399302E-2</v>
      </c>
      <c r="S751">
        <v>0</v>
      </c>
      <c r="T751">
        <v>3.9764420998399302E-2</v>
      </c>
      <c r="U751">
        <v>0</v>
      </c>
      <c r="V751">
        <v>0.69117022197303091</v>
      </c>
      <c r="W751">
        <v>6.5492506099877978</v>
      </c>
      <c r="X751">
        <v>3.9764420998399302E-2</v>
      </c>
      <c r="Y751">
        <v>0.69117022197303091</v>
      </c>
      <c r="Z751" t="s">
        <v>24</v>
      </c>
    </row>
    <row r="752" spans="1:26" hidden="1" x14ac:dyDescent="0.2">
      <c r="A752">
        <v>48</v>
      </c>
      <c r="B752" t="s">
        <v>29</v>
      </c>
      <c r="C752" s="10">
        <v>10000073</v>
      </c>
      <c r="D752" t="b">
        <v>1</v>
      </c>
      <c r="E752">
        <v>0</v>
      </c>
      <c r="F752">
        <v>0</v>
      </c>
      <c r="G752">
        <v>0</v>
      </c>
      <c r="H752">
        <v>0</v>
      </c>
      <c r="I752">
        <v>0.57890491415429846</v>
      </c>
      <c r="J752">
        <v>0.25202233617469649</v>
      </c>
      <c r="W752">
        <v>5.8073825861306618</v>
      </c>
      <c r="X752">
        <v>0.25202233617469649</v>
      </c>
      <c r="Y752">
        <v>0.57890491415429846</v>
      </c>
      <c r="Z752" t="s">
        <v>24</v>
      </c>
    </row>
    <row r="753" spans="1:26" hidden="1" x14ac:dyDescent="0.2">
      <c r="A753">
        <v>48</v>
      </c>
      <c r="B753" t="s">
        <v>33</v>
      </c>
      <c r="C753" s="10">
        <v>10000033</v>
      </c>
      <c r="D753" t="b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0.30166736017722512</v>
      </c>
      <c r="Q753">
        <v>0.30166736017722512</v>
      </c>
      <c r="R753">
        <v>0.1019541879009197</v>
      </c>
      <c r="S753">
        <v>0</v>
      </c>
      <c r="T753">
        <v>0.1019541879009197</v>
      </c>
      <c r="U753">
        <v>0</v>
      </c>
      <c r="V753">
        <v>0.66666666666666652</v>
      </c>
      <c r="W753">
        <v>5.8019639008438073</v>
      </c>
      <c r="X753">
        <v>0.30166736017722512</v>
      </c>
      <c r="Y753">
        <v>0.66666666666666652</v>
      </c>
      <c r="Z753" t="s">
        <v>24</v>
      </c>
    </row>
    <row r="754" spans="1:26" hidden="1" x14ac:dyDescent="0.2">
      <c r="A754">
        <v>48</v>
      </c>
      <c r="B754" t="s">
        <v>28</v>
      </c>
      <c r="C754" s="10">
        <v>10000082</v>
      </c>
      <c r="D754" t="b">
        <v>1</v>
      </c>
      <c r="F754">
        <v>0</v>
      </c>
      <c r="G754">
        <v>0</v>
      </c>
      <c r="H754">
        <v>0</v>
      </c>
      <c r="I754">
        <v>0</v>
      </c>
      <c r="J754">
        <v>0.55549858403162733</v>
      </c>
      <c r="W754">
        <v>3.1666666666666679</v>
      </c>
      <c r="X754">
        <v>1</v>
      </c>
      <c r="Y754">
        <v>0</v>
      </c>
      <c r="Z754" t="s">
        <v>23</v>
      </c>
    </row>
    <row r="755" spans="1:26" hidden="1" x14ac:dyDescent="0.2">
      <c r="A755">
        <v>48</v>
      </c>
      <c r="B755" t="s">
        <v>28</v>
      </c>
      <c r="C755" s="10">
        <v>10000033</v>
      </c>
      <c r="D755" t="b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0.2996249366751379</v>
      </c>
      <c r="Q755">
        <v>0</v>
      </c>
      <c r="R755">
        <v>0.14331298614344751</v>
      </c>
      <c r="S755">
        <v>0</v>
      </c>
      <c r="T755">
        <v>0.14331298614344751</v>
      </c>
      <c r="U755">
        <v>0</v>
      </c>
      <c r="V755">
        <v>0.7003750633248621</v>
      </c>
      <c r="W755">
        <v>6.2639219383016354</v>
      </c>
      <c r="X755">
        <v>0.14331298614344751</v>
      </c>
      <c r="Y755">
        <v>0.7003750633248621</v>
      </c>
      <c r="Z755" t="s">
        <v>24</v>
      </c>
    </row>
    <row r="756" spans="1:26" hidden="1" x14ac:dyDescent="0.2">
      <c r="A756">
        <v>48</v>
      </c>
      <c r="B756" t="s">
        <v>26</v>
      </c>
      <c r="C756" s="10">
        <v>10000082</v>
      </c>
      <c r="D756" t="b">
        <v>1</v>
      </c>
      <c r="F756">
        <v>0</v>
      </c>
      <c r="G756">
        <v>0</v>
      </c>
      <c r="H756">
        <v>0</v>
      </c>
      <c r="I756">
        <v>0</v>
      </c>
      <c r="J756">
        <v>0.71135138815287369</v>
      </c>
      <c r="W756">
        <v>3.1666666666666679</v>
      </c>
      <c r="X756">
        <v>1</v>
      </c>
      <c r="Y756">
        <v>0</v>
      </c>
      <c r="Z756" t="s">
        <v>23</v>
      </c>
    </row>
    <row r="757" spans="1:26" hidden="1" x14ac:dyDescent="0.2">
      <c r="A757">
        <v>48</v>
      </c>
      <c r="B757" t="s">
        <v>27</v>
      </c>
      <c r="C757" s="10">
        <v>10000082</v>
      </c>
      <c r="D757" t="b">
        <v>1</v>
      </c>
      <c r="F757">
        <v>0</v>
      </c>
      <c r="G757">
        <v>0</v>
      </c>
      <c r="H757">
        <v>0</v>
      </c>
      <c r="I757">
        <v>0</v>
      </c>
      <c r="J757">
        <v>0.69342585183128902</v>
      </c>
      <c r="W757">
        <v>3.1666666666666679</v>
      </c>
      <c r="X757">
        <v>1</v>
      </c>
      <c r="Y757">
        <v>0</v>
      </c>
      <c r="Z757" t="s">
        <v>23</v>
      </c>
    </row>
    <row r="758" spans="1:26" hidden="1" x14ac:dyDescent="0.2">
      <c r="A758">
        <v>48</v>
      </c>
      <c r="B758" t="s">
        <v>26</v>
      </c>
      <c r="C758" s="10">
        <v>10000033</v>
      </c>
      <c r="D758" t="b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0.29694439371252701</v>
      </c>
      <c r="Q758">
        <v>0</v>
      </c>
      <c r="R758">
        <v>0.16274903632816651</v>
      </c>
      <c r="S758">
        <v>0</v>
      </c>
      <c r="T758">
        <v>0.16274903632816651</v>
      </c>
      <c r="U758">
        <v>0</v>
      </c>
      <c r="V758">
        <v>0.70305560628747299</v>
      </c>
      <c r="W758">
        <v>6.2135456464203616</v>
      </c>
      <c r="X758">
        <v>0.16274903632816651</v>
      </c>
      <c r="Y758">
        <v>0.70305560628747299</v>
      </c>
      <c r="Z758" t="s">
        <v>24</v>
      </c>
    </row>
    <row r="759" spans="1:26" hidden="1" x14ac:dyDescent="0.2">
      <c r="A759">
        <v>48</v>
      </c>
      <c r="B759" t="s">
        <v>27</v>
      </c>
      <c r="C759" s="10">
        <v>10000033</v>
      </c>
      <c r="D759" t="b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0.29887468824122299</v>
      </c>
      <c r="Q759">
        <v>0.26315789473684198</v>
      </c>
      <c r="R759">
        <v>0.16274903632816651</v>
      </c>
      <c r="S759">
        <v>0</v>
      </c>
      <c r="T759">
        <v>0.16274903632816651</v>
      </c>
      <c r="U759">
        <v>0</v>
      </c>
      <c r="V759">
        <v>0.70112531175877701</v>
      </c>
      <c r="W759">
        <v>5.9464529754662268</v>
      </c>
      <c r="X759">
        <v>0.26315789473684198</v>
      </c>
      <c r="Y759">
        <v>0.70112531175877701</v>
      </c>
      <c r="Z759" t="s">
        <v>24</v>
      </c>
    </row>
    <row r="760" spans="1:26" hidden="1" x14ac:dyDescent="0.2">
      <c r="A760">
        <v>48</v>
      </c>
      <c r="B760" t="s">
        <v>35</v>
      </c>
      <c r="C760" s="10">
        <v>10000033</v>
      </c>
      <c r="D760" t="b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0.30747432859166451</v>
      </c>
      <c r="Q760">
        <v>0.30747432859166451</v>
      </c>
      <c r="R760">
        <v>0.1863390251063278</v>
      </c>
      <c r="S760">
        <v>0</v>
      </c>
      <c r="T760">
        <v>0.1863390251063278</v>
      </c>
      <c r="U760">
        <v>0</v>
      </c>
      <c r="V760">
        <v>0.63636363636363624</v>
      </c>
      <c r="W760">
        <v>5.7429649562977447</v>
      </c>
      <c r="X760">
        <v>0.30747432859166451</v>
      </c>
      <c r="Y760">
        <v>0.63636363636363624</v>
      </c>
      <c r="Z760" t="s">
        <v>24</v>
      </c>
    </row>
    <row r="761" spans="1:26" hidden="1" x14ac:dyDescent="0.2">
      <c r="A761">
        <v>48</v>
      </c>
      <c r="B761" t="s">
        <v>34</v>
      </c>
      <c r="C761" s="10">
        <v>10000082</v>
      </c>
      <c r="D761" t="b">
        <v>1</v>
      </c>
      <c r="F761">
        <v>0</v>
      </c>
      <c r="G761">
        <v>0</v>
      </c>
      <c r="H761">
        <v>0</v>
      </c>
      <c r="I761">
        <v>0</v>
      </c>
      <c r="J761">
        <v>0.6874696304791077</v>
      </c>
      <c r="W761">
        <v>3.1666666666666679</v>
      </c>
      <c r="X761">
        <v>1</v>
      </c>
      <c r="Y761">
        <v>0</v>
      </c>
      <c r="Z761" t="s">
        <v>23</v>
      </c>
    </row>
    <row r="762" spans="1:26" hidden="1" x14ac:dyDescent="0.2">
      <c r="A762">
        <v>48</v>
      </c>
      <c r="B762" t="s">
        <v>32</v>
      </c>
      <c r="C762" s="10">
        <v>10000073</v>
      </c>
      <c r="D762" t="b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0.44272114295688458</v>
      </c>
      <c r="P762">
        <v>0</v>
      </c>
      <c r="Q762">
        <v>0.32010301914762967</v>
      </c>
      <c r="R762">
        <v>0</v>
      </c>
      <c r="S762">
        <v>0.32010301914762967</v>
      </c>
      <c r="T762">
        <v>0</v>
      </c>
      <c r="U762">
        <v>0.55727885704311542</v>
      </c>
      <c r="V762">
        <v>0</v>
      </c>
      <c r="W762">
        <v>5.5805484862078618</v>
      </c>
      <c r="X762">
        <v>0.32010301914762967</v>
      </c>
      <c r="Y762">
        <v>0.55727885704311542</v>
      </c>
      <c r="Z762" t="s">
        <v>24</v>
      </c>
    </row>
    <row r="763" spans="1:26" hidden="1" x14ac:dyDescent="0.2">
      <c r="A763">
        <v>48</v>
      </c>
      <c r="B763" t="s">
        <v>30</v>
      </c>
      <c r="C763" s="10">
        <v>10000073</v>
      </c>
      <c r="D763" t="b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0.53333333333333333</v>
      </c>
      <c r="L763">
        <v>0</v>
      </c>
      <c r="M763">
        <v>0</v>
      </c>
      <c r="N763">
        <v>0</v>
      </c>
      <c r="O763">
        <v>0.4545682609337221</v>
      </c>
      <c r="P763">
        <v>0</v>
      </c>
      <c r="Q763">
        <v>0.36544316069728477</v>
      </c>
      <c r="R763">
        <v>0</v>
      </c>
      <c r="S763">
        <v>0.36544316069728477</v>
      </c>
      <c r="T763">
        <v>0</v>
      </c>
      <c r="U763">
        <v>0.46666666666666667</v>
      </c>
      <c r="V763">
        <v>0</v>
      </c>
      <c r="W763">
        <v>4.8486928666623932</v>
      </c>
      <c r="X763">
        <v>0.53333333333333333</v>
      </c>
      <c r="Y763">
        <v>0.46666666666666667</v>
      </c>
      <c r="Z763" t="s">
        <v>23</v>
      </c>
    </row>
    <row r="764" spans="1:26" hidden="1" x14ac:dyDescent="0.2">
      <c r="A764">
        <v>48</v>
      </c>
      <c r="B764" t="s">
        <v>34</v>
      </c>
      <c r="C764" s="10">
        <v>10000073</v>
      </c>
      <c r="D764" t="b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0.54543173906627784</v>
      </c>
      <c r="L764">
        <v>0</v>
      </c>
      <c r="M764">
        <v>0</v>
      </c>
      <c r="N764">
        <v>0</v>
      </c>
      <c r="O764">
        <v>0.43333333333333329</v>
      </c>
      <c r="P764">
        <v>0</v>
      </c>
      <c r="Q764">
        <v>0.36544316069728477</v>
      </c>
      <c r="R764">
        <v>0</v>
      </c>
      <c r="S764">
        <v>0.36544316069728477</v>
      </c>
      <c r="T764">
        <v>0</v>
      </c>
      <c r="U764">
        <v>0.43333333333333329</v>
      </c>
      <c r="V764">
        <v>0</v>
      </c>
      <c r="W764">
        <v>4.7422777197415149</v>
      </c>
      <c r="X764">
        <v>0.54543173906627784</v>
      </c>
      <c r="Y764">
        <v>0.43333333333333329</v>
      </c>
      <c r="Z764" t="s">
        <v>23</v>
      </c>
    </row>
    <row r="765" spans="1:26" hidden="1" x14ac:dyDescent="0.2">
      <c r="A765">
        <v>48</v>
      </c>
      <c r="B765" t="s">
        <v>30</v>
      </c>
      <c r="C765" s="10">
        <v>10000033</v>
      </c>
      <c r="D765" t="b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0.61538461538461542</v>
      </c>
      <c r="M765">
        <v>0.22656118503391859</v>
      </c>
      <c r="N765">
        <v>0</v>
      </c>
      <c r="O765">
        <v>0</v>
      </c>
      <c r="P765">
        <v>0.3</v>
      </c>
      <c r="Q765">
        <v>0.3</v>
      </c>
      <c r="R765">
        <v>0.22656118503391859</v>
      </c>
      <c r="S765">
        <v>0</v>
      </c>
      <c r="T765">
        <v>0.22656118503391859</v>
      </c>
      <c r="U765">
        <v>0</v>
      </c>
      <c r="V765">
        <v>0.3</v>
      </c>
      <c r="W765">
        <v>5.7308271327411173</v>
      </c>
      <c r="X765">
        <v>0.3</v>
      </c>
      <c r="Y765">
        <v>0.61538461538461542</v>
      </c>
      <c r="Z765" t="s">
        <v>24</v>
      </c>
    </row>
    <row r="766" spans="1:26" hidden="1" x14ac:dyDescent="0.2">
      <c r="A766">
        <v>48</v>
      </c>
      <c r="B766" t="s">
        <v>34</v>
      </c>
      <c r="C766" s="10">
        <v>10000033</v>
      </c>
      <c r="D766" t="b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0.68459285701652084</v>
      </c>
      <c r="M766">
        <v>0.22656118503391859</v>
      </c>
      <c r="N766">
        <v>0</v>
      </c>
      <c r="O766">
        <v>0</v>
      </c>
      <c r="P766">
        <v>0.1</v>
      </c>
      <c r="Q766">
        <v>0.1</v>
      </c>
      <c r="R766">
        <v>0.1</v>
      </c>
      <c r="S766">
        <v>0</v>
      </c>
      <c r="T766">
        <v>0.1</v>
      </c>
      <c r="U766">
        <v>0</v>
      </c>
      <c r="V766">
        <v>0.1</v>
      </c>
      <c r="W766">
        <v>6.0213487247976856</v>
      </c>
      <c r="X766">
        <v>0.22656118503391859</v>
      </c>
      <c r="Y766">
        <v>0.68459285701652084</v>
      </c>
      <c r="Z766" t="s">
        <v>24</v>
      </c>
    </row>
    <row r="767" spans="1:26" hidden="1" x14ac:dyDescent="0.2">
      <c r="A767">
        <v>49</v>
      </c>
      <c r="B767" t="s">
        <v>26</v>
      </c>
      <c r="C767" s="10">
        <v>10000073</v>
      </c>
      <c r="D767" t="b">
        <v>1</v>
      </c>
      <c r="E767">
        <v>0</v>
      </c>
      <c r="F767">
        <v>0</v>
      </c>
      <c r="G767">
        <v>0</v>
      </c>
      <c r="H767">
        <v>0</v>
      </c>
      <c r="I767">
        <v>0.56863916504108691</v>
      </c>
      <c r="J767">
        <v>0.22689488158836921</v>
      </c>
      <c r="W767">
        <v>5.8650205610909101</v>
      </c>
      <c r="X767">
        <v>0.22689488158836921</v>
      </c>
      <c r="Y767">
        <v>0.56863916504108691</v>
      </c>
      <c r="Z767" t="s">
        <v>24</v>
      </c>
    </row>
    <row r="768" spans="1:26" hidden="1" x14ac:dyDescent="0.2">
      <c r="A768">
        <v>49</v>
      </c>
      <c r="B768" t="s">
        <v>30</v>
      </c>
      <c r="C768" s="10">
        <v>10000082</v>
      </c>
      <c r="D768" t="b">
        <v>1</v>
      </c>
      <c r="F768">
        <v>0</v>
      </c>
      <c r="G768">
        <v>0</v>
      </c>
      <c r="H768">
        <v>0</v>
      </c>
      <c r="I768">
        <v>0</v>
      </c>
      <c r="J768">
        <v>0.77669020540447742</v>
      </c>
      <c r="W768">
        <v>3.1666666666666679</v>
      </c>
      <c r="X768">
        <v>1</v>
      </c>
      <c r="Y768">
        <v>0</v>
      </c>
      <c r="Z768" t="s">
        <v>23</v>
      </c>
    </row>
    <row r="769" spans="1:26" hidden="1" x14ac:dyDescent="0.2">
      <c r="A769">
        <v>49</v>
      </c>
      <c r="B769" t="s">
        <v>28</v>
      </c>
      <c r="C769" s="10">
        <v>10000033</v>
      </c>
      <c r="D769" t="b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0.31231516406433901</v>
      </c>
      <c r="Q769">
        <v>0</v>
      </c>
      <c r="R769">
        <v>0.1068843925838477</v>
      </c>
      <c r="S769">
        <v>0</v>
      </c>
      <c r="T769">
        <v>0.1068843925838477</v>
      </c>
      <c r="U769">
        <v>0</v>
      </c>
      <c r="V769">
        <v>0.6876848359356611</v>
      </c>
      <c r="W769">
        <v>6.3535908931388612</v>
      </c>
      <c r="X769">
        <v>0.1068843925838477</v>
      </c>
      <c r="Y769">
        <v>0.6876848359356611</v>
      </c>
      <c r="Z769" t="s">
        <v>24</v>
      </c>
    </row>
    <row r="770" spans="1:26" hidden="1" x14ac:dyDescent="0.2">
      <c r="A770">
        <v>49</v>
      </c>
      <c r="B770" t="s">
        <v>30</v>
      </c>
      <c r="C770" s="10">
        <v>10000047</v>
      </c>
      <c r="D770" t="b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0.78290446190738894</v>
      </c>
      <c r="P770">
        <v>0</v>
      </c>
      <c r="Q770">
        <v>0.21709553809261109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6.1561510994477402</v>
      </c>
      <c r="X770">
        <v>0.21709553809261109</v>
      </c>
      <c r="Y770">
        <v>0.78290446190738894</v>
      </c>
      <c r="Z770" t="s">
        <v>24</v>
      </c>
    </row>
    <row r="771" spans="1:26" hidden="1" x14ac:dyDescent="0.2">
      <c r="A771">
        <v>49</v>
      </c>
      <c r="B771" t="s">
        <v>32</v>
      </c>
      <c r="C771" s="10">
        <v>10000033</v>
      </c>
      <c r="D771" t="b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0.29252175559306531</v>
      </c>
      <c r="R771">
        <v>0</v>
      </c>
      <c r="S771">
        <v>0</v>
      </c>
      <c r="T771">
        <v>0.1137291692442455</v>
      </c>
      <c r="U771">
        <v>0</v>
      </c>
      <c r="V771">
        <v>0.70747824440693463</v>
      </c>
      <c r="W771">
        <v>5.8804157217509978</v>
      </c>
      <c r="X771">
        <v>0.29252175559306531</v>
      </c>
      <c r="Y771">
        <v>0.70747824440693463</v>
      </c>
      <c r="Z771" t="s">
        <v>24</v>
      </c>
    </row>
    <row r="772" spans="1:26" hidden="1" x14ac:dyDescent="0.2">
      <c r="A772">
        <v>49</v>
      </c>
      <c r="B772" t="s">
        <v>27</v>
      </c>
      <c r="C772" s="10">
        <v>10000082</v>
      </c>
      <c r="D772" t="b">
        <v>1</v>
      </c>
      <c r="F772">
        <v>0</v>
      </c>
      <c r="G772">
        <v>0</v>
      </c>
      <c r="H772">
        <v>0</v>
      </c>
      <c r="I772">
        <v>0.85432699422289338</v>
      </c>
      <c r="J772">
        <v>0.37624412562105403</v>
      </c>
      <c r="W772">
        <v>4.8068980999694491</v>
      </c>
      <c r="X772">
        <v>1</v>
      </c>
      <c r="Y772">
        <v>0.85432699422289338</v>
      </c>
      <c r="Z772" t="s">
        <v>23</v>
      </c>
    </row>
    <row r="773" spans="1:26" hidden="1" x14ac:dyDescent="0.2">
      <c r="A773">
        <v>49</v>
      </c>
      <c r="B773" t="s">
        <v>27</v>
      </c>
      <c r="C773" s="10">
        <v>10000033</v>
      </c>
      <c r="D773" t="b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0.15384615384615369</v>
      </c>
      <c r="Q773">
        <v>0.29166737559116029</v>
      </c>
      <c r="R773">
        <v>0.15384615384615369</v>
      </c>
      <c r="S773">
        <v>0</v>
      </c>
      <c r="T773">
        <v>0.1617788252939438</v>
      </c>
      <c r="U773">
        <v>0</v>
      </c>
      <c r="V773">
        <v>0.70833262440883971</v>
      </c>
      <c r="W773">
        <v>5.8836616195105806</v>
      </c>
      <c r="X773">
        <v>0.29166737559116029</v>
      </c>
      <c r="Y773">
        <v>0.70833262440883971</v>
      </c>
      <c r="Z773" t="s">
        <v>24</v>
      </c>
    </row>
    <row r="774" spans="1:26" hidden="1" x14ac:dyDescent="0.2">
      <c r="A774">
        <v>49</v>
      </c>
      <c r="B774" t="s">
        <v>29</v>
      </c>
      <c r="C774" s="10">
        <v>10000033</v>
      </c>
      <c r="D774" t="b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0.23333333333333331</v>
      </c>
      <c r="L774">
        <v>0.23333333333333331</v>
      </c>
      <c r="M774">
        <v>0.1974241772737558</v>
      </c>
      <c r="N774">
        <v>0</v>
      </c>
      <c r="O774">
        <v>0</v>
      </c>
      <c r="P774">
        <v>0</v>
      </c>
      <c r="Q774">
        <v>0.29756919933889953</v>
      </c>
      <c r="R774">
        <v>0</v>
      </c>
      <c r="S774">
        <v>0.35294117647058831</v>
      </c>
      <c r="T774">
        <v>0.1974241772737558</v>
      </c>
      <c r="U774">
        <v>0</v>
      </c>
      <c r="V774">
        <v>0.64705882352941169</v>
      </c>
      <c r="W774">
        <v>5.643516254312547</v>
      </c>
      <c r="X774">
        <v>0.35294117647058831</v>
      </c>
      <c r="Y774">
        <v>0.64705882352941169</v>
      </c>
      <c r="Z774" t="s">
        <v>24</v>
      </c>
    </row>
    <row r="775" spans="1:26" hidden="1" x14ac:dyDescent="0.2">
      <c r="A775">
        <v>49</v>
      </c>
      <c r="B775" t="s">
        <v>33</v>
      </c>
      <c r="C775" s="10">
        <v>10000073</v>
      </c>
      <c r="D775" t="b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0.33333333333333331</v>
      </c>
      <c r="L775">
        <v>0</v>
      </c>
      <c r="M775">
        <v>0</v>
      </c>
      <c r="N775">
        <v>0</v>
      </c>
      <c r="O775">
        <v>0.42490504676320412</v>
      </c>
      <c r="P775">
        <v>0</v>
      </c>
      <c r="Q775">
        <v>0.31143512726032968</v>
      </c>
      <c r="R775">
        <v>0</v>
      </c>
      <c r="S775">
        <v>0.31143512726032968</v>
      </c>
      <c r="T775">
        <v>0</v>
      </c>
      <c r="U775">
        <v>0.57509495323679594</v>
      </c>
      <c r="V775">
        <v>0</v>
      </c>
      <c r="W775">
        <v>5.5759453888799824</v>
      </c>
      <c r="X775">
        <v>0.33333333333333331</v>
      </c>
      <c r="Y775">
        <v>0.57509495323679594</v>
      </c>
      <c r="Z775" t="s">
        <v>24</v>
      </c>
    </row>
    <row r="776" spans="1:26" hidden="1" x14ac:dyDescent="0.2">
      <c r="A776">
        <v>49</v>
      </c>
      <c r="B776" t="s">
        <v>33</v>
      </c>
      <c r="C776" s="10">
        <v>10000082</v>
      </c>
      <c r="D776" t="b">
        <v>1</v>
      </c>
      <c r="F776">
        <v>0</v>
      </c>
      <c r="G776">
        <v>0.33333333333333331</v>
      </c>
      <c r="H776">
        <v>0</v>
      </c>
      <c r="I776">
        <v>0.66666666666666663</v>
      </c>
      <c r="J776">
        <v>0.48140888920573399</v>
      </c>
      <c r="W776">
        <v>4.5149105270526677</v>
      </c>
      <c r="X776">
        <v>1</v>
      </c>
      <c r="Y776">
        <v>0.66666666666666663</v>
      </c>
      <c r="Z776" t="s">
        <v>23</v>
      </c>
    </row>
    <row r="777" spans="1:26" hidden="1" x14ac:dyDescent="0.2">
      <c r="A777">
        <v>49</v>
      </c>
      <c r="B777" t="s">
        <v>35</v>
      </c>
      <c r="C777" s="10">
        <v>10000082</v>
      </c>
      <c r="D777" t="b">
        <v>1</v>
      </c>
      <c r="F777">
        <v>0</v>
      </c>
      <c r="G777">
        <v>0.66666666666666663</v>
      </c>
      <c r="H777">
        <v>0</v>
      </c>
      <c r="I777">
        <v>0</v>
      </c>
      <c r="J777">
        <v>0</v>
      </c>
      <c r="W777">
        <v>4.5149105270526677</v>
      </c>
      <c r="X777">
        <v>1</v>
      </c>
      <c r="Y777">
        <v>0.66666666666666663</v>
      </c>
      <c r="Z777" t="s">
        <v>23</v>
      </c>
    </row>
    <row r="778" spans="1:26" hidden="1" x14ac:dyDescent="0.2">
      <c r="A778">
        <v>49</v>
      </c>
      <c r="B778" t="s">
        <v>35</v>
      </c>
      <c r="C778" s="10">
        <v>10000047</v>
      </c>
      <c r="D778" t="b">
        <v>0</v>
      </c>
      <c r="E778">
        <v>0.96666666666666667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3.3333333333333333E-2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3.1845092812125508</v>
      </c>
      <c r="X778">
        <v>0.96666666666666667</v>
      </c>
      <c r="Y778">
        <v>0</v>
      </c>
      <c r="Z778" t="s">
        <v>23</v>
      </c>
    </row>
    <row r="779" spans="1:26" hidden="1" x14ac:dyDescent="0.2">
      <c r="A779">
        <v>49</v>
      </c>
      <c r="B779" t="s">
        <v>35</v>
      </c>
      <c r="C779" s="10">
        <v>10000073</v>
      </c>
      <c r="D779" t="b">
        <v>0</v>
      </c>
      <c r="E779">
        <v>0.42765404650607802</v>
      </c>
      <c r="F779">
        <v>0</v>
      </c>
      <c r="G779">
        <v>0.57234595349392203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3.4048564175352811</v>
      </c>
      <c r="X779">
        <v>0.57234595349392203</v>
      </c>
      <c r="Y779">
        <v>0</v>
      </c>
      <c r="Z779" t="s">
        <v>23</v>
      </c>
    </row>
    <row r="780" spans="1:26" hidden="1" x14ac:dyDescent="0.2">
      <c r="A780">
        <v>49</v>
      </c>
      <c r="B780" t="s">
        <v>34</v>
      </c>
      <c r="C780" s="10">
        <v>10000082</v>
      </c>
      <c r="D780" t="b">
        <v>1</v>
      </c>
      <c r="F780">
        <v>0</v>
      </c>
      <c r="G780">
        <v>0.9990690342920987</v>
      </c>
      <c r="H780">
        <v>0</v>
      </c>
      <c r="I780">
        <v>0</v>
      </c>
      <c r="J780">
        <v>0</v>
      </c>
      <c r="W780">
        <v>5.0013355860169044</v>
      </c>
      <c r="X780">
        <v>1</v>
      </c>
      <c r="Y780">
        <v>0.9990690342920987</v>
      </c>
      <c r="Z780" t="s">
        <v>23</v>
      </c>
    </row>
    <row r="781" spans="1:26" hidden="1" x14ac:dyDescent="0.2">
      <c r="A781">
        <v>49</v>
      </c>
      <c r="B781" t="s">
        <v>31</v>
      </c>
      <c r="C781" s="10">
        <v>10000073</v>
      </c>
      <c r="D781" t="b">
        <v>0</v>
      </c>
      <c r="E781">
        <v>0.42765404650607802</v>
      </c>
      <c r="F781">
        <v>0</v>
      </c>
      <c r="G781">
        <v>0.57234595349392203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3.4048564175352811</v>
      </c>
      <c r="X781">
        <v>0.57234595349392203</v>
      </c>
      <c r="Y781">
        <v>0</v>
      </c>
      <c r="Z781" t="s">
        <v>23</v>
      </c>
    </row>
    <row r="782" spans="1:26" hidden="1" x14ac:dyDescent="0.2">
      <c r="A782">
        <v>49</v>
      </c>
      <c r="B782" t="s">
        <v>34</v>
      </c>
      <c r="C782" s="10">
        <v>10000033</v>
      </c>
      <c r="D782" t="b">
        <v>0</v>
      </c>
      <c r="E782">
        <v>0.10526315789473691</v>
      </c>
      <c r="F782">
        <v>0.30322502983378552</v>
      </c>
      <c r="G782">
        <v>0.69677497016621448</v>
      </c>
      <c r="H782">
        <v>0</v>
      </c>
      <c r="I782">
        <v>0.30322502983378552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4.1647419579171192</v>
      </c>
      <c r="X782">
        <v>0.69677497016621448</v>
      </c>
      <c r="Y782">
        <v>0.30322502983378552</v>
      </c>
      <c r="Z782" t="s">
        <v>23</v>
      </c>
    </row>
    <row r="783" spans="1:26" hidden="1" x14ac:dyDescent="0.2">
      <c r="A783">
        <v>49</v>
      </c>
      <c r="B783" t="s">
        <v>35</v>
      </c>
      <c r="C783" s="10">
        <v>10000033</v>
      </c>
      <c r="D783" t="b">
        <v>0</v>
      </c>
      <c r="E783">
        <v>0.10526315789473691</v>
      </c>
      <c r="F783">
        <v>0.30322502983378552</v>
      </c>
      <c r="G783">
        <v>0.69677497016621448</v>
      </c>
      <c r="H783">
        <v>0</v>
      </c>
      <c r="I783">
        <v>0.30322502983378552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4.1647419579171192</v>
      </c>
      <c r="X783">
        <v>0.69677497016621448</v>
      </c>
      <c r="Y783">
        <v>0.30322502983378552</v>
      </c>
      <c r="Z783" t="s">
        <v>23</v>
      </c>
    </row>
    <row r="784" spans="1:26" hidden="1" x14ac:dyDescent="0.2">
      <c r="A784">
        <v>49</v>
      </c>
      <c r="B784" t="s">
        <v>31</v>
      </c>
      <c r="C784" s="10">
        <v>10000082</v>
      </c>
      <c r="D784" t="b">
        <v>0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6.8358673061550759</v>
      </c>
      <c r="X784">
        <v>0</v>
      </c>
      <c r="Y784">
        <v>1</v>
      </c>
      <c r="Z784" t="s">
        <v>24</v>
      </c>
    </row>
    <row r="785" spans="1:26" hidden="1" x14ac:dyDescent="0.2">
      <c r="A785">
        <v>49</v>
      </c>
      <c r="B785" t="s">
        <v>34</v>
      </c>
      <c r="C785" s="10">
        <v>10000047</v>
      </c>
      <c r="D785" t="b">
        <v>0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3.1666666666666679</v>
      </c>
      <c r="X785">
        <v>1</v>
      </c>
      <c r="Y785">
        <v>0</v>
      </c>
      <c r="Z785" t="s">
        <v>23</v>
      </c>
    </row>
    <row r="786" spans="1:26" hidden="1" x14ac:dyDescent="0.2">
      <c r="A786">
        <v>49</v>
      </c>
      <c r="B786" t="s">
        <v>34</v>
      </c>
      <c r="C786" s="10">
        <v>10000073</v>
      </c>
      <c r="D786" t="b">
        <v>0</v>
      </c>
      <c r="E786">
        <v>0.40235091129248451</v>
      </c>
      <c r="F786">
        <v>0</v>
      </c>
      <c r="G786">
        <v>0.59764908870751554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3.390240446490576</v>
      </c>
      <c r="X786">
        <v>0.59764908870751554</v>
      </c>
      <c r="Y786">
        <v>0</v>
      </c>
      <c r="Z786" t="s">
        <v>23</v>
      </c>
    </row>
    <row r="787" spans="1:26" hidden="1" x14ac:dyDescent="0.2">
      <c r="A787">
        <v>50</v>
      </c>
      <c r="B787" t="s">
        <v>32</v>
      </c>
      <c r="C787" s="10">
        <v>10000033</v>
      </c>
      <c r="D787" t="b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0.30882977802696898</v>
      </c>
      <c r="Q787">
        <v>0</v>
      </c>
      <c r="R787">
        <v>4.0155215547070688E-2</v>
      </c>
      <c r="S787">
        <v>0</v>
      </c>
      <c r="T787">
        <v>4.0155215547070688E-2</v>
      </c>
      <c r="U787">
        <v>0</v>
      </c>
      <c r="V787">
        <v>0.69117022197303091</v>
      </c>
      <c r="W787">
        <v>6.5481143278023124</v>
      </c>
      <c r="X787">
        <v>4.0155215547070688E-2</v>
      </c>
      <c r="Y787">
        <v>0.69117022197303091</v>
      </c>
      <c r="Z787" t="s">
        <v>24</v>
      </c>
    </row>
    <row r="788" spans="1:26" hidden="1" x14ac:dyDescent="0.2">
      <c r="A788">
        <v>50</v>
      </c>
      <c r="B788" t="s">
        <v>34</v>
      </c>
      <c r="C788" s="10">
        <v>10000033</v>
      </c>
      <c r="D788" t="b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0.30683195118193252</v>
      </c>
      <c r="Q788">
        <v>0</v>
      </c>
      <c r="R788">
        <v>4.0155215547070688E-2</v>
      </c>
      <c r="S788">
        <v>0</v>
      </c>
      <c r="T788">
        <v>4.0155215547070688E-2</v>
      </c>
      <c r="U788">
        <v>0</v>
      </c>
      <c r="V788">
        <v>0.69316804881806759</v>
      </c>
      <c r="W788">
        <v>6.5495116749565936</v>
      </c>
      <c r="X788">
        <v>4.0155215547070688E-2</v>
      </c>
      <c r="Y788">
        <v>0.69316804881806759</v>
      </c>
      <c r="Z788" t="s">
        <v>24</v>
      </c>
    </row>
    <row r="789" spans="1:26" hidden="1" x14ac:dyDescent="0.2">
      <c r="A789">
        <v>50</v>
      </c>
      <c r="B789" t="s">
        <v>34</v>
      </c>
      <c r="C789" s="10">
        <v>10000047</v>
      </c>
      <c r="D789" t="b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0.83305694954761511</v>
      </c>
      <c r="P789">
        <v>0</v>
      </c>
      <c r="Q789">
        <v>0.16694305045238489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6.3277613053566837</v>
      </c>
      <c r="X789">
        <v>0.16694305045238489</v>
      </c>
      <c r="Y789">
        <v>0.83305694954761511</v>
      </c>
      <c r="Z789" t="s">
        <v>24</v>
      </c>
    </row>
    <row r="790" spans="1:26" hidden="1" x14ac:dyDescent="0.2">
      <c r="A790">
        <v>50</v>
      </c>
      <c r="B790" t="s">
        <v>33</v>
      </c>
      <c r="C790" s="10">
        <v>10000033</v>
      </c>
      <c r="D790" t="b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0.31636186791996918</v>
      </c>
      <c r="Q790">
        <v>0</v>
      </c>
      <c r="R790">
        <v>5.6034775442146412E-2</v>
      </c>
      <c r="S790">
        <v>0</v>
      </c>
      <c r="T790">
        <v>5.6034775442146412E-2</v>
      </c>
      <c r="U790">
        <v>0</v>
      </c>
      <c r="V790">
        <v>0.68363813208003077</v>
      </c>
      <c r="W790">
        <v>6.4964120998315176</v>
      </c>
      <c r="X790">
        <v>5.6034775442146412E-2</v>
      </c>
      <c r="Y790">
        <v>0.68363813208003077</v>
      </c>
      <c r="Z790" t="s">
        <v>24</v>
      </c>
    </row>
    <row r="791" spans="1:26" hidden="1" x14ac:dyDescent="0.2">
      <c r="A791">
        <v>50</v>
      </c>
      <c r="B791" t="s">
        <v>29</v>
      </c>
      <c r="C791" s="10">
        <v>10000082</v>
      </c>
      <c r="D791" t="b">
        <v>1</v>
      </c>
      <c r="F791">
        <v>0</v>
      </c>
      <c r="G791">
        <v>0</v>
      </c>
      <c r="H791">
        <v>0</v>
      </c>
      <c r="I791">
        <v>0</v>
      </c>
      <c r="J791">
        <v>0.92977226441540595</v>
      </c>
      <c r="W791">
        <v>3.1666666666666679</v>
      </c>
      <c r="X791">
        <v>1</v>
      </c>
      <c r="Y791">
        <v>0</v>
      </c>
      <c r="Z791" t="s">
        <v>23</v>
      </c>
    </row>
    <row r="792" spans="1:26" hidden="1" x14ac:dyDescent="0.2">
      <c r="A792">
        <v>50</v>
      </c>
      <c r="B792" t="s">
        <v>29</v>
      </c>
      <c r="C792" s="10">
        <v>10000073</v>
      </c>
      <c r="D792" t="b">
        <v>1</v>
      </c>
      <c r="E792">
        <v>0</v>
      </c>
      <c r="F792">
        <v>0</v>
      </c>
      <c r="G792">
        <v>0</v>
      </c>
      <c r="H792">
        <v>0</v>
      </c>
      <c r="I792">
        <v>0.5618331152345043</v>
      </c>
      <c r="J792">
        <v>0.2099665988853148</v>
      </c>
      <c r="W792">
        <v>5.9055778640733232</v>
      </c>
      <c r="X792">
        <v>0.2099665988853148</v>
      </c>
      <c r="Y792">
        <v>0.5618331152345043</v>
      </c>
      <c r="Z792" t="s">
        <v>24</v>
      </c>
    </row>
    <row r="793" spans="1:26" hidden="1" x14ac:dyDescent="0.2">
      <c r="A793">
        <v>50</v>
      </c>
      <c r="B793" t="s">
        <v>27</v>
      </c>
      <c r="C793" s="10">
        <v>10000082</v>
      </c>
      <c r="D793" t="b">
        <v>1</v>
      </c>
      <c r="F793">
        <v>0</v>
      </c>
      <c r="G793">
        <v>0</v>
      </c>
      <c r="H793">
        <v>0</v>
      </c>
      <c r="I793">
        <v>0</v>
      </c>
      <c r="J793">
        <v>0.50084036992155778</v>
      </c>
      <c r="W793">
        <v>3.1666666666666679</v>
      </c>
      <c r="X793">
        <v>1</v>
      </c>
      <c r="Y793">
        <v>0</v>
      </c>
      <c r="Z793" t="s">
        <v>23</v>
      </c>
    </row>
    <row r="794" spans="1:26" hidden="1" x14ac:dyDescent="0.2">
      <c r="A794">
        <v>50</v>
      </c>
      <c r="B794" t="s">
        <v>27</v>
      </c>
      <c r="C794" s="10">
        <v>10000033</v>
      </c>
      <c r="D794" t="b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0.32598896625822732</v>
      </c>
      <c r="Q794">
        <v>0</v>
      </c>
      <c r="R794">
        <v>8.2297884931270673E-2</v>
      </c>
      <c r="S794">
        <v>0</v>
      </c>
      <c r="T794">
        <v>8.2297884931270673E-2</v>
      </c>
      <c r="U794">
        <v>0</v>
      </c>
      <c r="V794">
        <v>0.67401103374177274</v>
      </c>
      <c r="W794">
        <v>6.4122351704991294</v>
      </c>
      <c r="X794">
        <v>8.2297884931270673E-2</v>
      </c>
      <c r="Y794">
        <v>0.67401103374177274</v>
      </c>
      <c r="Z794" t="s">
        <v>24</v>
      </c>
    </row>
    <row r="795" spans="1:26" hidden="1" x14ac:dyDescent="0.2">
      <c r="A795">
        <v>50</v>
      </c>
      <c r="B795" t="s">
        <v>28</v>
      </c>
      <c r="C795" s="10">
        <v>10000033</v>
      </c>
      <c r="D795" t="b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0.32870138431532769</v>
      </c>
      <c r="Q795">
        <v>0</v>
      </c>
      <c r="R795">
        <v>0.17280039655015361</v>
      </c>
      <c r="S795">
        <v>0</v>
      </c>
      <c r="T795">
        <v>0.17280039655015361</v>
      </c>
      <c r="U795">
        <v>0</v>
      </c>
      <c r="V795">
        <v>0.6712986156846722</v>
      </c>
      <c r="W795">
        <v>6.1519558958219136</v>
      </c>
      <c r="X795">
        <v>0.17280039655015361</v>
      </c>
      <c r="Y795">
        <v>0.6712986156846722</v>
      </c>
      <c r="Z795" t="s">
        <v>24</v>
      </c>
    </row>
    <row r="796" spans="1:26" hidden="1" x14ac:dyDescent="0.2">
      <c r="A796">
        <v>50</v>
      </c>
      <c r="B796" t="s">
        <v>31</v>
      </c>
      <c r="C796" s="10">
        <v>10000082</v>
      </c>
      <c r="D796" t="b">
        <v>1</v>
      </c>
      <c r="F796">
        <v>0</v>
      </c>
      <c r="G796">
        <v>0</v>
      </c>
      <c r="H796">
        <v>0</v>
      </c>
      <c r="I796">
        <v>0.99875941695070902</v>
      </c>
      <c r="J796">
        <v>4.1524702769413627E-2</v>
      </c>
      <c r="W796">
        <v>5.0009479504277721</v>
      </c>
      <c r="X796">
        <v>1</v>
      </c>
      <c r="Y796">
        <v>0.99875941695070902</v>
      </c>
      <c r="Z796" t="s">
        <v>23</v>
      </c>
    </row>
    <row r="797" spans="1:26" hidden="1" x14ac:dyDescent="0.2">
      <c r="A797">
        <v>50</v>
      </c>
      <c r="B797" t="s">
        <v>31</v>
      </c>
      <c r="C797" s="10">
        <v>10000047</v>
      </c>
      <c r="D797" t="b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0.72423670427551934</v>
      </c>
      <c r="P797">
        <v>0</v>
      </c>
      <c r="Q797">
        <v>0.27576329572448072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5.9435610690596814</v>
      </c>
      <c r="X797">
        <v>0.27576329572448072</v>
      </c>
      <c r="Y797">
        <v>0.72423670427551934</v>
      </c>
      <c r="Z797" t="s">
        <v>24</v>
      </c>
    </row>
    <row r="798" spans="1:26" hidden="1" x14ac:dyDescent="0.2">
      <c r="A798">
        <v>50</v>
      </c>
      <c r="B798" t="s">
        <v>30</v>
      </c>
      <c r="C798" s="10">
        <v>10000082</v>
      </c>
      <c r="D798" t="b">
        <v>1</v>
      </c>
      <c r="F798">
        <v>0</v>
      </c>
      <c r="G798">
        <v>0</v>
      </c>
      <c r="H798">
        <v>0</v>
      </c>
      <c r="I798">
        <v>0.99875941695070902</v>
      </c>
      <c r="J798">
        <v>4.1524702769413627E-2</v>
      </c>
      <c r="W798">
        <v>5.0009479504277721</v>
      </c>
      <c r="X798">
        <v>1</v>
      </c>
      <c r="Y798">
        <v>0.99875941695070902</v>
      </c>
      <c r="Z798" t="s">
        <v>23</v>
      </c>
    </row>
    <row r="799" spans="1:26" hidden="1" x14ac:dyDescent="0.2">
      <c r="A799">
        <v>50</v>
      </c>
      <c r="B799" t="s">
        <v>30</v>
      </c>
      <c r="C799" s="10">
        <v>10000033</v>
      </c>
      <c r="D799" t="b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0.31379605571253988</v>
      </c>
      <c r="Q799">
        <v>0</v>
      </c>
      <c r="R799">
        <v>0.17280039655015361</v>
      </c>
      <c r="S799">
        <v>0</v>
      </c>
      <c r="T799">
        <v>0.17280039655015361</v>
      </c>
      <c r="U799">
        <v>0</v>
      </c>
      <c r="V799">
        <v>0.68620394428746012</v>
      </c>
      <c r="W799">
        <v>6.1682873351491656</v>
      </c>
      <c r="X799">
        <v>0.17280039655015361</v>
      </c>
      <c r="Y799">
        <v>0.68620394428746012</v>
      </c>
      <c r="Z799" t="s">
        <v>24</v>
      </c>
    </row>
    <row r="800" spans="1:26" hidden="1" x14ac:dyDescent="0.2">
      <c r="A800">
        <v>50</v>
      </c>
      <c r="B800" t="s">
        <v>35</v>
      </c>
      <c r="C800" s="10">
        <v>10000033</v>
      </c>
      <c r="D800" t="b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0.3040589614195276</v>
      </c>
      <c r="Q800">
        <v>0</v>
      </c>
      <c r="R800">
        <v>0.17928448215250009</v>
      </c>
      <c r="S800">
        <v>0</v>
      </c>
      <c r="T800">
        <v>0.17928448215250009</v>
      </c>
      <c r="U800">
        <v>0</v>
      </c>
      <c r="V800">
        <v>0.6959410385804724</v>
      </c>
      <c r="W800">
        <v>6.1611892446598908</v>
      </c>
      <c r="X800">
        <v>0.17928448215250009</v>
      </c>
      <c r="Y800">
        <v>0.6959410385804724</v>
      </c>
      <c r="Z800" t="s">
        <v>24</v>
      </c>
    </row>
    <row r="801" spans="1:26" hidden="1" x14ac:dyDescent="0.2">
      <c r="A801">
        <v>50</v>
      </c>
      <c r="B801" t="s">
        <v>26</v>
      </c>
      <c r="C801" s="10">
        <v>10000073</v>
      </c>
      <c r="D801" t="b">
        <v>0</v>
      </c>
      <c r="E801">
        <v>3.3333333333333333E-2</v>
      </c>
      <c r="F801">
        <v>0</v>
      </c>
      <c r="G801">
        <v>3.3333333333333333E-2</v>
      </c>
      <c r="H801">
        <v>0</v>
      </c>
      <c r="I801">
        <v>0</v>
      </c>
      <c r="J801">
        <v>0</v>
      </c>
      <c r="K801">
        <v>0.56900117587711296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3.406791208263384</v>
      </c>
      <c r="X801">
        <v>0.56900117587711296</v>
      </c>
      <c r="Y801">
        <v>0</v>
      </c>
      <c r="Z801" t="s">
        <v>23</v>
      </c>
    </row>
    <row r="802" spans="1:26" hidden="1" x14ac:dyDescent="0.2">
      <c r="A802">
        <v>50</v>
      </c>
      <c r="B802" t="s">
        <v>26</v>
      </c>
      <c r="C802" s="10">
        <v>10000033</v>
      </c>
      <c r="D802" t="b">
        <v>0</v>
      </c>
      <c r="E802">
        <v>0</v>
      </c>
      <c r="F802">
        <v>0</v>
      </c>
      <c r="G802">
        <v>0</v>
      </c>
      <c r="H802">
        <v>0.33333333333333331</v>
      </c>
      <c r="I802">
        <v>0</v>
      </c>
      <c r="J802">
        <v>0.30778708286556128</v>
      </c>
      <c r="K802">
        <v>0</v>
      </c>
      <c r="L802">
        <v>0.66666666666666663</v>
      </c>
      <c r="M802">
        <v>0.18353434457943771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6.1169489196908886</v>
      </c>
      <c r="X802">
        <v>0.18353434457943771</v>
      </c>
      <c r="Y802">
        <v>0.66666666666666663</v>
      </c>
      <c r="Z802" t="s">
        <v>24</v>
      </c>
    </row>
    <row r="803" spans="1:26" hidden="1" x14ac:dyDescent="0.2">
      <c r="A803">
        <v>51</v>
      </c>
      <c r="B803" t="s">
        <v>35</v>
      </c>
      <c r="C803" s="10">
        <v>10000073</v>
      </c>
      <c r="D803" t="b">
        <v>1</v>
      </c>
      <c r="E803">
        <v>0</v>
      </c>
      <c r="F803">
        <v>0</v>
      </c>
      <c r="G803">
        <v>0</v>
      </c>
      <c r="H803">
        <v>0</v>
      </c>
      <c r="I803">
        <v>0.56863916504108691</v>
      </c>
      <c r="J803">
        <v>0.2197319184023365</v>
      </c>
      <c r="W803">
        <v>5.8862564635470429</v>
      </c>
      <c r="X803">
        <v>0.2197319184023365</v>
      </c>
      <c r="Y803">
        <v>0.56863916504108691</v>
      </c>
      <c r="Z803" t="s">
        <v>24</v>
      </c>
    </row>
    <row r="804" spans="1:26" hidden="1" x14ac:dyDescent="0.2">
      <c r="A804">
        <v>51</v>
      </c>
      <c r="B804" t="s">
        <v>32</v>
      </c>
      <c r="C804" s="10">
        <v>10000047</v>
      </c>
      <c r="D804" t="b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0.81947283759925382</v>
      </c>
      <c r="P804">
        <v>0</v>
      </c>
      <c r="Q804">
        <v>0.18052716240074621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6.2821806655257433</v>
      </c>
      <c r="X804">
        <v>0.18052716240074621</v>
      </c>
      <c r="Y804">
        <v>0.81947283759925382</v>
      </c>
      <c r="Z804" t="s">
        <v>24</v>
      </c>
    </row>
    <row r="805" spans="1:26" hidden="1" x14ac:dyDescent="0.2">
      <c r="A805">
        <v>51</v>
      </c>
      <c r="B805" t="s">
        <v>27</v>
      </c>
      <c r="C805" s="10">
        <v>10000082</v>
      </c>
      <c r="D805" t="b">
        <v>1</v>
      </c>
      <c r="F805">
        <v>0</v>
      </c>
      <c r="G805">
        <v>0</v>
      </c>
      <c r="H805">
        <v>0</v>
      </c>
      <c r="I805">
        <v>0</v>
      </c>
      <c r="J805">
        <v>0.71638392237355031</v>
      </c>
      <c r="W805">
        <v>3.1666666666666679</v>
      </c>
      <c r="X805">
        <v>1</v>
      </c>
      <c r="Y805">
        <v>0</v>
      </c>
      <c r="Z805" t="s">
        <v>23</v>
      </c>
    </row>
    <row r="806" spans="1:26" hidden="1" x14ac:dyDescent="0.2">
      <c r="A806">
        <v>51</v>
      </c>
      <c r="B806" t="s">
        <v>26</v>
      </c>
      <c r="C806" s="10">
        <v>10000073</v>
      </c>
      <c r="D806" t="b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0.4406983972803668</v>
      </c>
      <c r="P806">
        <v>0</v>
      </c>
      <c r="Q806">
        <v>0.29902311460952741</v>
      </c>
      <c r="R806">
        <v>0</v>
      </c>
      <c r="S806">
        <v>0.29902311460952741</v>
      </c>
      <c r="T806">
        <v>0</v>
      </c>
      <c r="U806">
        <v>0.55930160271963325</v>
      </c>
      <c r="V806">
        <v>0</v>
      </c>
      <c r="W806">
        <v>5.6425042316945806</v>
      </c>
      <c r="X806">
        <v>0.29902311460952741</v>
      </c>
      <c r="Y806">
        <v>0.55930160271963325</v>
      </c>
      <c r="Z806" t="s">
        <v>24</v>
      </c>
    </row>
    <row r="807" spans="1:26" hidden="1" x14ac:dyDescent="0.2">
      <c r="A807">
        <v>51</v>
      </c>
      <c r="B807" t="s">
        <v>27</v>
      </c>
      <c r="C807" s="10">
        <v>10000033</v>
      </c>
      <c r="D807" t="b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0.34495598912438302</v>
      </c>
      <c r="Q807">
        <v>0</v>
      </c>
      <c r="R807">
        <v>0.15951046971419519</v>
      </c>
      <c r="S807">
        <v>0</v>
      </c>
      <c r="T807">
        <v>0.15951046971419519</v>
      </c>
      <c r="U807">
        <v>0</v>
      </c>
      <c r="V807">
        <v>0.65504401087561703</v>
      </c>
      <c r="W807">
        <v>6.1714023264677706</v>
      </c>
      <c r="X807">
        <v>0.15951046971419519</v>
      </c>
      <c r="Y807">
        <v>0.65504401087561703</v>
      </c>
      <c r="Z807" t="s">
        <v>24</v>
      </c>
    </row>
    <row r="808" spans="1:26" hidden="1" x14ac:dyDescent="0.2">
      <c r="A808">
        <v>51</v>
      </c>
      <c r="B808" t="s">
        <v>34</v>
      </c>
      <c r="C808" s="10">
        <v>10000073</v>
      </c>
      <c r="D808" t="b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0.45861517454565037</v>
      </c>
      <c r="P808">
        <v>0</v>
      </c>
      <c r="Q808">
        <v>0.36113281812288922</v>
      </c>
      <c r="R808">
        <v>0</v>
      </c>
      <c r="S808">
        <v>0.36113281812288922</v>
      </c>
      <c r="T808">
        <v>0</v>
      </c>
      <c r="U808">
        <v>0.54138482545434963</v>
      </c>
      <c r="V808">
        <v>0</v>
      </c>
      <c r="W808">
        <v>5.4400040727842383</v>
      </c>
      <c r="X808">
        <v>0.36113281812288922</v>
      </c>
      <c r="Y808">
        <v>0.54138482545434963</v>
      </c>
      <c r="Z808" t="s">
        <v>24</v>
      </c>
    </row>
    <row r="809" spans="1:26" hidden="1" x14ac:dyDescent="0.2">
      <c r="A809">
        <v>51</v>
      </c>
      <c r="B809" t="s">
        <v>29</v>
      </c>
      <c r="C809" s="10">
        <v>10000033</v>
      </c>
      <c r="D809" t="b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0.35734260639362181</v>
      </c>
      <c r="Q809">
        <v>0</v>
      </c>
      <c r="R809">
        <v>0.28385714276832591</v>
      </c>
      <c r="S809">
        <v>0</v>
      </c>
      <c r="T809">
        <v>0.28385714276832591</v>
      </c>
      <c r="U809">
        <v>0</v>
      </c>
      <c r="V809">
        <v>0.64265739360637819</v>
      </c>
      <c r="W809">
        <v>5.8141164474309379</v>
      </c>
      <c r="X809">
        <v>0.28385714276832591</v>
      </c>
      <c r="Y809">
        <v>0.64265739360637819</v>
      </c>
      <c r="Z809" t="s">
        <v>24</v>
      </c>
    </row>
    <row r="810" spans="1:26" hidden="1" x14ac:dyDescent="0.2">
      <c r="A810">
        <v>51</v>
      </c>
      <c r="B810" t="s">
        <v>28</v>
      </c>
      <c r="C810" s="10">
        <v>10000082</v>
      </c>
      <c r="D810" t="b">
        <v>1</v>
      </c>
      <c r="F810">
        <v>0</v>
      </c>
      <c r="G810">
        <v>0</v>
      </c>
      <c r="H810">
        <v>0</v>
      </c>
      <c r="I810">
        <v>0</v>
      </c>
      <c r="J810">
        <v>0.73045240395905331</v>
      </c>
      <c r="W810">
        <v>3.1666666666666679</v>
      </c>
      <c r="X810">
        <v>1</v>
      </c>
      <c r="Y810">
        <v>0</v>
      </c>
      <c r="Z810" t="s">
        <v>23</v>
      </c>
    </row>
    <row r="811" spans="1:26" hidden="1" x14ac:dyDescent="0.2">
      <c r="A811">
        <v>51</v>
      </c>
      <c r="B811" t="s">
        <v>28</v>
      </c>
      <c r="C811" s="10">
        <v>10000047</v>
      </c>
      <c r="D811" t="b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0.63746544348854806</v>
      </c>
      <c r="P811">
        <v>0</v>
      </c>
      <c r="Q811">
        <v>0.36253455651145189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5.6045387576809373</v>
      </c>
      <c r="X811">
        <v>0.36253455651145189</v>
      </c>
      <c r="Y811">
        <v>0.63746544348854806</v>
      </c>
      <c r="Z811" t="s">
        <v>24</v>
      </c>
    </row>
    <row r="812" spans="1:26" hidden="1" x14ac:dyDescent="0.2">
      <c r="A812">
        <v>51</v>
      </c>
      <c r="B812" t="s">
        <v>33</v>
      </c>
      <c r="C812" s="10">
        <v>10000073</v>
      </c>
      <c r="D812" t="b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0.47318316757761708</v>
      </c>
      <c r="P812">
        <v>0</v>
      </c>
      <c r="Q812">
        <v>0.4205861451309032</v>
      </c>
      <c r="R812">
        <v>0</v>
      </c>
      <c r="S812">
        <v>0.4205861451309032</v>
      </c>
      <c r="T812">
        <v>0</v>
      </c>
      <c r="U812">
        <v>0.52681683242238297</v>
      </c>
      <c r="V812">
        <v>0</v>
      </c>
      <c r="W812">
        <v>5.2559319088951852</v>
      </c>
      <c r="X812">
        <v>0.4205861451309032</v>
      </c>
      <c r="Y812">
        <v>0.52681683242238297</v>
      </c>
      <c r="Z812" t="s">
        <v>24</v>
      </c>
    </row>
    <row r="813" spans="1:26" hidden="1" x14ac:dyDescent="0.2">
      <c r="A813">
        <v>51</v>
      </c>
      <c r="B813" t="s">
        <v>30</v>
      </c>
      <c r="C813" s="10">
        <v>10000047</v>
      </c>
      <c r="D813" t="b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0.16666666666666671</v>
      </c>
      <c r="L813">
        <v>0</v>
      </c>
      <c r="M813">
        <v>0</v>
      </c>
      <c r="N813">
        <v>0</v>
      </c>
      <c r="O813">
        <v>0.61993240877118017</v>
      </c>
      <c r="P813">
        <v>0</v>
      </c>
      <c r="Q813">
        <v>0.38006759122881978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5.5323151524914644</v>
      </c>
      <c r="X813">
        <v>0.38006759122881978</v>
      </c>
      <c r="Y813">
        <v>0.61993240877118017</v>
      </c>
      <c r="Z813" t="s">
        <v>24</v>
      </c>
    </row>
    <row r="814" spans="1:26" hidden="1" x14ac:dyDescent="0.2">
      <c r="A814">
        <v>51</v>
      </c>
      <c r="B814" t="s">
        <v>31</v>
      </c>
      <c r="C814" s="10">
        <v>10000073</v>
      </c>
      <c r="D814" t="b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0.55595358315184351</v>
      </c>
      <c r="L814">
        <v>0</v>
      </c>
      <c r="M814">
        <v>0</v>
      </c>
      <c r="N814">
        <v>0</v>
      </c>
      <c r="O814">
        <v>0.23333333333333331</v>
      </c>
      <c r="P814">
        <v>0</v>
      </c>
      <c r="Q814">
        <v>0.23333333333333331</v>
      </c>
      <c r="R814">
        <v>0</v>
      </c>
      <c r="S814">
        <v>0.23333333333333331</v>
      </c>
      <c r="T814">
        <v>0</v>
      </c>
      <c r="U814">
        <v>0.23333333333333331</v>
      </c>
      <c r="V814">
        <v>0</v>
      </c>
      <c r="W814">
        <v>4.1774517378811868</v>
      </c>
      <c r="X814">
        <v>0.55595358315184351</v>
      </c>
      <c r="Y814">
        <v>0.23333333333333331</v>
      </c>
      <c r="Z814" t="s">
        <v>23</v>
      </c>
    </row>
    <row r="815" spans="1:26" hidden="1" x14ac:dyDescent="0.2">
      <c r="A815">
        <v>51</v>
      </c>
      <c r="B815" t="s">
        <v>31</v>
      </c>
      <c r="C815" s="10">
        <v>10000033</v>
      </c>
      <c r="D815" t="b">
        <v>0</v>
      </c>
      <c r="E815">
        <v>0</v>
      </c>
      <c r="F815">
        <v>0</v>
      </c>
      <c r="G815">
        <v>0</v>
      </c>
      <c r="H815">
        <v>0.46666666666666667</v>
      </c>
      <c r="I815">
        <v>0</v>
      </c>
      <c r="J815">
        <v>0.32273292275575022</v>
      </c>
      <c r="K815">
        <v>0</v>
      </c>
      <c r="L815">
        <v>0.53333333333333333</v>
      </c>
      <c r="M815">
        <v>0.30367437555163129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5.5834816434633439</v>
      </c>
      <c r="X815">
        <v>0.30367437555163129</v>
      </c>
      <c r="Y815">
        <v>0.53333333333333333</v>
      </c>
      <c r="Z815" t="s">
        <v>24</v>
      </c>
    </row>
    <row r="816" spans="1:26" hidden="1" x14ac:dyDescent="0.2">
      <c r="A816">
        <v>52</v>
      </c>
      <c r="B816" t="s">
        <v>30</v>
      </c>
      <c r="C816" s="10">
        <v>10000073</v>
      </c>
      <c r="D816" t="b">
        <v>1</v>
      </c>
      <c r="E816">
        <v>0</v>
      </c>
      <c r="F816">
        <v>0</v>
      </c>
      <c r="G816">
        <v>0</v>
      </c>
      <c r="H816">
        <v>0</v>
      </c>
      <c r="I816">
        <v>0.56863916504108691</v>
      </c>
      <c r="J816">
        <v>0.2219998834598404</v>
      </c>
      <c r="W816">
        <v>5.8795171251100147</v>
      </c>
      <c r="X816">
        <v>0.2219998834598404</v>
      </c>
      <c r="Y816">
        <v>0.56863916504108691</v>
      </c>
      <c r="Z816" t="s">
        <v>24</v>
      </c>
    </row>
    <row r="817" spans="1:26" hidden="1" x14ac:dyDescent="0.2">
      <c r="A817">
        <v>52</v>
      </c>
      <c r="B817" t="s">
        <v>34</v>
      </c>
      <c r="C817" s="10">
        <v>10000082</v>
      </c>
      <c r="D817" t="b">
        <v>1</v>
      </c>
      <c r="F817">
        <v>0</v>
      </c>
      <c r="G817">
        <v>0</v>
      </c>
      <c r="H817">
        <v>0</v>
      </c>
      <c r="I817">
        <v>0</v>
      </c>
      <c r="J817">
        <v>1</v>
      </c>
      <c r="W817">
        <v>3.1666666666666679</v>
      </c>
      <c r="X817">
        <v>1</v>
      </c>
      <c r="Y817">
        <v>0</v>
      </c>
      <c r="Z817" t="s">
        <v>23</v>
      </c>
    </row>
    <row r="818" spans="1:26" hidden="1" x14ac:dyDescent="0.2">
      <c r="A818">
        <v>52</v>
      </c>
      <c r="B818" t="s">
        <v>34</v>
      </c>
      <c r="C818" s="10">
        <v>10000033</v>
      </c>
      <c r="D818" t="b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0.30616072845166697</v>
      </c>
      <c r="Q818">
        <v>0</v>
      </c>
      <c r="R818">
        <v>6.1091779209494927E-2</v>
      </c>
      <c r="S818">
        <v>0</v>
      </c>
      <c r="T818">
        <v>6.1091779209494927E-2</v>
      </c>
      <c r="U818">
        <v>0</v>
      </c>
      <c r="V818">
        <v>0.69383927154833303</v>
      </c>
      <c r="W818">
        <v>6.4895172547904743</v>
      </c>
      <c r="X818">
        <v>6.1091779209494927E-2</v>
      </c>
      <c r="Y818">
        <v>0.69383927154833303</v>
      </c>
      <c r="Z818" t="s">
        <v>24</v>
      </c>
    </row>
    <row r="819" spans="1:26" hidden="1" x14ac:dyDescent="0.2">
      <c r="A819">
        <v>52</v>
      </c>
      <c r="B819" t="s">
        <v>27</v>
      </c>
      <c r="C819" s="10">
        <v>10000033</v>
      </c>
      <c r="D819" t="b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0.30418581328263672</v>
      </c>
      <c r="Q819">
        <v>0</v>
      </c>
      <c r="R819">
        <v>6.1091779209494927E-2</v>
      </c>
      <c r="S819">
        <v>0</v>
      </c>
      <c r="T819">
        <v>6.1091779209494927E-2</v>
      </c>
      <c r="U819">
        <v>0</v>
      </c>
      <c r="V819">
        <v>0.69581418671736339</v>
      </c>
      <c r="W819">
        <v>6.4910220901395013</v>
      </c>
      <c r="X819">
        <v>6.1091779209494927E-2</v>
      </c>
      <c r="Y819">
        <v>0.69581418671736339</v>
      </c>
      <c r="Z819" t="s">
        <v>24</v>
      </c>
    </row>
    <row r="820" spans="1:26" hidden="1" x14ac:dyDescent="0.2">
      <c r="A820">
        <v>52</v>
      </c>
      <c r="B820" t="s">
        <v>28</v>
      </c>
      <c r="C820" s="10">
        <v>10000033</v>
      </c>
      <c r="D820" t="b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0.30369802906111459</v>
      </c>
      <c r="Q820">
        <v>0</v>
      </c>
      <c r="R820">
        <v>0.12695743670038129</v>
      </c>
      <c r="S820">
        <v>0</v>
      </c>
      <c r="T820">
        <v>0.12695743670038129</v>
      </c>
      <c r="U820">
        <v>0</v>
      </c>
      <c r="V820">
        <v>0.69630197093888535</v>
      </c>
      <c r="W820">
        <v>6.3052077480653779</v>
      </c>
      <c r="X820">
        <v>0.12695743670038129</v>
      </c>
      <c r="Y820">
        <v>0.69630197093888535</v>
      </c>
      <c r="Z820" t="s">
        <v>24</v>
      </c>
    </row>
    <row r="821" spans="1:26" hidden="1" x14ac:dyDescent="0.2">
      <c r="A821">
        <v>52</v>
      </c>
      <c r="B821" t="s">
        <v>26</v>
      </c>
      <c r="C821" s="10">
        <v>10000047</v>
      </c>
      <c r="D821" t="b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0.8029238565886504</v>
      </c>
      <c r="P821">
        <v>0</v>
      </c>
      <c r="Q821">
        <v>0.1970761434113496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6.2257507739432194</v>
      </c>
      <c r="X821">
        <v>0.1970761434113496</v>
      </c>
      <c r="Y821">
        <v>0.8029238565886504</v>
      </c>
      <c r="Z821" t="s">
        <v>24</v>
      </c>
    </row>
    <row r="822" spans="1:26" hidden="1" x14ac:dyDescent="0.2">
      <c r="A822">
        <v>52</v>
      </c>
      <c r="B822" t="s">
        <v>31</v>
      </c>
      <c r="C822" s="10">
        <v>10000082</v>
      </c>
      <c r="D822" t="b">
        <v>1</v>
      </c>
      <c r="F822">
        <v>0</v>
      </c>
      <c r="G822">
        <v>0</v>
      </c>
      <c r="H822">
        <v>0</v>
      </c>
      <c r="I822">
        <v>0</v>
      </c>
      <c r="J822">
        <v>1</v>
      </c>
      <c r="W822">
        <v>3.1666666666666679</v>
      </c>
      <c r="X822">
        <v>1</v>
      </c>
      <c r="Y822">
        <v>0</v>
      </c>
      <c r="Z822" t="s">
        <v>23</v>
      </c>
    </row>
    <row r="823" spans="1:26" hidden="1" x14ac:dyDescent="0.2">
      <c r="A823">
        <v>52</v>
      </c>
      <c r="B823" t="s">
        <v>31</v>
      </c>
      <c r="C823" s="10">
        <v>10000033</v>
      </c>
      <c r="D823" t="b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0.31834021103221422</v>
      </c>
      <c r="Q823">
        <v>0</v>
      </c>
      <c r="R823">
        <v>0.12821198535114681</v>
      </c>
      <c r="S823">
        <v>0</v>
      </c>
      <c r="T823">
        <v>0.12821198535114681</v>
      </c>
      <c r="U823">
        <v>0</v>
      </c>
      <c r="V823">
        <v>0.68165978896778578</v>
      </c>
      <c r="W823">
        <v>6.2876215084113154</v>
      </c>
      <c r="X823">
        <v>0.12821198535114681</v>
      </c>
      <c r="Y823">
        <v>0.68165978896778578</v>
      </c>
      <c r="Z823" t="s">
        <v>24</v>
      </c>
    </row>
    <row r="824" spans="1:26" hidden="1" x14ac:dyDescent="0.2">
      <c r="A824">
        <v>52</v>
      </c>
      <c r="B824" t="s">
        <v>32</v>
      </c>
      <c r="C824" s="10">
        <v>10000082</v>
      </c>
      <c r="D824" t="b">
        <v>1</v>
      </c>
      <c r="F824">
        <v>0</v>
      </c>
      <c r="G824">
        <v>0</v>
      </c>
      <c r="H824">
        <v>0</v>
      </c>
      <c r="I824">
        <v>0</v>
      </c>
      <c r="J824">
        <v>1</v>
      </c>
      <c r="W824">
        <v>3.1666666666666679</v>
      </c>
      <c r="X824">
        <v>1</v>
      </c>
      <c r="Y824">
        <v>0</v>
      </c>
      <c r="Z824" t="s">
        <v>23</v>
      </c>
    </row>
    <row r="825" spans="1:26" hidden="1" x14ac:dyDescent="0.2">
      <c r="A825">
        <v>52</v>
      </c>
      <c r="B825" t="s">
        <v>32</v>
      </c>
      <c r="C825" s="10">
        <v>10000047</v>
      </c>
      <c r="D825" t="b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0.79608239562228844</v>
      </c>
      <c r="P825">
        <v>0</v>
      </c>
      <c r="Q825">
        <v>0.20391760437771159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6.2021321026597134</v>
      </c>
      <c r="X825">
        <v>0.20391760437771159</v>
      </c>
      <c r="Y825">
        <v>0.79608239562228844</v>
      </c>
      <c r="Z825" t="s">
        <v>24</v>
      </c>
    </row>
    <row r="826" spans="1:26" hidden="1" x14ac:dyDescent="0.2">
      <c r="A826">
        <v>52</v>
      </c>
      <c r="B826" t="s">
        <v>29</v>
      </c>
      <c r="C826" s="10">
        <v>10000033</v>
      </c>
      <c r="D826" t="b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0.67018289799132247</v>
      </c>
      <c r="M826">
        <v>0.187731774305781</v>
      </c>
      <c r="N826">
        <v>0</v>
      </c>
      <c r="O826">
        <v>0</v>
      </c>
      <c r="P826">
        <v>0.26666666666666672</v>
      </c>
      <c r="Q826">
        <v>0</v>
      </c>
      <c r="R826">
        <v>0.187731774305781</v>
      </c>
      <c r="S826">
        <v>0</v>
      </c>
      <c r="T826">
        <v>0.187731774305781</v>
      </c>
      <c r="U826">
        <v>0</v>
      </c>
      <c r="V826">
        <v>0.26666666666666672</v>
      </c>
      <c r="W826">
        <v>6.1093728414219273</v>
      </c>
      <c r="X826">
        <v>0.187731774305781</v>
      </c>
      <c r="Y826">
        <v>0.67018289799132247</v>
      </c>
      <c r="Z826" t="s">
        <v>24</v>
      </c>
    </row>
    <row r="827" spans="1:26" hidden="1" x14ac:dyDescent="0.2">
      <c r="A827">
        <v>52</v>
      </c>
      <c r="B827" t="s">
        <v>33</v>
      </c>
      <c r="C827" s="10">
        <v>10000082</v>
      </c>
      <c r="D827" t="b">
        <v>1</v>
      </c>
      <c r="F827">
        <v>0</v>
      </c>
      <c r="G827">
        <v>0</v>
      </c>
      <c r="H827">
        <v>0.8666666666666667</v>
      </c>
      <c r="I827">
        <v>0</v>
      </c>
      <c r="J827">
        <v>0.1333333333333333</v>
      </c>
      <c r="W827">
        <v>3.1666666666666679</v>
      </c>
      <c r="X827">
        <v>1</v>
      </c>
      <c r="Y827">
        <v>0</v>
      </c>
      <c r="Z827" t="s">
        <v>23</v>
      </c>
    </row>
    <row r="828" spans="1:26" hidden="1" x14ac:dyDescent="0.2">
      <c r="A828">
        <v>52</v>
      </c>
      <c r="B828" t="s">
        <v>33</v>
      </c>
      <c r="C828" s="10">
        <v>10000047</v>
      </c>
      <c r="D828" t="b">
        <v>0</v>
      </c>
      <c r="E828">
        <v>3.3333333333333333E-2</v>
      </c>
      <c r="F828">
        <v>0</v>
      </c>
      <c r="G828">
        <v>0</v>
      </c>
      <c r="H828">
        <v>0</v>
      </c>
      <c r="I828">
        <v>3.3333333333333333E-2</v>
      </c>
      <c r="J828">
        <v>0</v>
      </c>
      <c r="K828">
        <v>0.22222222222222229</v>
      </c>
      <c r="L828">
        <v>0.74441699590413279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6.1019492627632204</v>
      </c>
      <c r="X828">
        <v>0.22222222222222229</v>
      </c>
      <c r="Y828">
        <v>0.74441699590413279</v>
      </c>
      <c r="Z828" t="s">
        <v>24</v>
      </c>
    </row>
    <row r="829" spans="1:26" hidden="1" x14ac:dyDescent="0.2">
      <c r="A829">
        <v>52</v>
      </c>
      <c r="B829" t="s">
        <v>35</v>
      </c>
      <c r="C829" s="10">
        <v>10000047</v>
      </c>
      <c r="D829" t="b">
        <v>0</v>
      </c>
      <c r="E829">
        <v>0.6</v>
      </c>
      <c r="F829">
        <v>0</v>
      </c>
      <c r="G829">
        <v>0</v>
      </c>
      <c r="H829">
        <v>0</v>
      </c>
      <c r="I829">
        <v>6.6666666666666652E-2</v>
      </c>
      <c r="J829">
        <v>0</v>
      </c>
      <c r="K829">
        <v>0.4</v>
      </c>
      <c r="L829">
        <v>6.6666666666666652E-2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3.606356901974193</v>
      </c>
      <c r="X829">
        <v>0.6</v>
      </c>
      <c r="Y829">
        <v>6.6666666666666652E-2</v>
      </c>
      <c r="Z829" t="s">
        <v>23</v>
      </c>
    </row>
    <row r="830" spans="1:26" hidden="1" x14ac:dyDescent="0.2">
      <c r="A830">
        <v>52</v>
      </c>
      <c r="B830" t="s">
        <v>35</v>
      </c>
      <c r="C830" s="10">
        <v>10000033</v>
      </c>
      <c r="D830" t="b">
        <v>0</v>
      </c>
      <c r="E830">
        <v>0</v>
      </c>
      <c r="F830">
        <v>0.12000000000000011</v>
      </c>
      <c r="G830">
        <v>0.12000000000000011</v>
      </c>
      <c r="H830">
        <v>0.64079122067609895</v>
      </c>
      <c r="I830">
        <v>0.12000000000000011</v>
      </c>
      <c r="J830">
        <v>0.35920877932390111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6.2710239864586539</v>
      </c>
      <c r="X830">
        <v>0.12000000000000011</v>
      </c>
      <c r="Y830">
        <v>0.64079122067609895</v>
      </c>
      <c r="Z830" t="s">
        <v>24</v>
      </c>
    </row>
    <row r="831" spans="1:26" hidden="1" x14ac:dyDescent="0.2">
      <c r="A831">
        <v>52</v>
      </c>
      <c r="B831" t="s">
        <v>35</v>
      </c>
      <c r="C831" s="10">
        <v>10000082</v>
      </c>
      <c r="D831" t="b">
        <v>1</v>
      </c>
      <c r="F831">
        <v>1</v>
      </c>
      <c r="G831">
        <v>0</v>
      </c>
      <c r="H831">
        <v>0</v>
      </c>
      <c r="I831">
        <v>0</v>
      </c>
      <c r="J831">
        <v>0</v>
      </c>
      <c r="W831">
        <v>3.1666666666666679</v>
      </c>
      <c r="X831">
        <v>1</v>
      </c>
      <c r="Y831">
        <v>0</v>
      </c>
      <c r="Z831" t="s">
        <v>23</v>
      </c>
    </row>
    <row r="832" spans="1:26" hidden="1" x14ac:dyDescent="0.2">
      <c r="A832">
        <v>53</v>
      </c>
      <c r="B832" t="s">
        <v>32</v>
      </c>
      <c r="C832" s="10">
        <v>10000033</v>
      </c>
      <c r="D832" t="b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0.30882977802696898</v>
      </c>
      <c r="Q832">
        <v>0</v>
      </c>
      <c r="R832">
        <v>0.1894437463464298</v>
      </c>
      <c r="S832">
        <v>0</v>
      </c>
      <c r="T832">
        <v>0.1894437463464298</v>
      </c>
      <c r="U832">
        <v>0</v>
      </c>
      <c r="V832">
        <v>0.69117022197303091</v>
      </c>
      <c r="W832">
        <v>6.1284633145515599</v>
      </c>
      <c r="X832">
        <v>0.1894437463464298</v>
      </c>
      <c r="Y832">
        <v>0.69117022197303091</v>
      </c>
      <c r="Z832" t="s">
        <v>24</v>
      </c>
    </row>
    <row r="833" spans="1:26" hidden="1" x14ac:dyDescent="0.2">
      <c r="A833">
        <v>53</v>
      </c>
      <c r="B833" t="s">
        <v>28</v>
      </c>
      <c r="C833" s="10">
        <v>10000073</v>
      </c>
      <c r="D833" t="b">
        <v>1</v>
      </c>
      <c r="E833">
        <v>0</v>
      </c>
      <c r="F833">
        <v>0</v>
      </c>
      <c r="G833">
        <v>0</v>
      </c>
      <c r="H833">
        <v>0</v>
      </c>
      <c r="I833">
        <v>0.56678653793969802</v>
      </c>
      <c r="J833">
        <v>0.33634992457392932</v>
      </c>
      <c r="W833">
        <v>5.553289864342962</v>
      </c>
      <c r="X833">
        <v>0.33634992457392932</v>
      </c>
      <c r="Y833">
        <v>0.56678653793969802</v>
      </c>
      <c r="Z833" t="s">
        <v>24</v>
      </c>
    </row>
    <row r="834" spans="1:26" hidden="1" x14ac:dyDescent="0.2">
      <c r="A834">
        <v>53</v>
      </c>
      <c r="B834" t="s">
        <v>26</v>
      </c>
      <c r="C834" s="10">
        <v>10000082</v>
      </c>
      <c r="D834" t="b">
        <v>1</v>
      </c>
      <c r="F834">
        <v>0</v>
      </c>
      <c r="G834">
        <v>0</v>
      </c>
      <c r="H834">
        <v>0</v>
      </c>
      <c r="I834">
        <v>1</v>
      </c>
      <c r="J834">
        <v>0</v>
      </c>
      <c r="W834">
        <v>5.0025004164584352</v>
      </c>
      <c r="X834">
        <v>1</v>
      </c>
      <c r="Y834">
        <v>1</v>
      </c>
      <c r="Z834" t="s">
        <v>23</v>
      </c>
    </row>
    <row r="835" spans="1:26" hidden="1" x14ac:dyDescent="0.2">
      <c r="A835">
        <v>53</v>
      </c>
      <c r="B835" t="s">
        <v>30</v>
      </c>
      <c r="C835" s="10">
        <v>10000033</v>
      </c>
      <c r="D835" t="b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0.30171551776504463</v>
      </c>
      <c r="Q835">
        <v>0</v>
      </c>
      <c r="R835">
        <v>0.30171551776504463</v>
      </c>
      <c r="S835">
        <v>0</v>
      </c>
      <c r="T835">
        <v>0.47558792106445302</v>
      </c>
      <c r="U835">
        <v>0</v>
      </c>
      <c r="V835">
        <v>0.52441207893554698</v>
      </c>
      <c r="W835">
        <v>5.1155779599330238</v>
      </c>
      <c r="X835">
        <v>0.47558792106445302</v>
      </c>
      <c r="Y835">
        <v>0.52441207893554698</v>
      </c>
      <c r="Z835" t="s">
        <v>24</v>
      </c>
    </row>
    <row r="836" spans="1:26" hidden="1" x14ac:dyDescent="0.2">
      <c r="A836">
        <v>53</v>
      </c>
      <c r="B836" t="s">
        <v>26</v>
      </c>
      <c r="C836" s="10">
        <v>10000047</v>
      </c>
      <c r="D836" t="b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0.49325928858807838</v>
      </c>
      <c r="P836">
        <v>0</v>
      </c>
      <c r="Q836">
        <v>0.50674071141192156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4.9709831205143384</v>
      </c>
      <c r="X836">
        <v>0.50674071141192156</v>
      </c>
      <c r="Y836">
        <v>0.49325928858807838</v>
      </c>
      <c r="Z836" t="s">
        <v>23</v>
      </c>
    </row>
    <row r="837" spans="1:26" hidden="1" x14ac:dyDescent="0.2">
      <c r="A837">
        <v>53</v>
      </c>
      <c r="B837" t="s">
        <v>27</v>
      </c>
      <c r="C837" s="10">
        <v>10000073</v>
      </c>
      <c r="D837" t="b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0.43266678098032302</v>
      </c>
      <c r="P837">
        <v>0</v>
      </c>
      <c r="Q837">
        <v>0.43266678098032302</v>
      </c>
      <c r="R837">
        <v>0</v>
      </c>
      <c r="S837">
        <v>0.49311265138528482</v>
      </c>
      <c r="T837">
        <v>0</v>
      </c>
      <c r="U837">
        <v>0.50688734861471518</v>
      </c>
      <c r="V837">
        <v>0</v>
      </c>
      <c r="W837">
        <v>5.0346833927081098</v>
      </c>
      <c r="X837">
        <v>0.49311265138528482</v>
      </c>
      <c r="Y837">
        <v>0.50688734861471518</v>
      </c>
      <c r="Z837" t="s">
        <v>24</v>
      </c>
    </row>
    <row r="838" spans="1:26" hidden="1" x14ac:dyDescent="0.2">
      <c r="A838">
        <v>53</v>
      </c>
      <c r="B838" t="s">
        <v>26</v>
      </c>
      <c r="C838" s="10">
        <v>10000073</v>
      </c>
      <c r="D838" t="b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0.43519553081755769</v>
      </c>
      <c r="P838">
        <v>0.43519553081755769</v>
      </c>
      <c r="Q838">
        <v>0.33333333333333348</v>
      </c>
      <c r="R838">
        <v>0</v>
      </c>
      <c r="S838">
        <v>0</v>
      </c>
      <c r="T838">
        <v>0</v>
      </c>
      <c r="U838">
        <v>0</v>
      </c>
      <c r="V838">
        <v>0.50688734861471518</v>
      </c>
      <c r="W838">
        <v>5.4485417400825833</v>
      </c>
      <c r="X838">
        <v>0.33333333333333348</v>
      </c>
      <c r="Y838">
        <v>0.50688734861471518</v>
      </c>
      <c r="Z838" t="s">
        <v>24</v>
      </c>
    </row>
    <row r="839" spans="1:26" hidden="1" x14ac:dyDescent="0.2">
      <c r="A839">
        <v>53</v>
      </c>
      <c r="B839" t="s">
        <v>29</v>
      </c>
      <c r="C839" s="10">
        <v>10000033</v>
      </c>
      <c r="D839" t="b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0.29811184410695463</v>
      </c>
      <c r="Q839">
        <v>0</v>
      </c>
      <c r="R839">
        <v>0.29811184410695463</v>
      </c>
      <c r="S839">
        <v>0</v>
      </c>
      <c r="T839">
        <v>0.47558792106445302</v>
      </c>
      <c r="U839">
        <v>0</v>
      </c>
      <c r="V839">
        <v>0.52441207893554698</v>
      </c>
      <c r="W839">
        <v>5.1155779599330238</v>
      </c>
      <c r="X839">
        <v>0.47558792106445302</v>
      </c>
      <c r="Y839">
        <v>0.52441207893554698</v>
      </c>
      <c r="Z839" t="s">
        <v>24</v>
      </c>
    </row>
    <row r="840" spans="1:26" hidden="1" x14ac:dyDescent="0.2">
      <c r="A840">
        <v>53</v>
      </c>
      <c r="B840" t="s">
        <v>33</v>
      </c>
      <c r="C840" s="10">
        <v>10000082</v>
      </c>
      <c r="D840" t="b">
        <v>1</v>
      </c>
      <c r="F840">
        <v>0</v>
      </c>
      <c r="G840">
        <v>0.23333333333333331</v>
      </c>
      <c r="H840">
        <v>0</v>
      </c>
      <c r="I840">
        <v>0.76666666666666672</v>
      </c>
      <c r="J840">
        <v>0</v>
      </c>
      <c r="W840">
        <v>4.6761169919687591</v>
      </c>
      <c r="X840">
        <v>1</v>
      </c>
      <c r="Y840">
        <v>0.76666666666666672</v>
      </c>
      <c r="Z840" t="s">
        <v>23</v>
      </c>
    </row>
    <row r="841" spans="1:26" hidden="1" x14ac:dyDescent="0.2">
      <c r="A841">
        <v>53</v>
      </c>
      <c r="B841" t="s">
        <v>35</v>
      </c>
      <c r="C841" s="10">
        <v>10000047</v>
      </c>
      <c r="D841" t="b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0.73333333333333328</v>
      </c>
      <c r="L841">
        <v>0.14285714285714279</v>
      </c>
      <c r="M841">
        <v>0</v>
      </c>
      <c r="N841">
        <v>0</v>
      </c>
      <c r="O841">
        <v>0.26666666666666672</v>
      </c>
      <c r="P841">
        <v>0</v>
      </c>
      <c r="Q841">
        <v>0.26666666666666672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4.026690764394635</v>
      </c>
      <c r="X841">
        <v>0.73333333333333328</v>
      </c>
      <c r="Y841">
        <v>0.26666666666666672</v>
      </c>
      <c r="Z841" t="s">
        <v>23</v>
      </c>
    </row>
    <row r="842" spans="1:26" hidden="1" x14ac:dyDescent="0.2">
      <c r="A842">
        <v>53</v>
      </c>
      <c r="B842" t="s">
        <v>35</v>
      </c>
      <c r="C842" s="10">
        <v>10000033</v>
      </c>
      <c r="D842" t="b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0.46729128947773751</v>
      </c>
      <c r="M842">
        <v>0.53270871052226254</v>
      </c>
      <c r="N842">
        <v>0</v>
      </c>
      <c r="O842">
        <v>0</v>
      </c>
      <c r="P842">
        <v>0.23333333333333331</v>
      </c>
      <c r="Q842">
        <v>0</v>
      </c>
      <c r="R842">
        <v>0.23333333333333331</v>
      </c>
      <c r="S842">
        <v>0</v>
      </c>
      <c r="T842">
        <v>0.23333333333333331</v>
      </c>
      <c r="U842">
        <v>0</v>
      </c>
      <c r="V842">
        <v>0.23333333333333331</v>
      </c>
      <c r="W842">
        <v>4.8515281530454173</v>
      </c>
      <c r="X842">
        <v>0.53270871052226254</v>
      </c>
      <c r="Y842">
        <v>0.46729128947773751</v>
      </c>
      <c r="Z842" t="s">
        <v>23</v>
      </c>
    </row>
    <row r="843" spans="1:26" hidden="1" x14ac:dyDescent="0.2">
      <c r="A843">
        <v>53</v>
      </c>
      <c r="B843" t="s">
        <v>31</v>
      </c>
      <c r="C843" s="10">
        <v>10000073</v>
      </c>
      <c r="D843" t="b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0.39999999999999991</v>
      </c>
      <c r="L843">
        <v>0.54093382994039796</v>
      </c>
      <c r="M843">
        <v>0</v>
      </c>
      <c r="N843">
        <v>0</v>
      </c>
      <c r="O843">
        <v>0.16666666666666671</v>
      </c>
      <c r="P843">
        <v>0</v>
      </c>
      <c r="Q843">
        <v>0.16666666666666671</v>
      </c>
      <c r="R843">
        <v>0</v>
      </c>
      <c r="S843">
        <v>0.16666666666666671</v>
      </c>
      <c r="T843">
        <v>0</v>
      </c>
      <c r="U843">
        <v>0.16666666666666671</v>
      </c>
      <c r="V843">
        <v>0.16666666666666671</v>
      </c>
      <c r="W843">
        <v>5.337352671022594</v>
      </c>
      <c r="X843">
        <v>0.39999999999999991</v>
      </c>
      <c r="Y843">
        <v>0.54093382994039796</v>
      </c>
      <c r="Z843" t="s">
        <v>24</v>
      </c>
    </row>
    <row r="844" spans="1:26" hidden="1" x14ac:dyDescent="0.2">
      <c r="A844">
        <v>53</v>
      </c>
      <c r="B844" t="s">
        <v>35</v>
      </c>
      <c r="C844" s="10">
        <v>10000082</v>
      </c>
      <c r="D844" t="b">
        <v>1</v>
      </c>
      <c r="F844">
        <v>0</v>
      </c>
      <c r="G844">
        <v>0.83333333333333337</v>
      </c>
      <c r="H844">
        <v>0</v>
      </c>
      <c r="I844">
        <v>0.16666666666666671</v>
      </c>
      <c r="J844">
        <v>0</v>
      </c>
      <c r="W844">
        <v>4.7764762020634493</v>
      </c>
      <c r="X844">
        <v>1</v>
      </c>
      <c r="Y844">
        <v>0.83333333333333337</v>
      </c>
      <c r="Z844" t="s">
        <v>23</v>
      </c>
    </row>
    <row r="845" spans="1:26" hidden="1" x14ac:dyDescent="0.2">
      <c r="A845">
        <v>53</v>
      </c>
      <c r="B845" t="s">
        <v>33</v>
      </c>
      <c r="C845" s="10">
        <v>10000033</v>
      </c>
      <c r="D845" t="b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0.46729128947773751</v>
      </c>
      <c r="M845">
        <v>0.53270871052226254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4.8515281530454173</v>
      </c>
      <c r="X845">
        <v>0.53270871052226254</v>
      </c>
      <c r="Y845">
        <v>0.46729128947773751</v>
      </c>
      <c r="Z845" t="s">
        <v>23</v>
      </c>
    </row>
    <row r="846" spans="1:26" hidden="1" x14ac:dyDescent="0.2">
      <c r="A846">
        <v>53</v>
      </c>
      <c r="B846" t="s">
        <v>33</v>
      </c>
      <c r="C846" s="10">
        <v>10000047</v>
      </c>
      <c r="D846" t="b">
        <v>0</v>
      </c>
      <c r="E846">
        <v>0.26666666666666672</v>
      </c>
      <c r="F846">
        <v>0</v>
      </c>
      <c r="G846">
        <v>0</v>
      </c>
      <c r="H846">
        <v>0</v>
      </c>
      <c r="I846">
        <v>0.14285714285714279</v>
      </c>
      <c r="J846">
        <v>0</v>
      </c>
      <c r="K846">
        <v>0.73333333333333328</v>
      </c>
      <c r="L846">
        <v>0.14285714285714279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3.7063976352025541</v>
      </c>
      <c r="X846">
        <v>0.73333333333333328</v>
      </c>
      <c r="Y846">
        <v>0.14285714285714279</v>
      </c>
      <c r="Z846" t="s">
        <v>23</v>
      </c>
    </row>
    <row r="847" spans="1:26" hidden="1" x14ac:dyDescent="0.2">
      <c r="A847">
        <v>53</v>
      </c>
      <c r="B847" t="s">
        <v>34</v>
      </c>
      <c r="C847" s="10">
        <v>10000082</v>
      </c>
      <c r="D847" t="b">
        <v>1</v>
      </c>
      <c r="F847">
        <v>0</v>
      </c>
      <c r="G847">
        <v>0.73333333333333328</v>
      </c>
      <c r="H847">
        <v>0</v>
      </c>
      <c r="I847">
        <v>0</v>
      </c>
      <c r="J847">
        <v>0</v>
      </c>
      <c r="W847">
        <v>4.6237987828453297</v>
      </c>
      <c r="X847">
        <v>1</v>
      </c>
      <c r="Y847">
        <v>0.73333333333333328</v>
      </c>
      <c r="Z847" t="s">
        <v>23</v>
      </c>
    </row>
    <row r="848" spans="1:26" hidden="1" x14ac:dyDescent="0.2">
      <c r="A848">
        <v>53</v>
      </c>
      <c r="B848" t="s">
        <v>33</v>
      </c>
      <c r="C848" s="10">
        <v>10000073</v>
      </c>
      <c r="D848" t="b">
        <v>0</v>
      </c>
      <c r="E848">
        <v>0.39216121170333001</v>
      </c>
      <c r="F848">
        <v>0</v>
      </c>
      <c r="G848">
        <v>0.60783878829666993</v>
      </c>
      <c r="H848">
        <v>0</v>
      </c>
      <c r="I848">
        <v>0.14285714285714279</v>
      </c>
      <c r="J848">
        <v>0</v>
      </c>
      <c r="K848">
        <v>0.16666666666666671</v>
      </c>
      <c r="L848">
        <v>0.14285714285714279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3.8359027895328812</v>
      </c>
      <c r="X848">
        <v>0.60783878829666993</v>
      </c>
      <c r="Y848">
        <v>0.14285714285714279</v>
      </c>
      <c r="Z848" t="s">
        <v>23</v>
      </c>
    </row>
    <row r="849" spans="1:26" hidden="1" x14ac:dyDescent="0.2">
      <c r="A849">
        <v>53</v>
      </c>
      <c r="B849" t="s">
        <v>34</v>
      </c>
      <c r="C849" s="10">
        <v>10000033</v>
      </c>
      <c r="D849" t="b">
        <v>0</v>
      </c>
      <c r="E849">
        <v>0</v>
      </c>
      <c r="F849">
        <v>0</v>
      </c>
      <c r="G849">
        <v>0</v>
      </c>
      <c r="H849">
        <v>0.73240996742260467</v>
      </c>
      <c r="I849">
        <v>0</v>
      </c>
      <c r="J849">
        <v>0.26759003257739528</v>
      </c>
      <c r="K849">
        <v>0</v>
      </c>
      <c r="L849">
        <v>0.1</v>
      </c>
      <c r="M849">
        <v>0.1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6.411760545981255</v>
      </c>
      <c r="X849">
        <v>0.1</v>
      </c>
      <c r="Y849">
        <v>0.73240996742260467</v>
      </c>
      <c r="Z849" t="s">
        <v>24</v>
      </c>
    </row>
    <row r="850" spans="1:26" hidden="1" x14ac:dyDescent="0.2">
      <c r="A850">
        <v>53</v>
      </c>
      <c r="B850" t="s">
        <v>35</v>
      </c>
      <c r="C850" s="10">
        <v>10000073</v>
      </c>
      <c r="D850" t="b">
        <v>0</v>
      </c>
      <c r="E850">
        <v>0.38710955477084019</v>
      </c>
      <c r="F850">
        <v>0</v>
      </c>
      <c r="G850">
        <v>0.6128904452291597</v>
      </c>
      <c r="H850">
        <v>0</v>
      </c>
      <c r="I850">
        <v>0.14285714285714279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3.8302219555417771</v>
      </c>
      <c r="X850">
        <v>0.6128904452291597</v>
      </c>
      <c r="Y850">
        <v>0.14285714285714279</v>
      </c>
      <c r="Z850" t="s">
        <v>23</v>
      </c>
    </row>
    <row r="851" spans="1:26" hidden="1" x14ac:dyDescent="0.2">
      <c r="A851">
        <v>54</v>
      </c>
      <c r="B851" t="s">
        <v>31</v>
      </c>
      <c r="C851" s="10">
        <v>10000033</v>
      </c>
      <c r="D851" t="b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0.30882977802696898</v>
      </c>
      <c r="Q851">
        <v>0</v>
      </c>
      <c r="R851">
        <v>7.4783677916585467E-2</v>
      </c>
      <c r="S851">
        <v>0</v>
      </c>
      <c r="T851">
        <v>7.4783677916585467E-2</v>
      </c>
      <c r="U851">
        <v>0</v>
      </c>
      <c r="V851">
        <v>0.69117022197303091</v>
      </c>
      <c r="W851">
        <v>6.4481048319520147</v>
      </c>
      <c r="X851">
        <v>7.4783677916585467E-2</v>
      </c>
      <c r="Y851">
        <v>0.69117022197303091</v>
      </c>
      <c r="Z851" t="s">
        <v>24</v>
      </c>
    </row>
    <row r="852" spans="1:26" hidden="1" x14ac:dyDescent="0.2">
      <c r="A852">
        <v>54</v>
      </c>
      <c r="B852" t="s">
        <v>29</v>
      </c>
      <c r="C852" s="10">
        <v>10000033</v>
      </c>
      <c r="D852" t="b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0.32008465110686468</v>
      </c>
      <c r="Q852">
        <v>0</v>
      </c>
      <c r="R852">
        <v>0.1788591835352803</v>
      </c>
      <c r="S852">
        <v>0</v>
      </c>
      <c r="T852">
        <v>0.1788591835352803</v>
      </c>
      <c r="U852">
        <v>0</v>
      </c>
      <c r="V852">
        <v>0.67991534889313532</v>
      </c>
      <c r="W852">
        <v>6.1447657691389619</v>
      </c>
      <c r="X852">
        <v>0.1788591835352803</v>
      </c>
      <c r="Y852">
        <v>0.67991534889313532</v>
      </c>
      <c r="Z852" t="s">
        <v>24</v>
      </c>
    </row>
    <row r="853" spans="1:26" hidden="1" x14ac:dyDescent="0.2">
      <c r="A853">
        <v>54</v>
      </c>
      <c r="B853" t="s">
        <v>27</v>
      </c>
      <c r="C853" s="10">
        <v>10000033</v>
      </c>
      <c r="D853" t="b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0.3068632118943872</v>
      </c>
      <c r="Q853">
        <v>0</v>
      </c>
      <c r="R853">
        <v>0.1788591835352803</v>
      </c>
      <c r="S853">
        <v>0</v>
      </c>
      <c r="T853">
        <v>0.1788591835352803</v>
      </c>
      <c r="U853">
        <v>0</v>
      </c>
      <c r="V853">
        <v>0.69313678810561274</v>
      </c>
      <c r="W853">
        <v>6.1592945195718496</v>
      </c>
      <c r="X853">
        <v>0.1788591835352803</v>
      </c>
      <c r="Y853">
        <v>0.69313678810561274</v>
      </c>
      <c r="Z853" t="s">
        <v>24</v>
      </c>
    </row>
    <row r="854" spans="1:26" hidden="1" x14ac:dyDescent="0.2">
      <c r="A854">
        <v>54</v>
      </c>
      <c r="B854" t="s">
        <v>34</v>
      </c>
      <c r="C854" s="10">
        <v>10000073</v>
      </c>
      <c r="D854" t="b">
        <v>1</v>
      </c>
      <c r="E854">
        <v>0</v>
      </c>
      <c r="F854">
        <v>0</v>
      </c>
      <c r="G854">
        <v>0</v>
      </c>
      <c r="H854">
        <v>0</v>
      </c>
      <c r="I854">
        <v>0.57502799878369659</v>
      </c>
      <c r="J854">
        <v>0.36813840413780557</v>
      </c>
      <c r="W854">
        <v>5.4843085495399242</v>
      </c>
      <c r="X854">
        <v>0.36813840413780557</v>
      </c>
      <c r="Y854">
        <v>0.57502799878369659</v>
      </c>
      <c r="Z854" t="s">
        <v>24</v>
      </c>
    </row>
    <row r="855" spans="1:26" hidden="1" x14ac:dyDescent="0.2">
      <c r="A855">
        <v>54</v>
      </c>
      <c r="B855" t="s">
        <v>33</v>
      </c>
      <c r="C855" s="10">
        <v>10000047</v>
      </c>
      <c r="D855" t="b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0.64047003577687811</v>
      </c>
      <c r="P855">
        <v>0</v>
      </c>
      <c r="Q855">
        <v>0.35952996422312178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5.6167874826371236</v>
      </c>
      <c r="X855">
        <v>0.35952996422312178</v>
      </c>
      <c r="Y855">
        <v>0.64047003577687811</v>
      </c>
      <c r="Z855" t="s">
        <v>24</v>
      </c>
    </row>
    <row r="856" spans="1:26" hidden="1" x14ac:dyDescent="0.2">
      <c r="A856">
        <v>54</v>
      </c>
      <c r="B856" t="s">
        <v>26</v>
      </c>
      <c r="C856" s="10">
        <v>10000073</v>
      </c>
      <c r="D856" t="b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0.43752264423168252</v>
      </c>
      <c r="P856">
        <v>0</v>
      </c>
      <c r="Q856">
        <v>0.3726484074406034</v>
      </c>
      <c r="R856">
        <v>0</v>
      </c>
      <c r="S856">
        <v>0.3726484074406034</v>
      </c>
      <c r="T856">
        <v>0</v>
      </c>
      <c r="U856">
        <v>0.56247735576831748</v>
      </c>
      <c r="V856">
        <v>0</v>
      </c>
      <c r="W856">
        <v>5.4495901227373569</v>
      </c>
      <c r="X856">
        <v>0.3726484074406034</v>
      </c>
      <c r="Y856">
        <v>0.56247735576831748</v>
      </c>
      <c r="Z856" t="s">
        <v>24</v>
      </c>
    </row>
    <row r="857" spans="1:26" hidden="1" x14ac:dyDescent="0.2">
      <c r="A857">
        <v>54</v>
      </c>
      <c r="B857" t="s">
        <v>35</v>
      </c>
      <c r="C857" s="10">
        <v>10000033</v>
      </c>
      <c r="D857" t="b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0.3</v>
      </c>
      <c r="M857">
        <v>0.22508421092133149</v>
      </c>
      <c r="N857">
        <v>0</v>
      </c>
      <c r="O857">
        <v>0</v>
      </c>
      <c r="P857">
        <v>0.32201730579901222</v>
      </c>
      <c r="Q857">
        <v>0</v>
      </c>
      <c r="R857">
        <v>0.22508421092133149</v>
      </c>
      <c r="S857">
        <v>0</v>
      </c>
      <c r="T857">
        <v>0.22508421092133149</v>
      </c>
      <c r="U857">
        <v>0</v>
      </c>
      <c r="V857">
        <v>0.67798269420098778</v>
      </c>
      <c r="W857">
        <v>6.0172241122526557</v>
      </c>
      <c r="X857">
        <v>0.22508421092133149</v>
      </c>
      <c r="Y857">
        <v>0.67798269420098778</v>
      </c>
      <c r="Z857" t="s">
        <v>24</v>
      </c>
    </row>
    <row r="858" spans="1:26" hidden="1" x14ac:dyDescent="0.2">
      <c r="A858">
        <v>54</v>
      </c>
      <c r="B858" t="s">
        <v>28</v>
      </c>
      <c r="C858" s="10">
        <v>10000033</v>
      </c>
      <c r="D858" t="b">
        <v>0</v>
      </c>
      <c r="E858">
        <v>0</v>
      </c>
      <c r="F858">
        <v>0</v>
      </c>
      <c r="G858">
        <v>0</v>
      </c>
      <c r="H858">
        <v>0.67100769778513913</v>
      </c>
      <c r="I858">
        <v>0</v>
      </c>
      <c r="J858">
        <v>0.32899230221486092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6.6542934359502492</v>
      </c>
      <c r="X858">
        <v>0</v>
      </c>
      <c r="Y858">
        <v>0.67100769778513913</v>
      </c>
      <c r="Z858" t="s">
        <v>24</v>
      </c>
    </row>
    <row r="859" spans="1:26" hidden="1" x14ac:dyDescent="0.2">
      <c r="A859">
        <v>54</v>
      </c>
      <c r="B859" t="s">
        <v>32</v>
      </c>
      <c r="C859" s="10">
        <v>10000033</v>
      </c>
      <c r="D859" t="b">
        <v>0</v>
      </c>
      <c r="E859">
        <v>0</v>
      </c>
      <c r="F859">
        <v>0</v>
      </c>
      <c r="G859">
        <v>0</v>
      </c>
      <c r="H859">
        <v>0.6758635179650383</v>
      </c>
      <c r="I859">
        <v>0</v>
      </c>
      <c r="J859">
        <v>0.3241364820349617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6.6570548645619487</v>
      </c>
      <c r="X859">
        <v>0</v>
      </c>
      <c r="Y859">
        <v>0.6758635179650383</v>
      </c>
      <c r="Z859" t="s">
        <v>24</v>
      </c>
    </row>
    <row r="860" spans="1:26" hidden="1" x14ac:dyDescent="0.2">
      <c r="A860">
        <v>54</v>
      </c>
      <c r="B860" t="s">
        <v>30</v>
      </c>
      <c r="C860" s="10">
        <v>10000073</v>
      </c>
      <c r="D860" t="b">
        <v>0</v>
      </c>
      <c r="E860">
        <v>0.45811641165074579</v>
      </c>
      <c r="F860">
        <v>0</v>
      </c>
      <c r="G860">
        <v>0.54188358834925421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3.4225270836311692</v>
      </c>
      <c r="X860">
        <v>0.54188358834925421</v>
      </c>
      <c r="Y860">
        <v>0</v>
      </c>
      <c r="Z860" t="s">
        <v>23</v>
      </c>
    </row>
    <row r="861" spans="1:26" hidden="1" x14ac:dyDescent="0.2">
      <c r="A861">
        <v>54</v>
      </c>
      <c r="B861" t="s">
        <v>30</v>
      </c>
      <c r="C861" s="10">
        <v>10000033</v>
      </c>
      <c r="D861" t="b">
        <v>0</v>
      </c>
      <c r="E861">
        <v>0</v>
      </c>
      <c r="F861">
        <v>0</v>
      </c>
      <c r="G861">
        <v>0</v>
      </c>
      <c r="H861">
        <v>0.66738103258053727</v>
      </c>
      <c r="I861">
        <v>0</v>
      </c>
      <c r="J861">
        <v>0.33261896741946267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6.65222760493553</v>
      </c>
      <c r="X861">
        <v>0</v>
      </c>
      <c r="Y861">
        <v>0.66738103258053727</v>
      </c>
      <c r="Z861" t="s">
        <v>24</v>
      </c>
    </row>
    <row r="862" spans="1:26" hidden="1" x14ac:dyDescent="0.2">
      <c r="A862">
        <v>55</v>
      </c>
      <c r="B862" t="s">
        <v>28</v>
      </c>
      <c r="C862" s="10">
        <v>10000047</v>
      </c>
      <c r="D862" t="b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0.80627399161262148</v>
      </c>
      <c r="P862">
        <v>0</v>
      </c>
      <c r="Q862">
        <v>0.1937260083873785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6.2372542401215449</v>
      </c>
      <c r="X862">
        <v>0.1937260083873785</v>
      </c>
      <c r="Y862">
        <v>0.80627399161262148</v>
      </c>
      <c r="Z862" t="s">
        <v>24</v>
      </c>
    </row>
    <row r="863" spans="1:26" hidden="1" x14ac:dyDescent="0.2">
      <c r="A863">
        <v>55</v>
      </c>
      <c r="B863" t="s">
        <v>29</v>
      </c>
      <c r="C863" s="10">
        <v>10000082</v>
      </c>
      <c r="D863" t="b">
        <v>1</v>
      </c>
      <c r="F863">
        <v>0</v>
      </c>
      <c r="G863">
        <v>0</v>
      </c>
      <c r="H863">
        <v>0</v>
      </c>
      <c r="I863">
        <v>0</v>
      </c>
      <c r="J863">
        <v>0.79543240226363565</v>
      </c>
      <c r="W863">
        <v>3.1666666666666679</v>
      </c>
      <c r="X863">
        <v>1</v>
      </c>
      <c r="Y863">
        <v>0</v>
      </c>
      <c r="Z863" t="s">
        <v>23</v>
      </c>
    </row>
    <row r="864" spans="1:26" hidden="1" x14ac:dyDescent="0.2">
      <c r="A864">
        <v>55</v>
      </c>
      <c r="B864" t="s">
        <v>26</v>
      </c>
      <c r="C864" s="10">
        <v>10000082</v>
      </c>
      <c r="D864" t="b">
        <v>1</v>
      </c>
      <c r="F864">
        <v>0</v>
      </c>
      <c r="G864">
        <v>0</v>
      </c>
      <c r="H864">
        <v>0</v>
      </c>
      <c r="I864">
        <v>0</v>
      </c>
      <c r="J864">
        <v>0.79543240226363565</v>
      </c>
      <c r="W864">
        <v>3.1666666666666679</v>
      </c>
      <c r="X864">
        <v>1</v>
      </c>
      <c r="Y864">
        <v>0</v>
      </c>
      <c r="Z864" t="s">
        <v>23</v>
      </c>
    </row>
    <row r="865" spans="1:26" hidden="1" x14ac:dyDescent="0.2">
      <c r="A865">
        <v>55</v>
      </c>
      <c r="B865" t="s">
        <v>26</v>
      </c>
      <c r="C865" s="10">
        <v>10000033</v>
      </c>
      <c r="D865" t="b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0.31724098379583748</v>
      </c>
      <c r="Q865">
        <v>0</v>
      </c>
      <c r="R865">
        <v>0.1218840269090025</v>
      </c>
      <c r="S865">
        <v>0</v>
      </c>
      <c r="T865">
        <v>0.1218840269090025</v>
      </c>
      <c r="U865">
        <v>0</v>
      </c>
      <c r="V865">
        <v>0.68275901620416246</v>
      </c>
      <c r="W865">
        <v>6.30654884033948</v>
      </c>
      <c r="X865">
        <v>0.1218840269090025</v>
      </c>
      <c r="Y865">
        <v>0.68275901620416246</v>
      </c>
      <c r="Z865" t="s">
        <v>24</v>
      </c>
    </row>
    <row r="866" spans="1:26" hidden="1" x14ac:dyDescent="0.2">
      <c r="A866">
        <v>55</v>
      </c>
      <c r="B866" t="s">
        <v>31</v>
      </c>
      <c r="C866" s="10">
        <v>10000033</v>
      </c>
      <c r="D866" t="b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0.31282988173054038</v>
      </c>
      <c r="Q866">
        <v>0</v>
      </c>
      <c r="R866">
        <v>0.1218840269090025</v>
      </c>
      <c r="S866">
        <v>0</v>
      </c>
      <c r="T866">
        <v>0.1218840269090025</v>
      </c>
      <c r="U866">
        <v>0</v>
      </c>
      <c r="V866">
        <v>0.68717011826945962</v>
      </c>
      <c r="W866">
        <v>6.3107397086531609</v>
      </c>
      <c r="X866">
        <v>0.1218840269090025</v>
      </c>
      <c r="Y866">
        <v>0.68717011826945962</v>
      </c>
      <c r="Z866" t="s">
        <v>24</v>
      </c>
    </row>
    <row r="867" spans="1:26" hidden="1" x14ac:dyDescent="0.2">
      <c r="A867">
        <v>55</v>
      </c>
      <c r="B867" t="s">
        <v>29</v>
      </c>
      <c r="C867" s="10">
        <v>10000033</v>
      </c>
      <c r="D867" t="b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0.31189966584288009</v>
      </c>
      <c r="Q867">
        <v>0</v>
      </c>
      <c r="R867">
        <v>0.1218840269090025</v>
      </c>
      <c r="S867">
        <v>0</v>
      </c>
      <c r="T867">
        <v>0.1218840269090025</v>
      </c>
      <c r="U867">
        <v>0</v>
      </c>
      <c r="V867">
        <v>0.68810033415711991</v>
      </c>
      <c r="W867">
        <v>6.311619448014695</v>
      </c>
      <c r="X867">
        <v>0.1218840269090025</v>
      </c>
      <c r="Y867">
        <v>0.68810033415711991</v>
      </c>
      <c r="Z867" t="s">
        <v>24</v>
      </c>
    </row>
    <row r="868" spans="1:26" hidden="1" x14ac:dyDescent="0.2">
      <c r="A868">
        <v>55</v>
      </c>
      <c r="B868" t="s">
        <v>30</v>
      </c>
      <c r="C868" s="10">
        <v>10000073</v>
      </c>
      <c r="D868" t="b">
        <v>1</v>
      </c>
      <c r="E868">
        <v>0</v>
      </c>
      <c r="F868">
        <v>0</v>
      </c>
      <c r="G868">
        <v>0</v>
      </c>
      <c r="H868">
        <v>0</v>
      </c>
      <c r="I868">
        <v>0.56709060593052285</v>
      </c>
      <c r="J868">
        <v>0.35913495949348112</v>
      </c>
      <c r="W868">
        <v>5.4933697543240996</v>
      </c>
      <c r="X868">
        <v>0.35913495949348112</v>
      </c>
      <c r="Y868">
        <v>0.56709060593052285</v>
      </c>
      <c r="Z868" t="s">
        <v>24</v>
      </c>
    </row>
    <row r="869" spans="1:26" hidden="1" x14ac:dyDescent="0.2">
      <c r="A869">
        <v>55</v>
      </c>
      <c r="B869" t="s">
        <v>27</v>
      </c>
      <c r="C869" s="10">
        <v>10000033</v>
      </c>
      <c r="D869" t="b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0.1052631578947367</v>
      </c>
      <c r="Q869">
        <v>0.29038863152329858</v>
      </c>
      <c r="R869">
        <v>0.1052631578947367</v>
      </c>
      <c r="S869">
        <v>0</v>
      </c>
      <c r="T869">
        <v>0.26638788910975469</v>
      </c>
      <c r="U869">
        <v>0</v>
      </c>
      <c r="V869">
        <v>0.70961136847670137</v>
      </c>
      <c r="W869">
        <v>5.8885135644996902</v>
      </c>
      <c r="X869">
        <v>0.29038863152329858</v>
      </c>
      <c r="Y869">
        <v>0.70961136847670137</v>
      </c>
      <c r="Z869" t="s">
        <v>24</v>
      </c>
    </row>
    <row r="870" spans="1:26" hidden="1" x14ac:dyDescent="0.2">
      <c r="A870">
        <v>55</v>
      </c>
      <c r="B870" t="s">
        <v>34</v>
      </c>
      <c r="C870" s="10">
        <v>10000047</v>
      </c>
      <c r="D870" t="b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0.6895588124579608</v>
      </c>
      <c r="P870">
        <v>0</v>
      </c>
      <c r="Q870">
        <v>0.31044118754203931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5.811678009163189</v>
      </c>
      <c r="X870">
        <v>0.31044118754203931</v>
      </c>
      <c r="Y870">
        <v>0.6895588124579608</v>
      </c>
      <c r="Z870" t="s">
        <v>24</v>
      </c>
    </row>
    <row r="871" spans="1:26" hidden="1" x14ac:dyDescent="0.2">
      <c r="A871">
        <v>55</v>
      </c>
      <c r="B871" t="s">
        <v>34</v>
      </c>
      <c r="C871" s="10">
        <v>10000082</v>
      </c>
      <c r="D871" t="b">
        <v>1</v>
      </c>
      <c r="F871">
        <v>0</v>
      </c>
      <c r="G871">
        <v>0</v>
      </c>
      <c r="H871">
        <v>0</v>
      </c>
      <c r="I871">
        <v>0</v>
      </c>
      <c r="J871">
        <v>0.6597627765689581</v>
      </c>
      <c r="W871">
        <v>3.1666666666666679</v>
      </c>
      <c r="X871">
        <v>1</v>
      </c>
      <c r="Y871">
        <v>0</v>
      </c>
      <c r="Z871" t="s">
        <v>23</v>
      </c>
    </row>
    <row r="872" spans="1:26" hidden="1" x14ac:dyDescent="0.2">
      <c r="A872">
        <v>55</v>
      </c>
      <c r="B872" t="s">
        <v>33</v>
      </c>
      <c r="C872" s="10">
        <v>10000033</v>
      </c>
      <c r="D872" t="b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0.31833794139775318</v>
      </c>
      <c r="Q872">
        <v>0.31833794139775318</v>
      </c>
      <c r="R872">
        <v>0.29860921491715881</v>
      </c>
      <c r="S872">
        <v>0</v>
      </c>
      <c r="T872">
        <v>0.29860921491715881</v>
      </c>
      <c r="U872">
        <v>0</v>
      </c>
      <c r="V872">
        <v>0.5</v>
      </c>
      <c r="W872">
        <v>5.4776004594377392</v>
      </c>
      <c r="X872">
        <v>0.31833794139775318</v>
      </c>
      <c r="Y872">
        <v>0.5</v>
      </c>
      <c r="Z872" t="s">
        <v>24</v>
      </c>
    </row>
    <row r="873" spans="1:26" hidden="1" x14ac:dyDescent="0.2">
      <c r="A873">
        <v>55</v>
      </c>
      <c r="B873" t="s">
        <v>32</v>
      </c>
      <c r="C873" s="10">
        <v>10000073</v>
      </c>
      <c r="D873" t="b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0.4425944923229308</v>
      </c>
      <c r="P873">
        <v>0.39234638348876621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0.5574055076770692</v>
      </c>
      <c r="W873">
        <v>6.5889979189010726</v>
      </c>
      <c r="X873">
        <v>0</v>
      </c>
      <c r="Y873">
        <v>0.5574055076770692</v>
      </c>
      <c r="Z873" t="s">
        <v>24</v>
      </c>
    </row>
    <row r="874" spans="1:26" hidden="1" x14ac:dyDescent="0.2">
      <c r="A874">
        <v>55</v>
      </c>
      <c r="B874" t="s">
        <v>35</v>
      </c>
      <c r="C874" s="10">
        <v>10000033</v>
      </c>
      <c r="D874" t="b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0.66666666666666652</v>
      </c>
      <c r="M874">
        <v>0.30001321962979921</v>
      </c>
      <c r="N874">
        <v>0</v>
      </c>
      <c r="O874">
        <v>0</v>
      </c>
      <c r="P874">
        <v>0.1</v>
      </c>
      <c r="Q874">
        <v>0.1</v>
      </c>
      <c r="R874">
        <v>0.1</v>
      </c>
      <c r="S874">
        <v>0</v>
      </c>
      <c r="T874">
        <v>0.1</v>
      </c>
      <c r="U874">
        <v>0</v>
      </c>
      <c r="V874">
        <v>0.1</v>
      </c>
      <c r="W874">
        <v>5.8061964653140459</v>
      </c>
      <c r="X874">
        <v>0.30001321962979921</v>
      </c>
      <c r="Y874">
        <v>0.66666666666666652</v>
      </c>
      <c r="Z874" t="s">
        <v>24</v>
      </c>
    </row>
    <row r="875" spans="1:26" hidden="1" x14ac:dyDescent="0.2">
      <c r="A875">
        <v>56</v>
      </c>
      <c r="B875" t="s">
        <v>33</v>
      </c>
      <c r="C875" s="10">
        <v>10000082</v>
      </c>
      <c r="D875" t="b">
        <v>1</v>
      </c>
      <c r="F875">
        <v>0</v>
      </c>
      <c r="G875">
        <v>0</v>
      </c>
      <c r="H875">
        <v>0</v>
      </c>
      <c r="I875">
        <v>0.71626941066039385</v>
      </c>
      <c r="J875">
        <v>0.28373058933960621</v>
      </c>
      <c r="W875">
        <v>4.5964657969725753</v>
      </c>
      <c r="X875">
        <v>1</v>
      </c>
      <c r="Y875">
        <v>0.71626941066039385</v>
      </c>
      <c r="Z875" t="s">
        <v>23</v>
      </c>
    </row>
    <row r="876" spans="1:26" hidden="1" x14ac:dyDescent="0.2">
      <c r="A876">
        <v>56</v>
      </c>
      <c r="B876" t="s">
        <v>33</v>
      </c>
      <c r="C876" s="10">
        <v>10000033</v>
      </c>
      <c r="D876" t="b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0.30882977802696898</v>
      </c>
      <c r="Q876">
        <v>0</v>
      </c>
      <c r="R876">
        <v>4.1586883002056187E-2</v>
      </c>
      <c r="S876">
        <v>0</v>
      </c>
      <c r="T876">
        <v>4.1586883002056187E-2</v>
      </c>
      <c r="U876">
        <v>0</v>
      </c>
      <c r="V876">
        <v>0.69117022197303091</v>
      </c>
      <c r="W876">
        <v>6.5439485329172156</v>
      </c>
      <c r="X876">
        <v>4.1586883002056187E-2</v>
      </c>
      <c r="Y876">
        <v>0.69117022197303091</v>
      </c>
      <c r="Z876" t="s">
        <v>24</v>
      </c>
    </row>
    <row r="877" spans="1:26" hidden="1" x14ac:dyDescent="0.2">
      <c r="A877">
        <v>56</v>
      </c>
      <c r="B877" t="s">
        <v>31</v>
      </c>
      <c r="C877" s="10">
        <v>10000073</v>
      </c>
      <c r="D877" t="b">
        <v>1</v>
      </c>
      <c r="E877">
        <v>0</v>
      </c>
      <c r="F877">
        <v>0</v>
      </c>
      <c r="G877">
        <v>0</v>
      </c>
      <c r="H877">
        <v>0</v>
      </c>
      <c r="I877">
        <v>0.56322608568031973</v>
      </c>
      <c r="J877">
        <v>0.2479755032494291</v>
      </c>
      <c r="W877">
        <v>5.794847605725403</v>
      </c>
      <c r="X877">
        <v>0.2479755032494291</v>
      </c>
      <c r="Y877">
        <v>0.56322608568031973</v>
      </c>
      <c r="Z877" t="s">
        <v>24</v>
      </c>
    </row>
    <row r="878" spans="1:26" hidden="1" x14ac:dyDescent="0.2">
      <c r="A878">
        <v>56</v>
      </c>
      <c r="B878" t="s">
        <v>27</v>
      </c>
      <c r="C878" s="10">
        <v>10000033</v>
      </c>
      <c r="D878" t="b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0.33479807688787538</v>
      </c>
      <c r="Q878">
        <v>0.33333333333333348</v>
      </c>
      <c r="R878">
        <v>0.14833622067652599</v>
      </c>
      <c r="S878">
        <v>0</v>
      </c>
      <c r="T878">
        <v>0.14833622067652599</v>
      </c>
      <c r="U878">
        <v>0</v>
      </c>
      <c r="V878">
        <v>0.66520192311212467</v>
      </c>
      <c r="W878">
        <v>5.7198526590651424</v>
      </c>
      <c r="X878">
        <v>0.33333333333333348</v>
      </c>
      <c r="Y878">
        <v>0.66520192311212467</v>
      </c>
      <c r="Z878" t="s">
        <v>24</v>
      </c>
    </row>
    <row r="879" spans="1:26" hidden="1" x14ac:dyDescent="0.2">
      <c r="A879">
        <v>56</v>
      </c>
      <c r="B879" t="s">
        <v>32</v>
      </c>
      <c r="C879" s="10">
        <v>10000033</v>
      </c>
      <c r="D879" t="b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0.35477978718954267</v>
      </c>
      <c r="Q879">
        <v>0</v>
      </c>
      <c r="R879">
        <v>0.14833622067652599</v>
      </c>
      <c r="S879">
        <v>0</v>
      </c>
      <c r="T879">
        <v>0.14833622067652599</v>
      </c>
      <c r="U879">
        <v>0</v>
      </c>
      <c r="V879">
        <v>0.64522021281045727</v>
      </c>
      <c r="W879">
        <v>6.1927611341133861</v>
      </c>
      <c r="X879">
        <v>0.14833622067652599</v>
      </c>
      <c r="Y879">
        <v>0.64522021281045727</v>
      </c>
      <c r="Z879" t="s">
        <v>24</v>
      </c>
    </row>
    <row r="880" spans="1:26" hidden="1" x14ac:dyDescent="0.2">
      <c r="A880">
        <v>56</v>
      </c>
      <c r="B880" t="s">
        <v>29</v>
      </c>
      <c r="C880" s="10">
        <v>10000047</v>
      </c>
      <c r="D880" t="b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0.7673114339111109</v>
      </c>
      <c r="P880">
        <v>0</v>
      </c>
      <c r="Q880">
        <v>0.2326885660888891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6.1009138432374304</v>
      </c>
      <c r="X880">
        <v>0.2326885660888891</v>
      </c>
      <c r="Y880">
        <v>0.7673114339111109</v>
      </c>
      <c r="Z880" t="s">
        <v>24</v>
      </c>
    </row>
    <row r="881" spans="1:26" hidden="1" x14ac:dyDescent="0.2">
      <c r="A881">
        <v>56</v>
      </c>
      <c r="B881" t="s">
        <v>28</v>
      </c>
      <c r="C881" s="10">
        <v>10000033</v>
      </c>
      <c r="D881" t="b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0.36365307373040778</v>
      </c>
      <c r="Q881">
        <v>0</v>
      </c>
      <c r="R881">
        <v>0.15537396681629301</v>
      </c>
      <c r="S881">
        <v>0</v>
      </c>
      <c r="T881">
        <v>0.15537396681629301</v>
      </c>
      <c r="U881">
        <v>0</v>
      </c>
      <c r="V881">
        <v>0.63634692626959222</v>
      </c>
      <c r="W881">
        <v>6.1625969104907616</v>
      </c>
      <c r="X881">
        <v>0.15537396681629301</v>
      </c>
      <c r="Y881">
        <v>0.63634692626959222</v>
      </c>
      <c r="Z881" t="s">
        <v>24</v>
      </c>
    </row>
    <row r="882" spans="1:26" hidden="1" x14ac:dyDescent="0.2">
      <c r="A882">
        <v>56</v>
      </c>
      <c r="B882" t="s">
        <v>35</v>
      </c>
      <c r="C882" s="10">
        <v>10000073</v>
      </c>
      <c r="D882" t="b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0.47274344766879389</v>
      </c>
      <c r="P882">
        <v>0</v>
      </c>
      <c r="Q882">
        <v>0.35706941991536018</v>
      </c>
      <c r="R882">
        <v>0</v>
      </c>
      <c r="S882">
        <v>0.35706941991536018</v>
      </c>
      <c r="T882">
        <v>0</v>
      </c>
      <c r="U882">
        <v>0.52725655233120605</v>
      </c>
      <c r="V882">
        <v>0</v>
      </c>
      <c r="W882">
        <v>5.4234043691569083</v>
      </c>
      <c r="X882">
        <v>0.35706941991536018</v>
      </c>
      <c r="Y882">
        <v>0.52725655233120605</v>
      </c>
      <c r="Z882" t="s">
        <v>24</v>
      </c>
    </row>
    <row r="883" spans="1:26" hidden="1" x14ac:dyDescent="0.2">
      <c r="A883">
        <v>56</v>
      </c>
      <c r="B883" t="s">
        <v>26</v>
      </c>
      <c r="C883" s="10">
        <v>10000033</v>
      </c>
      <c r="D883" t="b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0.32381838110724848</v>
      </c>
      <c r="Q883">
        <v>0</v>
      </c>
      <c r="R883">
        <v>0.32381838110724848</v>
      </c>
      <c r="S883">
        <v>0</v>
      </c>
      <c r="T883">
        <v>0.45551384486354268</v>
      </c>
      <c r="U883">
        <v>0</v>
      </c>
      <c r="V883">
        <v>0.54448615513645715</v>
      </c>
      <c r="W883">
        <v>5.2065104479163962</v>
      </c>
      <c r="X883">
        <v>0.45551384486354268</v>
      </c>
      <c r="Y883">
        <v>0.54448615513645715</v>
      </c>
      <c r="Z883" t="s">
        <v>24</v>
      </c>
    </row>
    <row r="884" spans="1:26" hidden="1" x14ac:dyDescent="0.2">
      <c r="A884">
        <v>56</v>
      </c>
      <c r="B884" t="s">
        <v>34</v>
      </c>
      <c r="C884" s="10">
        <v>10000073</v>
      </c>
      <c r="D884" t="b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0.55778020093052449</v>
      </c>
      <c r="L884">
        <v>0</v>
      </c>
      <c r="M884">
        <v>0</v>
      </c>
      <c r="N884">
        <v>0</v>
      </c>
      <c r="O884">
        <v>3.3333333333333333E-2</v>
      </c>
      <c r="P884">
        <v>0</v>
      </c>
      <c r="Q884">
        <v>3.3333333333333333E-2</v>
      </c>
      <c r="R884">
        <v>0</v>
      </c>
      <c r="S884">
        <v>3.3333333333333333E-2</v>
      </c>
      <c r="T884">
        <v>0</v>
      </c>
      <c r="U884">
        <v>3.3333333333333333E-2</v>
      </c>
      <c r="V884">
        <v>0</v>
      </c>
      <c r="W884">
        <v>3.5296741225921568</v>
      </c>
      <c r="X884">
        <v>0.55778020093052449</v>
      </c>
      <c r="Y884">
        <v>3.3333333333333333E-2</v>
      </c>
      <c r="Z884" t="s">
        <v>23</v>
      </c>
    </row>
    <row r="885" spans="1:26" hidden="1" x14ac:dyDescent="0.2">
      <c r="A885">
        <v>56</v>
      </c>
      <c r="B885" t="s">
        <v>30</v>
      </c>
      <c r="C885" s="10">
        <v>10000033</v>
      </c>
      <c r="D885" t="b">
        <v>0</v>
      </c>
      <c r="E885">
        <v>0</v>
      </c>
      <c r="F885">
        <v>0</v>
      </c>
      <c r="G885">
        <v>0</v>
      </c>
      <c r="H885">
        <v>0.2</v>
      </c>
      <c r="I885">
        <v>0</v>
      </c>
      <c r="J885">
        <v>0.2</v>
      </c>
      <c r="K885">
        <v>0</v>
      </c>
      <c r="L885">
        <v>0.5307310759575391</v>
      </c>
      <c r="M885">
        <v>0.46926892404246101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5.1443997028278554</v>
      </c>
      <c r="X885">
        <v>0.46926892404246101</v>
      </c>
      <c r="Y885">
        <v>0.5307310759575391</v>
      </c>
      <c r="Z885" t="s">
        <v>24</v>
      </c>
    </row>
    <row r="886" spans="1:26" hidden="1" x14ac:dyDescent="0.2">
      <c r="A886">
        <v>56</v>
      </c>
      <c r="B886" t="s">
        <v>34</v>
      </c>
      <c r="C886" s="10">
        <v>10000082</v>
      </c>
      <c r="D886" t="b">
        <v>1</v>
      </c>
      <c r="F886">
        <v>0</v>
      </c>
      <c r="G886">
        <v>0.63098582752543309</v>
      </c>
      <c r="H886">
        <v>0</v>
      </c>
      <c r="I886">
        <v>0</v>
      </c>
      <c r="J886">
        <v>0</v>
      </c>
      <c r="W886">
        <v>4.4543250851868716</v>
      </c>
      <c r="X886">
        <v>1</v>
      </c>
      <c r="Y886">
        <v>0.63098582752543309</v>
      </c>
      <c r="Z886" t="s">
        <v>23</v>
      </c>
    </row>
    <row r="887" spans="1:26" hidden="1" x14ac:dyDescent="0.2">
      <c r="A887">
        <v>56</v>
      </c>
      <c r="B887" t="s">
        <v>34</v>
      </c>
      <c r="C887" s="10">
        <v>10000033</v>
      </c>
      <c r="D887" t="b">
        <v>0</v>
      </c>
      <c r="E887">
        <v>0</v>
      </c>
      <c r="F887">
        <v>0</v>
      </c>
      <c r="G887">
        <v>0</v>
      </c>
      <c r="H887">
        <v>0.56666666666666665</v>
      </c>
      <c r="I887">
        <v>0</v>
      </c>
      <c r="J887">
        <v>0.3160545859550607</v>
      </c>
      <c r="K887">
        <v>0</v>
      </c>
      <c r="L887">
        <v>0.43333333333333329</v>
      </c>
      <c r="M887">
        <v>0.43333333333333329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5.3048761689826343</v>
      </c>
      <c r="X887">
        <v>0.43333333333333329</v>
      </c>
      <c r="Y887">
        <v>0.56666666666666665</v>
      </c>
      <c r="Z887" t="s">
        <v>24</v>
      </c>
    </row>
    <row r="888" spans="1:26" hidden="1" x14ac:dyDescent="0.2">
      <c r="A888">
        <v>57</v>
      </c>
      <c r="B888" t="s">
        <v>27</v>
      </c>
      <c r="C888" s="10">
        <v>10000047</v>
      </c>
      <c r="D888" t="b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0.78724226594732827</v>
      </c>
      <c r="P888">
        <v>0</v>
      </c>
      <c r="Q888">
        <v>0.2127577340526717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6.1713573422591077</v>
      </c>
      <c r="X888">
        <v>0.2127577340526717</v>
      </c>
      <c r="Y888">
        <v>0.78724226594732827</v>
      </c>
      <c r="Z888" t="s">
        <v>24</v>
      </c>
    </row>
    <row r="889" spans="1:26" hidden="1" x14ac:dyDescent="0.2">
      <c r="A889">
        <v>57</v>
      </c>
      <c r="B889" t="s">
        <v>27</v>
      </c>
      <c r="C889" s="10">
        <v>10000073</v>
      </c>
      <c r="D889" t="b">
        <v>1</v>
      </c>
      <c r="E889">
        <v>0</v>
      </c>
      <c r="F889">
        <v>0</v>
      </c>
      <c r="G889">
        <v>0</v>
      </c>
      <c r="H889">
        <v>0</v>
      </c>
      <c r="I889">
        <v>0.56863916504108691</v>
      </c>
      <c r="J889">
        <v>0.24229898465959199</v>
      </c>
      <c r="W889">
        <v>5.8197867125047571</v>
      </c>
      <c r="X889">
        <v>0.24229898465959199</v>
      </c>
      <c r="Y889">
        <v>0.56863916504108691</v>
      </c>
      <c r="Z889" t="s">
        <v>24</v>
      </c>
    </row>
    <row r="890" spans="1:26" hidden="1" x14ac:dyDescent="0.2">
      <c r="A890">
        <v>57</v>
      </c>
      <c r="B890" t="s">
        <v>27</v>
      </c>
      <c r="C890" s="10">
        <v>10000082</v>
      </c>
      <c r="D890" t="b">
        <v>1</v>
      </c>
      <c r="F890">
        <v>0</v>
      </c>
      <c r="G890">
        <v>0</v>
      </c>
      <c r="H890">
        <v>0</v>
      </c>
      <c r="I890">
        <v>0.99819879123979716</v>
      </c>
      <c r="J890">
        <v>0.23955106000941931</v>
      </c>
      <c r="W890">
        <v>5.0002457511435514</v>
      </c>
      <c r="X890">
        <v>1</v>
      </c>
      <c r="Y890">
        <v>0.99819879123979716</v>
      </c>
      <c r="Z890" t="s">
        <v>23</v>
      </c>
    </row>
    <row r="891" spans="1:26" hidden="1" x14ac:dyDescent="0.2">
      <c r="A891">
        <v>57</v>
      </c>
      <c r="B891" t="s">
        <v>34</v>
      </c>
      <c r="C891" s="10">
        <v>10000073</v>
      </c>
      <c r="D891" t="b">
        <v>1</v>
      </c>
      <c r="E891">
        <v>0</v>
      </c>
      <c r="F891">
        <v>0</v>
      </c>
      <c r="G891">
        <v>0</v>
      </c>
      <c r="H891">
        <v>0</v>
      </c>
      <c r="I891">
        <v>0.56047893579271035</v>
      </c>
      <c r="J891">
        <v>0.24371031388936079</v>
      </c>
      <c r="W891">
        <v>5.8030411814921017</v>
      </c>
      <c r="X891">
        <v>0.24371031388936079</v>
      </c>
      <c r="Y891">
        <v>0.56047893579271035</v>
      </c>
      <c r="Z891" t="s">
        <v>24</v>
      </c>
    </row>
    <row r="892" spans="1:26" hidden="1" x14ac:dyDescent="0.2">
      <c r="A892">
        <v>57</v>
      </c>
      <c r="B892" t="s">
        <v>35</v>
      </c>
      <c r="C892" s="10">
        <v>10000082</v>
      </c>
      <c r="D892" t="b">
        <v>1</v>
      </c>
      <c r="F892">
        <v>0</v>
      </c>
      <c r="G892">
        <v>0</v>
      </c>
      <c r="H892">
        <v>0</v>
      </c>
      <c r="I892">
        <v>0.99774088712488551</v>
      </c>
      <c r="J892">
        <v>0.21965950799765729</v>
      </c>
      <c r="W892">
        <v>4.9996719212464109</v>
      </c>
      <c r="X892">
        <v>1</v>
      </c>
      <c r="Y892">
        <v>0.99774088712488551</v>
      </c>
      <c r="Z892" t="s">
        <v>23</v>
      </c>
    </row>
    <row r="893" spans="1:26" hidden="1" x14ac:dyDescent="0.2">
      <c r="A893">
        <v>57</v>
      </c>
      <c r="B893" t="s">
        <v>35</v>
      </c>
      <c r="C893" s="10">
        <v>10000033</v>
      </c>
      <c r="D893" t="b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0.32316191128616178</v>
      </c>
      <c r="Q893">
        <v>0</v>
      </c>
      <c r="R893">
        <v>0.1216385058836294</v>
      </c>
      <c r="S893">
        <v>0</v>
      </c>
      <c r="T893">
        <v>0.1216385058836294</v>
      </c>
      <c r="U893">
        <v>0</v>
      </c>
      <c r="V893">
        <v>0.67683808871383822</v>
      </c>
      <c r="W893">
        <v>6.3015844891874018</v>
      </c>
      <c r="X893">
        <v>0.1216385058836294</v>
      </c>
      <c r="Y893">
        <v>0.67683808871383822</v>
      </c>
      <c r="Z893" t="s">
        <v>24</v>
      </c>
    </row>
    <row r="894" spans="1:26" hidden="1" x14ac:dyDescent="0.2">
      <c r="A894">
        <v>57</v>
      </c>
      <c r="B894" t="s">
        <v>28</v>
      </c>
      <c r="C894" s="10">
        <v>10000033</v>
      </c>
      <c r="D894" t="b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0.31780786992273541</v>
      </c>
      <c r="Q894">
        <v>0</v>
      </c>
      <c r="R894">
        <v>0.1840580443130887</v>
      </c>
      <c r="S894">
        <v>0</v>
      </c>
      <c r="T894">
        <v>0.1840580443130887</v>
      </c>
      <c r="U894">
        <v>0</v>
      </c>
      <c r="V894">
        <v>0.68219213007726465</v>
      </c>
      <c r="W894">
        <v>6.1330631475456059</v>
      </c>
      <c r="X894">
        <v>0.1840580443130887</v>
      </c>
      <c r="Y894">
        <v>0.68219213007726465</v>
      </c>
      <c r="Z894" t="s">
        <v>24</v>
      </c>
    </row>
    <row r="895" spans="1:26" hidden="1" x14ac:dyDescent="0.2">
      <c r="A895">
        <v>57</v>
      </c>
      <c r="B895" t="s">
        <v>26</v>
      </c>
      <c r="C895" s="10">
        <v>10000082</v>
      </c>
      <c r="D895" t="b">
        <v>1</v>
      </c>
      <c r="F895">
        <v>0</v>
      </c>
      <c r="G895">
        <v>0</v>
      </c>
      <c r="H895">
        <v>0</v>
      </c>
      <c r="I895">
        <v>0.97694028439923586</v>
      </c>
      <c r="J895">
        <v>0.438951479422383</v>
      </c>
      <c r="W895">
        <v>4.9733279174849487</v>
      </c>
      <c r="X895">
        <v>1</v>
      </c>
      <c r="Y895">
        <v>0.97694028439923586</v>
      </c>
      <c r="Z895" t="s">
        <v>23</v>
      </c>
    </row>
    <row r="896" spans="1:26" hidden="1" x14ac:dyDescent="0.2">
      <c r="A896">
        <v>57</v>
      </c>
      <c r="B896" t="s">
        <v>26</v>
      </c>
      <c r="C896" s="10">
        <v>10000033</v>
      </c>
      <c r="D896" t="b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0.32036392358068511</v>
      </c>
      <c r="Q896">
        <v>0</v>
      </c>
      <c r="R896">
        <v>0.1840580443130887</v>
      </c>
      <c r="S896">
        <v>0</v>
      </c>
      <c r="T896">
        <v>0.1840580443130887</v>
      </c>
      <c r="U896">
        <v>0</v>
      </c>
      <c r="V896">
        <v>0.67963607641931501</v>
      </c>
      <c r="W896">
        <v>6.1301975140247773</v>
      </c>
      <c r="X896">
        <v>0.1840580443130887</v>
      </c>
      <c r="Y896">
        <v>0.67963607641931501</v>
      </c>
      <c r="Z896" t="s">
        <v>24</v>
      </c>
    </row>
    <row r="897" spans="1:26" hidden="1" x14ac:dyDescent="0.2">
      <c r="A897">
        <v>57</v>
      </c>
      <c r="B897" t="s">
        <v>26</v>
      </c>
      <c r="C897" s="10">
        <v>10000047</v>
      </c>
      <c r="D897" t="b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0.74072080958656272</v>
      </c>
      <c r="P897">
        <v>0</v>
      </c>
      <c r="Q897">
        <v>0.25927919041343728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6.0046124067367277</v>
      </c>
      <c r="X897">
        <v>0.25927919041343728</v>
      </c>
      <c r="Y897">
        <v>0.74072080958656272</v>
      </c>
      <c r="Z897" t="s">
        <v>24</v>
      </c>
    </row>
    <row r="898" spans="1:26" hidden="1" x14ac:dyDescent="0.2">
      <c r="A898">
        <v>57</v>
      </c>
      <c r="B898" t="s">
        <v>31</v>
      </c>
      <c r="C898" s="10">
        <v>10000033</v>
      </c>
      <c r="D898" t="b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0.31228225216922789</v>
      </c>
      <c r="Q898">
        <v>0</v>
      </c>
      <c r="R898">
        <v>0.223380255124107</v>
      </c>
      <c r="S898">
        <v>0</v>
      </c>
      <c r="T898">
        <v>0.223380255124107</v>
      </c>
      <c r="U898">
        <v>0</v>
      </c>
      <c r="V898">
        <v>0.68771774783077211</v>
      </c>
      <c r="W898">
        <v>6.0335705639159203</v>
      </c>
      <c r="X898">
        <v>0.223380255124107</v>
      </c>
      <c r="Y898">
        <v>0.68771774783077211</v>
      </c>
      <c r="Z898" t="s">
        <v>24</v>
      </c>
    </row>
    <row r="899" spans="1:26" hidden="1" x14ac:dyDescent="0.2">
      <c r="A899">
        <v>57</v>
      </c>
      <c r="B899" t="s">
        <v>29</v>
      </c>
      <c r="C899" s="10">
        <v>10000047</v>
      </c>
      <c r="D899" t="b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0.70333697960737551</v>
      </c>
      <c r="P899">
        <v>0</v>
      </c>
      <c r="Q899">
        <v>0.29666302039262449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5.8646425430752274</v>
      </c>
      <c r="X899">
        <v>0.29666302039262449</v>
      </c>
      <c r="Y899">
        <v>0.70333697960737551</v>
      </c>
      <c r="Z899" t="s">
        <v>24</v>
      </c>
    </row>
    <row r="900" spans="1:26" hidden="1" x14ac:dyDescent="0.2">
      <c r="A900">
        <v>57</v>
      </c>
      <c r="B900" t="s">
        <v>32</v>
      </c>
      <c r="C900" s="10">
        <v>10000047</v>
      </c>
      <c r="D900" t="b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0.7022764663407105</v>
      </c>
      <c r="P900">
        <v>0</v>
      </c>
      <c r="Q900">
        <v>0.29772353365928961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5.860592075385533</v>
      </c>
      <c r="X900">
        <v>0.29772353365928961</v>
      </c>
      <c r="Y900">
        <v>0.7022764663407105</v>
      </c>
      <c r="Z900" t="s">
        <v>24</v>
      </c>
    </row>
    <row r="901" spans="1:26" hidden="1" x14ac:dyDescent="0.2">
      <c r="A901">
        <v>57</v>
      </c>
      <c r="B901" t="s">
        <v>30</v>
      </c>
      <c r="C901" s="10">
        <v>10000033</v>
      </c>
      <c r="D901" t="b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0.3083637802800186</v>
      </c>
      <c r="Q901">
        <v>0</v>
      </c>
      <c r="R901">
        <v>0.22478334869121419</v>
      </c>
      <c r="S901">
        <v>0</v>
      </c>
      <c r="T901">
        <v>0.22478334869121419</v>
      </c>
      <c r="U901">
        <v>0</v>
      </c>
      <c r="V901">
        <v>0.69163621971998146</v>
      </c>
      <c r="W901">
        <v>6.0345574722777586</v>
      </c>
      <c r="X901">
        <v>0.22478334869121419</v>
      </c>
      <c r="Y901">
        <v>0.69163621971998146</v>
      </c>
      <c r="Z901" t="s">
        <v>24</v>
      </c>
    </row>
    <row r="902" spans="1:26" hidden="1" x14ac:dyDescent="0.2">
      <c r="A902">
        <v>57</v>
      </c>
      <c r="B902" t="s">
        <v>33</v>
      </c>
      <c r="C902" s="10">
        <v>10000033</v>
      </c>
      <c r="D902" t="b">
        <v>0</v>
      </c>
      <c r="E902">
        <v>0</v>
      </c>
      <c r="F902">
        <v>0</v>
      </c>
      <c r="G902">
        <v>0</v>
      </c>
      <c r="H902">
        <v>0.33333333333333331</v>
      </c>
      <c r="I902">
        <v>0</v>
      </c>
      <c r="J902">
        <v>0.30581900134297701</v>
      </c>
      <c r="K902">
        <v>0</v>
      </c>
      <c r="L902">
        <v>0.66666666666666663</v>
      </c>
      <c r="M902">
        <v>0.24357075624625221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5.9536617238482954</v>
      </c>
      <c r="X902">
        <v>0.24357075624625221</v>
      </c>
      <c r="Y902">
        <v>0.66666666666666663</v>
      </c>
      <c r="Z902" t="s">
        <v>24</v>
      </c>
    </row>
    <row r="903" spans="1:26" hidden="1" x14ac:dyDescent="0.2">
      <c r="A903">
        <v>58</v>
      </c>
      <c r="B903" t="s">
        <v>32</v>
      </c>
      <c r="C903" s="10">
        <v>10000082</v>
      </c>
      <c r="D903" t="b">
        <v>1</v>
      </c>
      <c r="F903">
        <v>0</v>
      </c>
      <c r="G903">
        <v>0</v>
      </c>
      <c r="H903">
        <v>0</v>
      </c>
      <c r="I903">
        <v>0.94399608706285154</v>
      </c>
      <c r="J903">
        <v>0.20964504706757389</v>
      </c>
      <c r="W903">
        <v>4.9304885756205978</v>
      </c>
      <c r="X903">
        <v>1</v>
      </c>
      <c r="Y903">
        <v>0.94399608706285154</v>
      </c>
      <c r="Z903" t="s">
        <v>23</v>
      </c>
    </row>
    <row r="904" spans="1:26" hidden="1" x14ac:dyDescent="0.2">
      <c r="A904">
        <v>58</v>
      </c>
      <c r="B904" t="s">
        <v>32</v>
      </c>
      <c r="C904" s="10">
        <v>10000033</v>
      </c>
      <c r="D904" t="b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0.30882977802696898</v>
      </c>
      <c r="Q904">
        <v>0</v>
      </c>
      <c r="R904">
        <v>4.4361957633507518E-2</v>
      </c>
      <c r="S904">
        <v>0</v>
      </c>
      <c r="T904">
        <v>4.4361957633507518E-2</v>
      </c>
      <c r="U904">
        <v>0</v>
      </c>
      <c r="V904">
        <v>0.69117022197303091</v>
      </c>
      <c r="W904">
        <v>6.5358895507441312</v>
      </c>
      <c r="X904">
        <v>4.4361957633507518E-2</v>
      </c>
      <c r="Y904">
        <v>0.69117022197303091</v>
      </c>
      <c r="Z904" t="s">
        <v>24</v>
      </c>
    </row>
    <row r="905" spans="1:26" hidden="1" x14ac:dyDescent="0.2">
      <c r="A905">
        <v>58</v>
      </c>
      <c r="B905" t="s">
        <v>30</v>
      </c>
      <c r="C905" s="10">
        <v>10000033</v>
      </c>
      <c r="D905" t="b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0.3028686531476546</v>
      </c>
      <c r="Q905">
        <v>0</v>
      </c>
      <c r="R905">
        <v>6.5340693057595753E-2</v>
      </c>
      <c r="S905">
        <v>0</v>
      </c>
      <c r="T905">
        <v>6.5340693057595753E-2</v>
      </c>
      <c r="U905">
        <v>0</v>
      </c>
      <c r="V905">
        <v>0.69713134685234535</v>
      </c>
      <c r="W905">
        <v>6.4798614919428301</v>
      </c>
      <c r="X905">
        <v>6.5340693057595753E-2</v>
      </c>
      <c r="Y905">
        <v>0.69713134685234535</v>
      </c>
      <c r="Z905" t="s">
        <v>24</v>
      </c>
    </row>
    <row r="906" spans="1:26" hidden="1" x14ac:dyDescent="0.2">
      <c r="A906">
        <v>58</v>
      </c>
      <c r="B906" t="s">
        <v>34</v>
      </c>
      <c r="C906" s="10">
        <v>10000082</v>
      </c>
      <c r="D906" t="b">
        <v>1</v>
      </c>
      <c r="F906">
        <v>0</v>
      </c>
      <c r="G906">
        <v>0</v>
      </c>
      <c r="H906">
        <v>0</v>
      </c>
      <c r="I906">
        <v>0</v>
      </c>
      <c r="J906">
        <v>0.79883466124612756</v>
      </c>
      <c r="W906">
        <v>3.1666666666666679</v>
      </c>
      <c r="X906">
        <v>1</v>
      </c>
      <c r="Y906">
        <v>0</v>
      </c>
      <c r="Z906" t="s">
        <v>23</v>
      </c>
    </row>
    <row r="907" spans="1:26" hidden="1" x14ac:dyDescent="0.2">
      <c r="A907">
        <v>58</v>
      </c>
      <c r="B907" t="s">
        <v>34</v>
      </c>
      <c r="C907" s="10">
        <v>10000033</v>
      </c>
      <c r="D907" t="b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0.29052180951291062</v>
      </c>
      <c r="Q907">
        <v>0</v>
      </c>
      <c r="R907">
        <v>0.1006741073470428</v>
      </c>
      <c r="S907">
        <v>0</v>
      </c>
      <c r="T907">
        <v>0.1006741073470428</v>
      </c>
      <c r="U907">
        <v>0</v>
      </c>
      <c r="V907">
        <v>0.70947819048708938</v>
      </c>
      <c r="W907">
        <v>6.3903156082618446</v>
      </c>
      <c r="X907">
        <v>0.1006741073470428</v>
      </c>
      <c r="Y907">
        <v>0.70947819048708938</v>
      </c>
      <c r="Z907" t="s">
        <v>24</v>
      </c>
    </row>
    <row r="908" spans="1:26" hidden="1" x14ac:dyDescent="0.2">
      <c r="A908">
        <v>58</v>
      </c>
      <c r="B908" t="s">
        <v>27</v>
      </c>
      <c r="C908" s="10">
        <v>10000033</v>
      </c>
      <c r="D908" t="b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0.29247918512064192</v>
      </c>
      <c r="Q908">
        <v>0</v>
      </c>
      <c r="R908">
        <v>0.1006741073470428</v>
      </c>
      <c r="S908">
        <v>0</v>
      </c>
      <c r="T908">
        <v>0.1006741073470428</v>
      </c>
      <c r="U908">
        <v>0</v>
      </c>
      <c r="V908">
        <v>0.70752081487935803</v>
      </c>
      <c r="W908">
        <v>6.3886185266105873</v>
      </c>
      <c r="X908">
        <v>0.1006741073470428</v>
      </c>
      <c r="Y908">
        <v>0.70752081487935803</v>
      </c>
      <c r="Z908" t="s">
        <v>24</v>
      </c>
    </row>
    <row r="909" spans="1:26" hidden="1" x14ac:dyDescent="0.2">
      <c r="A909">
        <v>58</v>
      </c>
      <c r="B909" t="s">
        <v>26</v>
      </c>
      <c r="C909" s="10">
        <v>10000047</v>
      </c>
      <c r="D909" t="b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0.76649482676554714</v>
      </c>
      <c r="P909">
        <v>0</v>
      </c>
      <c r="Q909">
        <v>0.2335051732344528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6.0979956254986574</v>
      </c>
      <c r="X909">
        <v>0.2335051732344528</v>
      </c>
      <c r="Y909">
        <v>0.76649482676554714</v>
      </c>
      <c r="Z909" t="s">
        <v>24</v>
      </c>
    </row>
    <row r="910" spans="1:26" hidden="1" x14ac:dyDescent="0.2">
      <c r="A910">
        <v>58</v>
      </c>
      <c r="B910" t="s">
        <v>28</v>
      </c>
      <c r="C910" s="10">
        <v>10000033</v>
      </c>
      <c r="D910" t="b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0.29656166754424768</v>
      </c>
      <c r="Q910">
        <v>0</v>
      </c>
      <c r="R910">
        <v>0.1195431082174834</v>
      </c>
      <c r="S910">
        <v>0</v>
      </c>
      <c r="T910">
        <v>0.1195431082174834</v>
      </c>
      <c r="U910">
        <v>0</v>
      </c>
      <c r="V910">
        <v>0.70343833245575227</v>
      </c>
      <c r="W910">
        <v>6.3324942658306718</v>
      </c>
      <c r="X910">
        <v>0.1195431082174834</v>
      </c>
      <c r="Y910">
        <v>0.70343833245575227</v>
      </c>
      <c r="Z910" t="s">
        <v>24</v>
      </c>
    </row>
    <row r="911" spans="1:26" hidden="1" x14ac:dyDescent="0.2">
      <c r="A911">
        <v>58</v>
      </c>
      <c r="B911" t="s">
        <v>28</v>
      </c>
      <c r="C911" s="10">
        <v>10000047</v>
      </c>
      <c r="D911" t="b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0.76600184485801548</v>
      </c>
      <c r="P911">
        <v>0</v>
      </c>
      <c r="Q911">
        <v>0.23399815514198449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6.096232891629664</v>
      </c>
      <c r="X911">
        <v>0.23399815514198449</v>
      </c>
      <c r="Y911">
        <v>0.76600184485801548</v>
      </c>
      <c r="Z911" t="s">
        <v>24</v>
      </c>
    </row>
    <row r="912" spans="1:26" hidden="1" x14ac:dyDescent="0.2">
      <c r="A912">
        <v>58</v>
      </c>
      <c r="B912" t="s">
        <v>29</v>
      </c>
      <c r="C912" s="10">
        <v>10000082</v>
      </c>
      <c r="D912" t="b">
        <v>1</v>
      </c>
      <c r="F912">
        <v>0</v>
      </c>
      <c r="G912">
        <v>0.6</v>
      </c>
      <c r="H912">
        <v>0</v>
      </c>
      <c r="I912">
        <v>0</v>
      </c>
      <c r="J912">
        <v>0</v>
      </c>
      <c r="W912">
        <v>4.4004238286805073</v>
      </c>
      <c r="X912">
        <v>1</v>
      </c>
      <c r="Y912">
        <v>0.6</v>
      </c>
      <c r="Z912" t="s">
        <v>23</v>
      </c>
    </row>
    <row r="913" spans="1:26" hidden="1" x14ac:dyDescent="0.2">
      <c r="A913">
        <v>58</v>
      </c>
      <c r="B913" t="s">
        <v>29</v>
      </c>
      <c r="C913" s="10">
        <v>10000047</v>
      </c>
      <c r="D913" t="b">
        <v>0</v>
      </c>
      <c r="E913">
        <v>0.43333333333333329</v>
      </c>
      <c r="F913">
        <v>0</v>
      </c>
      <c r="G913">
        <v>0</v>
      </c>
      <c r="H913">
        <v>0</v>
      </c>
      <c r="I913">
        <v>0.43333333333333329</v>
      </c>
      <c r="J913">
        <v>0</v>
      </c>
      <c r="K913">
        <v>0.5</v>
      </c>
      <c r="L913">
        <v>0.5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5.0025004164584352</v>
      </c>
      <c r="X913">
        <v>0.5</v>
      </c>
      <c r="Y913">
        <v>0.5</v>
      </c>
      <c r="Z913" t="s">
        <v>23</v>
      </c>
    </row>
    <row r="914" spans="1:26" hidden="1" x14ac:dyDescent="0.2">
      <c r="A914">
        <v>58</v>
      </c>
      <c r="B914" t="s">
        <v>29</v>
      </c>
      <c r="C914" s="10">
        <v>10000073</v>
      </c>
      <c r="D914" t="b">
        <v>1</v>
      </c>
      <c r="E914">
        <v>0</v>
      </c>
      <c r="F914">
        <v>0</v>
      </c>
      <c r="G914">
        <v>0.5</v>
      </c>
      <c r="H914">
        <v>0</v>
      </c>
      <c r="I914">
        <v>0</v>
      </c>
      <c r="J914">
        <v>0</v>
      </c>
      <c r="W914">
        <v>6.5555377906976746</v>
      </c>
      <c r="X914">
        <v>0</v>
      </c>
      <c r="Y914">
        <v>0.5</v>
      </c>
      <c r="Z914" t="s">
        <v>24</v>
      </c>
    </row>
    <row r="915" spans="1:26" hidden="1" x14ac:dyDescent="0.2">
      <c r="A915">
        <v>58</v>
      </c>
      <c r="B915" t="s">
        <v>33</v>
      </c>
      <c r="C915" s="10">
        <v>10000033</v>
      </c>
      <c r="D915" t="b">
        <v>0</v>
      </c>
      <c r="E915">
        <v>0</v>
      </c>
      <c r="F915">
        <v>0</v>
      </c>
      <c r="G915">
        <v>0</v>
      </c>
      <c r="H915">
        <v>0.72121138991088196</v>
      </c>
      <c r="I915">
        <v>0</v>
      </c>
      <c r="J915">
        <v>0.27878861008911798</v>
      </c>
      <c r="K915">
        <v>0</v>
      </c>
      <c r="L915">
        <v>3.3333333333333333E-2</v>
      </c>
      <c r="M915">
        <v>3.3333333333333333E-2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6.5881534827859287</v>
      </c>
      <c r="X915">
        <v>3.3333333333333333E-2</v>
      </c>
      <c r="Y915">
        <v>0.72121138991088196</v>
      </c>
      <c r="Z915" t="s">
        <v>24</v>
      </c>
    </row>
    <row r="916" spans="1:26" hidden="1" x14ac:dyDescent="0.2">
      <c r="A916">
        <v>58</v>
      </c>
      <c r="B916" t="s">
        <v>35</v>
      </c>
      <c r="C916" s="10">
        <v>10000033</v>
      </c>
      <c r="D916" t="b">
        <v>0</v>
      </c>
      <c r="E916">
        <v>0</v>
      </c>
      <c r="F916">
        <v>0</v>
      </c>
      <c r="G916">
        <v>0</v>
      </c>
      <c r="H916">
        <v>0.72056011571041501</v>
      </c>
      <c r="I916">
        <v>0</v>
      </c>
      <c r="J916">
        <v>0.27943988428958499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6.6823788624754483</v>
      </c>
      <c r="X916">
        <v>0</v>
      </c>
      <c r="Y916">
        <v>0.72056011571041501</v>
      </c>
      <c r="Z916" t="s">
        <v>24</v>
      </c>
    </row>
    <row r="917" spans="1:26" hidden="1" x14ac:dyDescent="0.2">
      <c r="A917">
        <v>58</v>
      </c>
      <c r="B917" t="s">
        <v>31</v>
      </c>
      <c r="C917" s="10">
        <v>10000082</v>
      </c>
      <c r="D917" t="b">
        <v>1</v>
      </c>
      <c r="F917">
        <v>0</v>
      </c>
      <c r="G917">
        <v>0.85732461698207363</v>
      </c>
      <c r="H917">
        <v>0</v>
      </c>
      <c r="I917">
        <v>0</v>
      </c>
      <c r="J917">
        <v>0</v>
      </c>
      <c r="W917">
        <v>4.811195782820282</v>
      </c>
      <c r="X917">
        <v>1</v>
      </c>
      <c r="Y917">
        <v>0.85732461698207363</v>
      </c>
      <c r="Z917" t="s">
        <v>23</v>
      </c>
    </row>
    <row r="918" spans="1:26" hidden="1" x14ac:dyDescent="0.2">
      <c r="A918">
        <v>58</v>
      </c>
      <c r="B918" t="s">
        <v>31</v>
      </c>
      <c r="C918" s="10">
        <v>10000033</v>
      </c>
      <c r="D918" t="b">
        <v>0</v>
      </c>
      <c r="E918">
        <v>0</v>
      </c>
      <c r="F918">
        <v>0</v>
      </c>
      <c r="G918">
        <v>0</v>
      </c>
      <c r="H918">
        <v>0.71535961351794353</v>
      </c>
      <c r="I918">
        <v>0</v>
      </c>
      <c r="J918">
        <v>0.28464038648205642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6.6794430014925217</v>
      </c>
      <c r="X918">
        <v>0</v>
      </c>
      <c r="Y918">
        <v>0.71535961351794353</v>
      </c>
      <c r="Z918" t="s">
        <v>24</v>
      </c>
    </row>
    <row r="919" spans="1:26" hidden="1" x14ac:dyDescent="0.2">
      <c r="A919">
        <v>59</v>
      </c>
      <c r="B919" t="s">
        <v>26</v>
      </c>
      <c r="C919" s="10">
        <v>10000047</v>
      </c>
      <c r="D919" t="b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0.81875721272359026</v>
      </c>
      <c r="P919">
        <v>0</v>
      </c>
      <c r="Q919">
        <v>0.18124278727640969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6.279760461259146</v>
      </c>
      <c r="X919">
        <v>0.18124278727640969</v>
      </c>
      <c r="Y919">
        <v>0.81875721272359026</v>
      </c>
      <c r="Z919" t="s">
        <v>24</v>
      </c>
    </row>
    <row r="920" spans="1:26" hidden="1" x14ac:dyDescent="0.2">
      <c r="A920">
        <v>59</v>
      </c>
      <c r="B920" t="s">
        <v>30</v>
      </c>
      <c r="C920" s="10">
        <v>10000033</v>
      </c>
      <c r="D920" t="b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0.30658600811700643</v>
      </c>
      <c r="Q920">
        <v>0</v>
      </c>
      <c r="R920">
        <v>6.69513321681489E-2</v>
      </c>
      <c r="S920">
        <v>0</v>
      </c>
      <c r="T920">
        <v>6.69513321681489E-2</v>
      </c>
      <c r="U920">
        <v>0</v>
      </c>
      <c r="V920">
        <v>0.69341399188299357</v>
      </c>
      <c r="W920">
        <v>6.4723552384830363</v>
      </c>
      <c r="X920">
        <v>6.69513321681489E-2</v>
      </c>
      <c r="Y920">
        <v>0.69341399188299357</v>
      </c>
      <c r="Z920" t="s">
        <v>24</v>
      </c>
    </row>
    <row r="921" spans="1:26" hidden="1" x14ac:dyDescent="0.2">
      <c r="A921">
        <v>59</v>
      </c>
      <c r="B921" t="s">
        <v>28</v>
      </c>
      <c r="C921" s="10">
        <v>10000047</v>
      </c>
      <c r="D921" t="b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0.76734995757146118</v>
      </c>
      <c r="P921">
        <v>0</v>
      </c>
      <c r="Q921">
        <v>0.23265004242853879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6.1010514589492004</v>
      </c>
      <c r="X921">
        <v>0.23265004242853879</v>
      </c>
      <c r="Y921">
        <v>0.76734995757146118</v>
      </c>
      <c r="Z921" t="s">
        <v>24</v>
      </c>
    </row>
    <row r="922" spans="1:26" hidden="1" x14ac:dyDescent="0.2">
      <c r="A922">
        <v>59</v>
      </c>
      <c r="B922" t="s">
        <v>33</v>
      </c>
      <c r="C922" s="10">
        <v>10000082</v>
      </c>
      <c r="D922" t="b">
        <v>1</v>
      </c>
      <c r="F922">
        <v>0</v>
      </c>
      <c r="G922">
        <v>0</v>
      </c>
      <c r="H922">
        <v>0</v>
      </c>
      <c r="I922">
        <v>1</v>
      </c>
      <c r="J922">
        <v>0</v>
      </c>
      <c r="W922">
        <v>5.0025004164584352</v>
      </c>
      <c r="X922">
        <v>1</v>
      </c>
      <c r="Y922">
        <v>1</v>
      </c>
      <c r="Z922" t="s">
        <v>23</v>
      </c>
    </row>
    <row r="923" spans="1:26" hidden="1" x14ac:dyDescent="0.2">
      <c r="A923">
        <v>59</v>
      </c>
      <c r="B923" t="s">
        <v>27</v>
      </c>
      <c r="C923" s="10">
        <v>10000082</v>
      </c>
      <c r="D923" t="b">
        <v>1</v>
      </c>
      <c r="F923">
        <v>0</v>
      </c>
      <c r="G923">
        <v>0</v>
      </c>
      <c r="H923">
        <v>0</v>
      </c>
      <c r="I923">
        <v>1</v>
      </c>
      <c r="J923">
        <v>0</v>
      </c>
      <c r="W923">
        <v>5.0025004164584352</v>
      </c>
      <c r="X923">
        <v>1</v>
      </c>
      <c r="Y923">
        <v>1</v>
      </c>
      <c r="Z923" t="s">
        <v>23</v>
      </c>
    </row>
    <row r="924" spans="1:26" hidden="1" x14ac:dyDescent="0.2">
      <c r="A924">
        <v>59</v>
      </c>
      <c r="B924" t="s">
        <v>27</v>
      </c>
      <c r="C924" s="10">
        <v>10000047</v>
      </c>
      <c r="D924" t="b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0.64639896172726163</v>
      </c>
      <c r="P924">
        <v>0</v>
      </c>
      <c r="Q924">
        <v>0.35360103827273842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5.6408472679028216</v>
      </c>
      <c r="X924">
        <v>0.35360103827273842</v>
      </c>
      <c r="Y924">
        <v>0.64639896172726163</v>
      </c>
      <c r="Z924" t="s">
        <v>24</v>
      </c>
    </row>
    <row r="925" spans="1:26" hidden="1" x14ac:dyDescent="0.2">
      <c r="A925">
        <v>59</v>
      </c>
      <c r="B925" t="s">
        <v>33</v>
      </c>
      <c r="C925" s="10">
        <v>10000073</v>
      </c>
      <c r="D925" t="b">
        <v>1</v>
      </c>
      <c r="E925">
        <v>0</v>
      </c>
      <c r="F925">
        <v>0</v>
      </c>
      <c r="G925">
        <v>0</v>
      </c>
      <c r="H925">
        <v>0</v>
      </c>
      <c r="I925">
        <v>0.5671615118721608</v>
      </c>
      <c r="J925">
        <v>0.43023561177896419</v>
      </c>
      <c r="W925">
        <v>5.3133938829235543</v>
      </c>
      <c r="X925">
        <v>0.43023561177896419</v>
      </c>
      <c r="Y925">
        <v>0.5671615118721608</v>
      </c>
      <c r="Z925" t="s">
        <v>24</v>
      </c>
    </row>
    <row r="926" spans="1:26" hidden="1" x14ac:dyDescent="0.2">
      <c r="A926">
        <v>59</v>
      </c>
      <c r="B926" t="s">
        <v>32</v>
      </c>
      <c r="C926" s="10">
        <v>10000047</v>
      </c>
      <c r="D926" t="b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0.64382792318862658</v>
      </c>
      <c r="P926">
        <v>0.1333333333333333</v>
      </c>
      <c r="Q926">
        <v>0.35617207681137342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5.6304320939599464</v>
      </c>
      <c r="X926">
        <v>0.35617207681137342</v>
      </c>
      <c r="Y926">
        <v>0.64382792318862658</v>
      </c>
      <c r="Z926" t="s">
        <v>24</v>
      </c>
    </row>
    <row r="927" spans="1:26" hidden="1" x14ac:dyDescent="0.2">
      <c r="A927">
        <v>59</v>
      </c>
      <c r="B927" t="s">
        <v>35</v>
      </c>
      <c r="C927" s="10">
        <v>10000082</v>
      </c>
      <c r="D927" t="b">
        <v>1</v>
      </c>
      <c r="F927">
        <v>0</v>
      </c>
      <c r="G927">
        <v>0</v>
      </c>
      <c r="H927">
        <v>0</v>
      </c>
      <c r="I927">
        <v>1</v>
      </c>
      <c r="J927">
        <v>0</v>
      </c>
      <c r="W927">
        <v>5.0025004164584352</v>
      </c>
      <c r="X927">
        <v>1</v>
      </c>
      <c r="Y927">
        <v>1</v>
      </c>
      <c r="Z927" t="s">
        <v>23</v>
      </c>
    </row>
    <row r="928" spans="1:26" hidden="1" x14ac:dyDescent="0.2">
      <c r="A928">
        <v>59</v>
      </c>
      <c r="B928" t="s">
        <v>35</v>
      </c>
      <c r="C928" s="10">
        <v>10000047</v>
      </c>
      <c r="D928" t="b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0.64382792318862658</v>
      </c>
      <c r="P928">
        <v>0</v>
      </c>
      <c r="Q928">
        <v>0.35617207681137342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5.6304320939599464</v>
      </c>
      <c r="X928">
        <v>0.35617207681137342</v>
      </c>
      <c r="Y928">
        <v>0.64382792318862658</v>
      </c>
      <c r="Z928" t="s">
        <v>24</v>
      </c>
    </row>
    <row r="929" spans="1:26" hidden="1" x14ac:dyDescent="0.2">
      <c r="A929">
        <v>59</v>
      </c>
      <c r="B929" t="s">
        <v>31</v>
      </c>
      <c r="C929" s="10">
        <v>10000033</v>
      </c>
      <c r="D929" t="b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0.30842778659969561</v>
      </c>
      <c r="Q929">
        <v>0</v>
      </c>
      <c r="R929">
        <v>0.30842778659969561</v>
      </c>
      <c r="S929">
        <v>0</v>
      </c>
      <c r="T929">
        <v>0.40338801055389978</v>
      </c>
      <c r="U929">
        <v>0</v>
      </c>
      <c r="V929">
        <v>0.59661198944610017</v>
      </c>
      <c r="W929">
        <v>5.4342421863711419</v>
      </c>
      <c r="X929">
        <v>0.40338801055389978</v>
      </c>
      <c r="Y929">
        <v>0.59661198944610017</v>
      </c>
      <c r="Z929" t="s">
        <v>24</v>
      </c>
    </row>
    <row r="930" spans="1:26" hidden="1" x14ac:dyDescent="0.2">
      <c r="A930">
        <v>59</v>
      </c>
      <c r="B930" t="s">
        <v>29</v>
      </c>
      <c r="C930" s="10">
        <v>10000033</v>
      </c>
      <c r="D930" t="b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0.36666666666666659</v>
      </c>
      <c r="M930">
        <v>0.36666666666666659</v>
      </c>
      <c r="N930">
        <v>0</v>
      </c>
      <c r="O930">
        <v>0</v>
      </c>
      <c r="P930">
        <v>0.31822206829526251</v>
      </c>
      <c r="Q930">
        <v>0.31822206829526251</v>
      </c>
      <c r="R930">
        <v>0.31822206829526251</v>
      </c>
      <c r="S930">
        <v>0</v>
      </c>
      <c r="T930">
        <v>0.52914541327745157</v>
      </c>
      <c r="U930">
        <v>0</v>
      </c>
      <c r="V930">
        <v>0.47085458672254837</v>
      </c>
      <c r="W930">
        <v>4.8677368634688101</v>
      </c>
      <c r="X930">
        <v>0.52914541327745157</v>
      </c>
      <c r="Y930">
        <v>0.47085458672254837</v>
      </c>
      <c r="Z930" t="s">
        <v>23</v>
      </c>
    </row>
    <row r="931" spans="1:26" hidden="1" x14ac:dyDescent="0.2">
      <c r="A931">
        <v>59</v>
      </c>
      <c r="B931" t="s">
        <v>29</v>
      </c>
      <c r="C931" s="10">
        <v>10000047</v>
      </c>
      <c r="D931" t="b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0.54545454545454541</v>
      </c>
      <c r="L931">
        <v>0.45454545454545459</v>
      </c>
      <c r="M931">
        <v>0</v>
      </c>
      <c r="N931">
        <v>0</v>
      </c>
      <c r="O931">
        <v>0.1333333333333333</v>
      </c>
      <c r="P931">
        <v>0</v>
      </c>
      <c r="Q931">
        <v>0.1333333333333333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4.7940203856063208</v>
      </c>
      <c r="X931">
        <v>0.54545454545454541</v>
      </c>
      <c r="Y931">
        <v>0.45454545454545459</v>
      </c>
      <c r="Z931" t="s">
        <v>23</v>
      </c>
    </row>
    <row r="932" spans="1:26" hidden="1" x14ac:dyDescent="0.2">
      <c r="A932">
        <v>59</v>
      </c>
      <c r="B932" t="s">
        <v>29</v>
      </c>
      <c r="C932" s="10">
        <v>10000073</v>
      </c>
      <c r="D932" t="b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0.55643266028062444</v>
      </c>
      <c r="L932">
        <v>0</v>
      </c>
      <c r="M932">
        <v>0</v>
      </c>
      <c r="N932">
        <v>0</v>
      </c>
      <c r="O932">
        <v>6.6666666666666666E-2</v>
      </c>
      <c r="P932">
        <v>0</v>
      </c>
      <c r="Q932">
        <v>6.6666666666666666E-2</v>
      </c>
      <c r="R932">
        <v>0</v>
      </c>
      <c r="S932">
        <v>6.6666666666666666E-2</v>
      </c>
      <c r="T932">
        <v>0</v>
      </c>
      <c r="U932">
        <v>6.6666666666666666E-2</v>
      </c>
      <c r="V932">
        <v>0</v>
      </c>
      <c r="W932">
        <v>3.6449379466351699</v>
      </c>
      <c r="X932">
        <v>0.55643266028062444</v>
      </c>
      <c r="Y932">
        <v>6.6666666666666666E-2</v>
      </c>
      <c r="Z932" t="s">
        <v>23</v>
      </c>
    </row>
    <row r="933" spans="1:26" hidden="1" x14ac:dyDescent="0.2">
      <c r="A933">
        <v>59</v>
      </c>
      <c r="B933" t="s">
        <v>29</v>
      </c>
      <c r="C933" s="10">
        <v>10000082</v>
      </c>
      <c r="D933" t="b">
        <v>1</v>
      </c>
      <c r="F933">
        <v>0</v>
      </c>
      <c r="G933">
        <v>0.93333333333333335</v>
      </c>
      <c r="H933">
        <v>0</v>
      </c>
      <c r="I933">
        <v>6.6666666666666666E-2</v>
      </c>
      <c r="J933">
        <v>0</v>
      </c>
      <c r="W933">
        <v>4.9163290284623642</v>
      </c>
      <c r="X933">
        <v>1</v>
      </c>
      <c r="Y933">
        <v>0.93333333333333335</v>
      </c>
      <c r="Z933" t="s">
        <v>23</v>
      </c>
    </row>
    <row r="934" spans="1:26" hidden="1" x14ac:dyDescent="0.2">
      <c r="A934">
        <v>59</v>
      </c>
      <c r="B934" t="s">
        <v>34</v>
      </c>
      <c r="C934" s="10">
        <v>10000033</v>
      </c>
      <c r="D934" t="b">
        <v>0</v>
      </c>
      <c r="E934">
        <v>0</v>
      </c>
      <c r="F934">
        <v>0.16666666666666671</v>
      </c>
      <c r="G934">
        <v>0.16666666666666671</v>
      </c>
      <c r="H934">
        <v>0.16666666666666671</v>
      </c>
      <c r="I934">
        <v>0.16666666666666671</v>
      </c>
      <c r="J934">
        <v>0.16666666666666671</v>
      </c>
      <c r="K934">
        <v>0</v>
      </c>
      <c r="L934">
        <v>0.47085458672254837</v>
      </c>
      <c r="M934">
        <v>0.52914541327745157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4.8677368634688101</v>
      </c>
      <c r="X934">
        <v>0.52914541327745157</v>
      </c>
      <c r="Y934">
        <v>0.47085458672254837</v>
      </c>
      <c r="Z934" t="s">
        <v>23</v>
      </c>
    </row>
    <row r="935" spans="1:26" hidden="1" x14ac:dyDescent="0.2">
      <c r="A935">
        <v>59</v>
      </c>
      <c r="B935" t="s">
        <v>34</v>
      </c>
      <c r="C935" s="10">
        <v>10000082</v>
      </c>
      <c r="D935" t="b">
        <v>0</v>
      </c>
      <c r="E935">
        <v>0</v>
      </c>
      <c r="F935">
        <v>0</v>
      </c>
      <c r="G935">
        <v>0</v>
      </c>
      <c r="H935">
        <v>0.53333333333333333</v>
      </c>
      <c r="I935">
        <v>0</v>
      </c>
      <c r="J935">
        <v>0.53333333333333333</v>
      </c>
      <c r="K935">
        <v>0</v>
      </c>
      <c r="L935">
        <v>0.46666666666666667</v>
      </c>
      <c r="M935">
        <v>0</v>
      </c>
      <c r="N935">
        <v>0.46666666666666667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5.1562159479179526</v>
      </c>
      <c r="X935">
        <v>0.46666666666666667</v>
      </c>
      <c r="Y935">
        <v>0.53333333333333333</v>
      </c>
      <c r="Z935" t="s">
        <v>24</v>
      </c>
    </row>
    <row r="936" spans="1:26" hidden="1" x14ac:dyDescent="0.2">
      <c r="A936">
        <v>60</v>
      </c>
      <c r="B936" t="s">
        <v>29</v>
      </c>
      <c r="C936" s="10">
        <v>10000047</v>
      </c>
      <c r="D936" t="b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0.78047732881591991</v>
      </c>
      <c r="P936">
        <v>0</v>
      </c>
      <c r="Q936">
        <v>0.21952267118408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6.1476129565482127</v>
      </c>
      <c r="X936">
        <v>0.21952267118408</v>
      </c>
      <c r="Y936">
        <v>0.78047732881591991</v>
      </c>
      <c r="Z936" t="s">
        <v>24</v>
      </c>
    </row>
    <row r="937" spans="1:26" hidden="1" x14ac:dyDescent="0.2">
      <c r="A937">
        <v>60</v>
      </c>
      <c r="B937" t="s">
        <v>28</v>
      </c>
      <c r="C937" s="10">
        <v>10000047</v>
      </c>
      <c r="D937" t="b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0.75823343980989311</v>
      </c>
      <c r="P937">
        <v>0</v>
      </c>
      <c r="Q937">
        <v>0.24176656019010689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6.0683364530127264</v>
      </c>
      <c r="X937">
        <v>0.24176656019010689</v>
      </c>
      <c r="Y937">
        <v>0.75823343980989311</v>
      </c>
      <c r="Z937" t="s">
        <v>24</v>
      </c>
    </row>
    <row r="938" spans="1:26" hidden="1" x14ac:dyDescent="0.2">
      <c r="A938">
        <v>60</v>
      </c>
      <c r="B938" t="s">
        <v>33</v>
      </c>
      <c r="C938" s="10">
        <v>10000033</v>
      </c>
      <c r="D938" t="b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0.32139620561056498</v>
      </c>
      <c r="Q938">
        <v>0</v>
      </c>
      <c r="R938">
        <v>0.1249460049058337</v>
      </c>
      <c r="S938">
        <v>0</v>
      </c>
      <c r="T938">
        <v>0.1249460049058337</v>
      </c>
      <c r="U938">
        <v>0</v>
      </c>
      <c r="V938">
        <v>0.67860379438943497</v>
      </c>
      <c r="W938">
        <v>6.2938937523735436</v>
      </c>
      <c r="X938">
        <v>0.1249460049058337</v>
      </c>
      <c r="Y938">
        <v>0.67860379438943497</v>
      </c>
      <c r="Z938" t="s">
        <v>24</v>
      </c>
    </row>
    <row r="939" spans="1:26" hidden="1" x14ac:dyDescent="0.2">
      <c r="A939">
        <v>60</v>
      </c>
      <c r="B939" t="s">
        <v>32</v>
      </c>
      <c r="C939" s="10">
        <v>10000082</v>
      </c>
      <c r="D939" t="b">
        <v>1</v>
      </c>
      <c r="F939">
        <v>0</v>
      </c>
      <c r="G939">
        <v>0</v>
      </c>
      <c r="H939">
        <v>0</v>
      </c>
      <c r="I939">
        <v>1</v>
      </c>
      <c r="J939">
        <v>0</v>
      </c>
      <c r="W939">
        <v>5.0025004164584352</v>
      </c>
      <c r="X939">
        <v>1</v>
      </c>
      <c r="Y939">
        <v>1</v>
      </c>
      <c r="Z939" t="s">
        <v>23</v>
      </c>
    </row>
    <row r="940" spans="1:26" hidden="1" x14ac:dyDescent="0.2">
      <c r="A940">
        <v>60</v>
      </c>
      <c r="B940" t="s">
        <v>32</v>
      </c>
      <c r="C940" s="10">
        <v>10000033</v>
      </c>
      <c r="D940" t="b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0.32107924719240261</v>
      </c>
      <c r="Q940">
        <v>0</v>
      </c>
      <c r="R940">
        <v>0.1510173523282323</v>
      </c>
      <c r="S940">
        <v>0</v>
      </c>
      <c r="T940">
        <v>0.1510173523282323</v>
      </c>
      <c r="U940">
        <v>0</v>
      </c>
      <c r="V940">
        <v>0.67892075280759734</v>
      </c>
      <c r="W940">
        <v>6.2208340099004689</v>
      </c>
      <c r="X940">
        <v>0.1510173523282323</v>
      </c>
      <c r="Y940">
        <v>0.67892075280759734</v>
      </c>
      <c r="Z940" t="s">
        <v>24</v>
      </c>
    </row>
    <row r="941" spans="1:26" hidden="1" x14ac:dyDescent="0.2">
      <c r="A941">
        <v>60</v>
      </c>
      <c r="B941" t="s">
        <v>30</v>
      </c>
      <c r="C941" s="10">
        <v>10000047</v>
      </c>
      <c r="D941" t="b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0.72901563982161577</v>
      </c>
      <c r="P941">
        <v>0</v>
      </c>
      <c r="Q941">
        <v>0.27098436017838429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5.9613677067164623</v>
      </c>
      <c r="X941">
        <v>0.27098436017838429</v>
      </c>
      <c r="Y941">
        <v>0.72901563982161577</v>
      </c>
      <c r="Z941" t="s">
        <v>24</v>
      </c>
    </row>
    <row r="942" spans="1:26" hidden="1" x14ac:dyDescent="0.2">
      <c r="A942">
        <v>60</v>
      </c>
      <c r="B942" t="s">
        <v>27</v>
      </c>
      <c r="C942" s="10">
        <v>10000033</v>
      </c>
      <c r="D942" t="b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0.33658704767202952</v>
      </c>
      <c r="Q942">
        <v>0</v>
      </c>
      <c r="R942">
        <v>0.158230398217684</v>
      </c>
      <c r="S942">
        <v>0</v>
      </c>
      <c r="T942">
        <v>0.158230398217684</v>
      </c>
      <c r="U942">
        <v>0</v>
      </c>
      <c r="V942">
        <v>0.66341295232797048</v>
      </c>
      <c r="W942">
        <v>6.1841441346276316</v>
      </c>
      <c r="X942">
        <v>0.158230398217684</v>
      </c>
      <c r="Y942">
        <v>0.66341295232797048</v>
      </c>
      <c r="Z942" t="s">
        <v>24</v>
      </c>
    </row>
    <row r="943" spans="1:26" hidden="1" x14ac:dyDescent="0.2">
      <c r="A943">
        <v>60</v>
      </c>
      <c r="B943" t="s">
        <v>34</v>
      </c>
      <c r="C943" s="10">
        <v>10000073</v>
      </c>
      <c r="D943" t="b">
        <v>1</v>
      </c>
      <c r="E943">
        <v>0</v>
      </c>
      <c r="F943">
        <v>0</v>
      </c>
      <c r="G943">
        <v>0</v>
      </c>
      <c r="H943">
        <v>0</v>
      </c>
      <c r="I943">
        <v>0.56922117188252896</v>
      </c>
      <c r="J943">
        <v>0.324332677753362</v>
      </c>
      <c r="W943">
        <v>5.5899615188094991</v>
      </c>
      <c r="X943">
        <v>0.324332677753362</v>
      </c>
      <c r="Y943">
        <v>0.56922117188252896</v>
      </c>
      <c r="Z943" t="s">
        <v>24</v>
      </c>
    </row>
    <row r="944" spans="1:26" hidden="1" x14ac:dyDescent="0.2">
      <c r="A944">
        <v>60</v>
      </c>
      <c r="B944" t="s">
        <v>31</v>
      </c>
      <c r="C944" s="10">
        <v>10000073</v>
      </c>
      <c r="D944" t="b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0.1</v>
      </c>
      <c r="M944">
        <v>0</v>
      </c>
      <c r="N944">
        <v>0</v>
      </c>
      <c r="O944">
        <v>0.45339042890095482</v>
      </c>
      <c r="P944">
        <v>0.34088484113445161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0.54660957109904518</v>
      </c>
      <c r="W944">
        <v>6.5827290334675057</v>
      </c>
      <c r="X944">
        <v>0</v>
      </c>
      <c r="Y944">
        <v>0.54660957109904518</v>
      </c>
      <c r="Z944" t="s">
        <v>24</v>
      </c>
    </row>
    <row r="945" spans="1:26" hidden="1" x14ac:dyDescent="0.2">
      <c r="A945">
        <v>60</v>
      </c>
      <c r="B945" t="s">
        <v>35</v>
      </c>
      <c r="C945" s="10">
        <v>10000047</v>
      </c>
      <c r="D945" t="b">
        <v>0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3.1666666666666679</v>
      </c>
      <c r="X945">
        <v>1</v>
      </c>
      <c r="Y945">
        <v>0</v>
      </c>
      <c r="Z945" t="s">
        <v>23</v>
      </c>
    </row>
    <row r="946" spans="1:26" hidden="1" x14ac:dyDescent="0.2">
      <c r="A946">
        <v>60</v>
      </c>
      <c r="B946" t="s">
        <v>35</v>
      </c>
      <c r="C946" s="10">
        <v>10000082</v>
      </c>
      <c r="D946" t="b">
        <v>1</v>
      </c>
      <c r="F946">
        <v>0</v>
      </c>
      <c r="G946">
        <v>1</v>
      </c>
      <c r="H946">
        <v>0</v>
      </c>
      <c r="I946">
        <v>0</v>
      </c>
      <c r="J946">
        <v>0</v>
      </c>
      <c r="W946">
        <v>5.0025004164584352</v>
      </c>
      <c r="X946">
        <v>1</v>
      </c>
      <c r="Y946">
        <v>1</v>
      </c>
      <c r="Z946" t="s">
        <v>23</v>
      </c>
    </row>
    <row r="947" spans="1:26" hidden="1" x14ac:dyDescent="0.2">
      <c r="A947">
        <v>60</v>
      </c>
      <c r="B947" t="s">
        <v>35</v>
      </c>
      <c r="C947" s="10">
        <v>10000073</v>
      </c>
      <c r="D947" t="b">
        <v>0</v>
      </c>
      <c r="E947">
        <v>0</v>
      </c>
      <c r="F947">
        <v>0</v>
      </c>
      <c r="G947">
        <v>0</v>
      </c>
      <c r="H947">
        <v>0.54487920659251277</v>
      </c>
      <c r="I947">
        <v>0</v>
      </c>
      <c r="J947">
        <v>0.45512079340748718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6.581722448896925</v>
      </c>
      <c r="X947">
        <v>0</v>
      </c>
      <c r="Y947">
        <v>0.54487920659251277</v>
      </c>
      <c r="Z947" t="s">
        <v>24</v>
      </c>
    </row>
    <row r="948" spans="1:26" hidden="1" x14ac:dyDescent="0.2">
      <c r="A948">
        <v>60</v>
      </c>
      <c r="B948" t="s">
        <v>26</v>
      </c>
      <c r="C948" s="10">
        <v>10000082</v>
      </c>
      <c r="D948" t="b">
        <v>1</v>
      </c>
      <c r="F948">
        <v>0</v>
      </c>
      <c r="G948">
        <v>1</v>
      </c>
      <c r="H948">
        <v>0</v>
      </c>
      <c r="I948">
        <v>0</v>
      </c>
      <c r="J948">
        <v>0</v>
      </c>
      <c r="W948">
        <v>5.0025004164584352</v>
      </c>
      <c r="X948">
        <v>1</v>
      </c>
      <c r="Y948">
        <v>1</v>
      </c>
      <c r="Z948" t="s">
        <v>23</v>
      </c>
    </row>
    <row r="949" spans="1:26" hidden="1" x14ac:dyDescent="0.2">
      <c r="A949">
        <v>60</v>
      </c>
      <c r="B949" t="s">
        <v>26</v>
      </c>
      <c r="C949" s="10">
        <v>10000073</v>
      </c>
      <c r="D949" t="b">
        <v>0</v>
      </c>
      <c r="E949">
        <v>0</v>
      </c>
      <c r="F949">
        <v>0</v>
      </c>
      <c r="G949">
        <v>6.6666666666666874E-2</v>
      </c>
      <c r="H949">
        <v>0.54243284992610641</v>
      </c>
      <c r="I949">
        <v>6.6666666666666874E-2</v>
      </c>
      <c r="J949">
        <v>0.45756715007389359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6.3452895959661832</v>
      </c>
      <c r="X949">
        <v>6.6666666666666874E-2</v>
      </c>
      <c r="Y949">
        <v>0.54243284992610641</v>
      </c>
      <c r="Z949" t="s">
        <v>24</v>
      </c>
    </row>
    <row r="950" spans="1:26" hidden="1" x14ac:dyDescent="0.2">
      <c r="A950">
        <v>61</v>
      </c>
      <c r="B950" t="s">
        <v>30</v>
      </c>
      <c r="C950" s="10">
        <v>10000073</v>
      </c>
      <c r="D950" t="b">
        <v>1</v>
      </c>
      <c r="E950">
        <v>0</v>
      </c>
      <c r="F950">
        <v>0</v>
      </c>
      <c r="G950">
        <v>0</v>
      </c>
      <c r="H950">
        <v>0</v>
      </c>
      <c r="I950">
        <v>0.56863916504108691</v>
      </c>
      <c r="J950">
        <v>0.20373404934823189</v>
      </c>
      <c r="W950">
        <v>5.9341377382565446</v>
      </c>
      <c r="X950">
        <v>0.20373404934823189</v>
      </c>
      <c r="Y950">
        <v>0.56863916504108691</v>
      </c>
      <c r="Z950" t="s">
        <v>24</v>
      </c>
    </row>
    <row r="951" spans="1:26" hidden="1" x14ac:dyDescent="0.2">
      <c r="A951">
        <v>61</v>
      </c>
      <c r="B951" t="s">
        <v>28</v>
      </c>
      <c r="C951" s="10">
        <v>10000082</v>
      </c>
      <c r="D951" t="b">
        <v>1</v>
      </c>
      <c r="F951">
        <v>0</v>
      </c>
      <c r="G951">
        <v>0</v>
      </c>
      <c r="H951">
        <v>0</v>
      </c>
      <c r="I951">
        <v>0.99831062698449424</v>
      </c>
      <c r="J951">
        <v>2.3276915973595751E-2</v>
      </c>
      <c r="W951">
        <v>5.0003858599655127</v>
      </c>
      <c r="X951">
        <v>1</v>
      </c>
      <c r="Y951">
        <v>0.99831062698449424</v>
      </c>
      <c r="Z951" t="s">
        <v>23</v>
      </c>
    </row>
    <row r="952" spans="1:26" hidden="1" x14ac:dyDescent="0.2">
      <c r="A952">
        <v>61</v>
      </c>
      <c r="B952" t="s">
        <v>28</v>
      </c>
      <c r="C952" s="10">
        <v>10000033</v>
      </c>
      <c r="D952" t="b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0.31496390712217698</v>
      </c>
      <c r="Q952">
        <v>0</v>
      </c>
      <c r="R952">
        <v>0.13468644269757821</v>
      </c>
      <c r="S952">
        <v>0</v>
      </c>
      <c r="T952">
        <v>0.13468644269757821</v>
      </c>
      <c r="U952">
        <v>0</v>
      </c>
      <c r="V952">
        <v>0.68503609287782297</v>
      </c>
      <c r="W952">
        <v>6.2727186427242856</v>
      </c>
      <c r="X952">
        <v>0.13468644269757821</v>
      </c>
      <c r="Y952">
        <v>0.68503609287782297</v>
      </c>
      <c r="Z952" t="s">
        <v>24</v>
      </c>
    </row>
    <row r="953" spans="1:26" hidden="1" x14ac:dyDescent="0.2">
      <c r="A953">
        <v>61</v>
      </c>
      <c r="B953" t="s">
        <v>27</v>
      </c>
      <c r="C953" s="10">
        <v>10000033</v>
      </c>
      <c r="D953" t="b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0.30962353850150148</v>
      </c>
      <c r="Q953">
        <v>0</v>
      </c>
      <c r="R953">
        <v>0.13905188602960361</v>
      </c>
      <c r="S953">
        <v>0</v>
      </c>
      <c r="T953">
        <v>0.13905188602960361</v>
      </c>
      <c r="U953">
        <v>0</v>
      </c>
      <c r="V953">
        <v>0.69037646149849852</v>
      </c>
      <c r="W953">
        <v>6.2658086396015502</v>
      </c>
      <c r="X953">
        <v>0.13905188602960361</v>
      </c>
      <c r="Y953">
        <v>0.69037646149849852</v>
      </c>
      <c r="Z953" t="s">
        <v>24</v>
      </c>
    </row>
    <row r="954" spans="1:26" hidden="1" x14ac:dyDescent="0.2">
      <c r="A954">
        <v>61</v>
      </c>
      <c r="B954" t="s">
        <v>33</v>
      </c>
      <c r="C954" s="10">
        <v>10000033</v>
      </c>
      <c r="D954" t="b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0.31088441905016018</v>
      </c>
      <c r="Q954">
        <v>0</v>
      </c>
      <c r="R954">
        <v>0.15624794556305729</v>
      </c>
      <c r="S954">
        <v>0</v>
      </c>
      <c r="T954">
        <v>0.15624794556305729</v>
      </c>
      <c r="U954">
        <v>0</v>
      </c>
      <c r="V954">
        <v>0.68911558094983982</v>
      </c>
      <c r="W954">
        <v>6.2168939738183493</v>
      </c>
      <c r="X954">
        <v>0.15624794556305729</v>
      </c>
      <c r="Y954">
        <v>0.68911558094983982</v>
      </c>
      <c r="Z954" t="s">
        <v>24</v>
      </c>
    </row>
    <row r="955" spans="1:26" hidden="1" x14ac:dyDescent="0.2">
      <c r="A955">
        <v>61</v>
      </c>
      <c r="B955" t="s">
        <v>35</v>
      </c>
      <c r="C955" s="10">
        <v>10000073</v>
      </c>
      <c r="D955" t="b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0.41193469997049831</v>
      </c>
      <c r="P955">
        <v>0</v>
      </c>
      <c r="Q955">
        <v>0.34852519882447541</v>
      </c>
      <c r="R955">
        <v>0</v>
      </c>
      <c r="S955">
        <v>0.34852519882447541</v>
      </c>
      <c r="T955">
        <v>0</v>
      </c>
      <c r="U955">
        <v>0.58806530002950175</v>
      </c>
      <c r="V955">
        <v>0</v>
      </c>
      <c r="W955">
        <v>5.5582699486860117</v>
      </c>
      <c r="X955">
        <v>0.34852519882447541</v>
      </c>
      <c r="Y955">
        <v>0.58806530002950175</v>
      </c>
      <c r="Z955" t="s">
        <v>24</v>
      </c>
    </row>
    <row r="956" spans="1:26" hidden="1" x14ac:dyDescent="0.2">
      <c r="A956">
        <v>61</v>
      </c>
      <c r="B956" t="s">
        <v>29</v>
      </c>
      <c r="C956" s="10">
        <v>10000073</v>
      </c>
      <c r="D956" t="b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0.41976017825299272</v>
      </c>
      <c r="P956">
        <v>0</v>
      </c>
      <c r="Q956">
        <v>0.38586696239131579</v>
      </c>
      <c r="R956">
        <v>0</v>
      </c>
      <c r="S956">
        <v>0.38586696239131579</v>
      </c>
      <c r="T956">
        <v>0</v>
      </c>
      <c r="U956">
        <v>0.58023982174700739</v>
      </c>
      <c r="V956">
        <v>0</v>
      </c>
      <c r="W956">
        <v>5.4483966846078644</v>
      </c>
      <c r="X956">
        <v>0.38586696239131579</v>
      </c>
      <c r="Y956">
        <v>0.58023982174700739</v>
      </c>
      <c r="Z956" t="s">
        <v>24</v>
      </c>
    </row>
    <row r="957" spans="1:26" hidden="1" x14ac:dyDescent="0.2">
      <c r="A957">
        <v>61</v>
      </c>
      <c r="B957" t="s">
        <v>31</v>
      </c>
      <c r="C957" s="10">
        <v>10000082</v>
      </c>
      <c r="D957" t="b">
        <v>1</v>
      </c>
      <c r="F957">
        <v>0</v>
      </c>
      <c r="G957">
        <v>0</v>
      </c>
      <c r="H957">
        <v>0</v>
      </c>
      <c r="I957">
        <v>0.99987803515505869</v>
      </c>
      <c r="J957">
        <v>0.15206906781731419</v>
      </c>
      <c r="W957">
        <v>5.0023478749401011</v>
      </c>
      <c r="X957">
        <v>1</v>
      </c>
      <c r="Y957">
        <v>0.99987803515505869</v>
      </c>
      <c r="Z957" t="s">
        <v>23</v>
      </c>
    </row>
    <row r="958" spans="1:26" hidden="1" x14ac:dyDescent="0.2">
      <c r="A958">
        <v>61</v>
      </c>
      <c r="B958" t="s">
        <v>31</v>
      </c>
      <c r="C958" s="10">
        <v>10000073</v>
      </c>
      <c r="D958" t="b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0.45182358725360788</v>
      </c>
      <c r="P958">
        <v>0</v>
      </c>
      <c r="Q958">
        <v>0.38586696239131579</v>
      </c>
      <c r="R958">
        <v>0</v>
      </c>
      <c r="S958">
        <v>0.38586696239131579</v>
      </c>
      <c r="T958">
        <v>0</v>
      </c>
      <c r="U958">
        <v>0.54817641274639206</v>
      </c>
      <c r="V958">
        <v>0</v>
      </c>
      <c r="W958">
        <v>5.3880730169245519</v>
      </c>
      <c r="X958">
        <v>0.38586696239131579</v>
      </c>
      <c r="Y958">
        <v>0.54817641274639206</v>
      </c>
      <c r="Z958" t="s">
        <v>24</v>
      </c>
    </row>
    <row r="959" spans="1:26" hidden="1" x14ac:dyDescent="0.2">
      <c r="A959">
        <v>61</v>
      </c>
      <c r="B959" t="s">
        <v>34</v>
      </c>
      <c r="C959" s="10">
        <v>10000033</v>
      </c>
      <c r="D959" t="b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0.33257204488136027</v>
      </c>
      <c r="Q959">
        <v>0</v>
      </c>
      <c r="R959">
        <v>0.26731560864396592</v>
      </c>
      <c r="S959">
        <v>0</v>
      </c>
      <c r="T959">
        <v>0.26731560864396592</v>
      </c>
      <c r="U959">
        <v>0</v>
      </c>
      <c r="V959">
        <v>0.66742795511863973</v>
      </c>
      <c r="W959">
        <v>5.8919098782231609</v>
      </c>
      <c r="X959">
        <v>0.26731560864396592</v>
      </c>
      <c r="Y959">
        <v>0.66742795511863973</v>
      </c>
      <c r="Z959" t="s">
        <v>24</v>
      </c>
    </row>
    <row r="960" spans="1:26" hidden="1" x14ac:dyDescent="0.2">
      <c r="A960">
        <v>61</v>
      </c>
      <c r="B960" t="s">
        <v>26</v>
      </c>
      <c r="C960" s="10">
        <v>10000033</v>
      </c>
      <c r="D960" t="b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0.32991735630697561</v>
      </c>
      <c r="Q960">
        <v>0</v>
      </c>
      <c r="R960">
        <v>0.29294175604953582</v>
      </c>
      <c r="S960">
        <v>0</v>
      </c>
      <c r="T960">
        <v>0.29294175604953582</v>
      </c>
      <c r="U960">
        <v>0</v>
      </c>
      <c r="V960">
        <v>0.67008264369302439</v>
      </c>
      <c r="W960">
        <v>5.8290836883053911</v>
      </c>
      <c r="X960">
        <v>0.29294175604953582</v>
      </c>
      <c r="Y960">
        <v>0.67008264369302439</v>
      </c>
      <c r="Z960" t="s">
        <v>24</v>
      </c>
    </row>
    <row r="961" spans="1:26" hidden="1" x14ac:dyDescent="0.2">
      <c r="A961">
        <v>61</v>
      </c>
      <c r="B961" t="s">
        <v>32</v>
      </c>
      <c r="C961" s="10">
        <v>10000047</v>
      </c>
      <c r="D961" t="b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0.62907989844094592</v>
      </c>
      <c r="P961">
        <v>0</v>
      </c>
      <c r="Q961">
        <v>0.37092010155905408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5.5701563561999237</v>
      </c>
      <c r="X961">
        <v>0.37092010155905408</v>
      </c>
      <c r="Y961">
        <v>0.62907989844094592</v>
      </c>
      <c r="Z961" t="s">
        <v>24</v>
      </c>
    </row>
    <row r="962" spans="1:26" hidden="1" x14ac:dyDescent="0.2">
      <c r="A962">
        <v>62</v>
      </c>
      <c r="B962" t="s">
        <v>31</v>
      </c>
      <c r="C962" s="10">
        <v>10000033</v>
      </c>
      <c r="D962" t="b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0.30882977802696898</v>
      </c>
      <c r="Q962">
        <v>0</v>
      </c>
      <c r="R962">
        <v>7.3002059826599353E-2</v>
      </c>
      <c r="S962">
        <v>0</v>
      </c>
      <c r="T962">
        <v>7.3002059826599353E-2</v>
      </c>
      <c r="U962">
        <v>0</v>
      </c>
      <c r="V962">
        <v>0.69117022197303091</v>
      </c>
      <c r="W962">
        <v>6.4532151251697307</v>
      </c>
      <c r="X962">
        <v>7.3002059826599353E-2</v>
      </c>
      <c r="Y962">
        <v>0.69117022197303091</v>
      </c>
      <c r="Z962" t="s">
        <v>24</v>
      </c>
    </row>
    <row r="963" spans="1:26" hidden="1" x14ac:dyDescent="0.2">
      <c r="A963">
        <v>62</v>
      </c>
      <c r="B963" t="s">
        <v>34</v>
      </c>
      <c r="C963" s="10">
        <v>10000033</v>
      </c>
      <c r="D963" t="b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0.31048823635064698</v>
      </c>
      <c r="Q963">
        <v>0</v>
      </c>
      <c r="R963">
        <v>7.3002059826599353E-2</v>
      </c>
      <c r="S963">
        <v>0</v>
      </c>
      <c r="T963">
        <v>7.3002059826599353E-2</v>
      </c>
      <c r="U963">
        <v>0</v>
      </c>
      <c r="V963">
        <v>0.68951176364935307</v>
      </c>
      <c r="W963">
        <v>6.4518850963861576</v>
      </c>
      <c r="X963">
        <v>7.3002059826599353E-2</v>
      </c>
      <c r="Y963">
        <v>0.68951176364935307</v>
      </c>
      <c r="Z963" t="s">
        <v>24</v>
      </c>
    </row>
    <row r="964" spans="1:26" hidden="1" x14ac:dyDescent="0.2">
      <c r="A964">
        <v>62</v>
      </c>
      <c r="B964" t="s">
        <v>33</v>
      </c>
      <c r="C964" s="10">
        <v>10000033</v>
      </c>
      <c r="D964" t="b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0.30683116856886949</v>
      </c>
      <c r="Q964">
        <v>0</v>
      </c>
      <c r="R964">
        <v>7.3002059826599353E-2</v>
      </c>
      <c r="S964">
        <v>0</v>
      </c>
      <c r="T964">
        <v>7.3002059826599353E-2</v>
      </c>
      <c r="U964">
        <v>0</v>
      </c>
      <c r="V964">
        <v>0.69316883143113051</v>
      </c>
      <c r="W964">
        <v>6.4548162999862164</v>
      </c>
      <c r="X964">
        <v>7.3002059826599353E-2</v>
      </c>
      <c r="Y964">
        <v>0.69316883143113051</v>
      </c>
      <c r="Z964" t="s">
        <v>24</v>
      </c>
    </row>
    <row r="965" spans="1:26" hidden="1" x14ac:dyDescent="0.2">
      <c r="A965">
        <v>62</v>
      </c>
      <c r="B965" t="s">
        <v>32</v>
      </c>
      <c r="C965" s="10">
        <v>10000073</v>
      </c>
      <c r="D965" t="b">
        <v>1</v>
      </c>
      <c r="E965">
        <v>0</v>
      </c>
      <c r="F965">
        <v>0</v>
      </c>
      <c r="G965">
        <v>0</v>
      </c>
      <c r="H965">
        <v>0</v>
      </c>
      <c r="I965">
        <v>0.57080810483206823</v>
      </c>
      <c r="J965">
        <v>0.27212337835329981</v>
      </c>
      <c r="W965">
        <v>5.7373892059558909</v>
      </c>
      <c r="X965">
        <v>0.27212337835329981</v>
      </c>
      <c r="Y965">
        <v>0.57080810483206823</v>
      </c>
      <c r="Z965" t="s">
        <v>24</v>
      </c>
    </row>
    <row r="966" spans="1:26" hidden="1" x14ac:dyDescent="0.2">
      <c r="A966">
        <v>62</v>
      </c>
      <c r="B966" t="s">
        <v>35</v>
      </c>
      <c r="C966" s="10">
        <v>10000082</v>
      </c>
      <c r="D966" t="b">
        <v>1</v>
      </c>
      <c r="F966">
        <v>0</v>
      </c>
      <c r="G966">
        <v>0</v>
      </c>
      <c r="H966">
        <v>0</v>
      </c>
      <c r="I966">
        <v>0.7393225407231836</v>
      </c>
      <c r="J966">
        <v>0.57716804873746597</v>
      </c>
      <c r="W966">
        <v>4.6333037675023263</v>
      </c>
      <c r="X966">
        <v>1</v>
      </c>
      <c r="Y966">
        <v>0.7393225407231836</v>
      </c>
      <c r="Z966" t="s">
        <v>23</v>
      </c>
    </row>
    <row r="967" spans="1:26" hidden="1" x14ac:dyDescent="0.2">
      <c r="A967">
        <v>62</v>
      </c>
      <c r="B967" t="s">
        <v>35</v>
      </c>
      <c r="C967" s="10">
        <v>10000033</v>
      </c>
      <c r="D967" t="b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0.32127934748477688</v>
      </c>
      <c r="Q967">
        <v>0</v>
      </c>
      <c r="R967">
        <v>0.26101322538620758</v>
      </c>
      <c r="S967">
        <v>0</v>
      </c>
      <c r="T967">
        <v>0.26101322538620758</v>
      </c>
      <c r="U967">
        <v>0</v>
      </c>
      <c r="V967">
        <v>0.67872065251522318</v>
      </c>
      <c r="W967">
        <v>5.9232870451645594</v>
      </c>
      <c r="X967">
        <v>0.26101322538620758</v>
      </c>
      <c r="Y967">
        <v>0.67872065251522318</v>
      </c>
      <c r="Z967" t="s">
        <v>24</v>
      </c>
    </row>
    <row r="968" spans="1:26" hidden="1" x14ac:dyDescent="0.2">
      <c r="A968">
        <v>62</v>
      </c>
      <c r="B968" t="s">
        <v>28</v>
      </c>
      <c r="C968" s="10">
        <v>10000033</v>
      </c>
      <c r="D968" t="b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0.30498279129377998</v>
      </c>
      <c r="Q968">
        <v>0</v>
      </c>
      <c r="R968">
        <v>0.26518620142806743</v>
      </c>
      <c r="S968">
        <v>0</v>
      </c>
      <c r="T968">
        <v>0.26518620142806743</v>
      </c>
      <c r="U968">
        <v>0</v>
      </c>
      <c r="V968">
        <v>0.69501720870621997</v>
      </c>
      <c r="W968">
        <v>5.9335020237148122</v>
      </c>
      <c r="X968">
        <v>0.26518620142806743</v>
      </c>
      <c r="Y968">
        <v>0.69501720870621997</v>
      </c>
      <c r="Z968" t="s">
        <v>24</v>
      </c>
    </row>
    <row r="969" spans="1:26" hidden="1" x14ac:dyDescent="0.2">
      <c r="A969">
        <v>62</v>
      </c>
      <c r="B969" t="s">
        <v>29</v>
      </c>
      <c r="C969" s="10">
        <v>10000047</v>
      </c>
      <c r="D969" t="b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0.6862076143023329</v>
      </c>
      <c r="P969">
        <v>0</v>
      </c>
      <c r="Q969">
        <v>0.3137923856976671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5.7986820203630343</v>
      </c>
      <c r="X969">
        <v>0.3137923856976671</v>
      </c>
      <c r="Y969">
        <v>0.6862076143023329</v>
      </c>
      <c r="Z969" t="s">
        <v>24</v>
      </c>
    </row>
    <row r="970" spans="1:26" hidden="1" x14ac:dyDescent="0.2">
      <c r="A970">
        <v>62</v>
      </c>
      <c r="B970" t="s">
        <v>27</v>
      </c>
      <c r="C970" s="10">
        <v>10000033</v>
      </c>
      <c r="D970" t="b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0.29789275510465563</v>
      </c>
      <c r="Q970">
        <v>0</v>
      </c>
      <c r="R970">
        <v>0.28168727977701191</v>
      </c>
      <c r="S970">
        <v>0</v>
      </c>
      <c r="T970">
        <v>0.28168727977701191</v>
      </c>
      <c r="U970">
        <v>0</v>
      </c>
      <c r="V970">
        <v>0.70210724489534437</v>
      </c>
      <c r="W970">
        <v>5.9006231872265991</v>
      </c>
      <c r="X970">
        <v>0.28168727977701191</v>
      </c>
      <c r="Y970">
        <v>0.70210724489534437</v>
      </c>
      <c r="Z970" t="s">
        <v>24</v>
      </c>
    </row>
    <row r="971" spans="1:26" hidden="1" x14ac:dyDescent="0.2">
      <c r="A971">
        <v>62</v>
      </c>
      <c r="B971" t="s">
        <v>30</v>
      </c>
      <c r="C971" s="10">
        <v>10000073</v>
      </c>
      <c r="D971" t="b">
        <v>0</v>
      </c>
      <c r="E971">
        <v>0.42259529451440198</v>
      </c>
      <c r="F971">
        <v>0</v>
      </c>
      <c r="G971">
        <v>0.57740470548559797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3.4019278803616189</v>
      </c>
      <c r="X971">
        <v>0.57740470548559797</v>
      </c>
      <c r="Y971">
        <v>0</v>
      </c>
      <c r="Z971" t="s">
        <v>23</v>
      </c>
    </row>
    <row r="972" spans="1:26" hidden="1" x14ac:dyDescent="0.2">
      <c r="A972">
        <v>62</v>
      </c>
      <c r="B972" t="s">
        <v>30</v>
      </c>
      <c r="C972" s="10">
        <v>10000047</v>
      </c>
      <c r="D972" t="b">
        <v>0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3.1666666666666679</v>
      </c>
      <c r="X972">
        <v>1</v>
      </c>
      <c r="Y972">
        <v>0</v>
      </c>
      <c r="Z972" t="s">
        <v>23</v>
      </c>
    </row>
    <row r="973" spans="1:26" hidden="1" x14ac:dyDescent="0.2">
      <c r="A973">
        <v>62</v>
      </c>
      <c r="B973" t="s">
        <v>30</v>
      </c>
      <c r="C973" s="10">
        <v>10000033</v>
      </c>
      <c r="D973" t="b">
        <v>0</v>
      </c>
      <c r="E973">
        <v>0</v>
      </c>
      <c r="F973">
        <v>0</v>
      </c>
      <c r="G973">
        <v>0</v>
      </c>
      <c r="H973">
        <v>0.70180893065048344</v>
      </c>
      <c r="I973">
        <v>0</v>
      </c>
      <c r="J973">
        <v>0.29819106934951661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6.6717811022839646</v>
      </c>
      <c r="X973">
        <v>0</v>
      </c>
      <c r="Y973">
        <v>0.70180893065048344</v>
      </c>
      <c r="Z973" t="s">
        <v>24</v>
      </c>
    </row>
    <row r="974" spans="1:26" hidden="1" x14ac:dyDescent="0.2">
      <c r="A974">
        <v>62</v>
      </c>
      <c r="B974" t="s">
        <v>26</v>
      </c>
      <c r="C974" s="10">
        <v>10000033</v>
      </c>
      <c r="D974" t="b">
        <v>0</v>
      </c>
      <c r="E974">
        <v>0</v>
      </c>
      <c r="F974">
        <v>0</v>
      </c>
      <c r="G974">
        <v>0</v>
      </c>
      <c r="H974">
        <v>0.70170888066595838</v>
      </c>
      <c r="I974">
        <v>0</v>
      </c>
      <c r="J974">
        <v>0.29829111933404162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6.6717244225544574</v>
      </c>
      <c r="X974">
        <v>0</v>
      </c>
      <c r="Y974">
        <v>0.70170888066595838</v>
      </c>
      <c r="Z974" t="s">
        <v>24</v>
      </c>
    </row>
    <row r="975" spans="1:26" hidden="1" x14ac:dyDescent="0.2">
      <c r="A975">
        <v>63</v>
      </c>
      <c r="B975" t="s">
        <v>35</v>
      </c>
      <c r="C975" s="10">
        <v>10000082</v>
      </c>
      <c r="D975" t="b">
        <v>1</v>
      </c>
      <c r="F975">
        <v>0</v>
      </c>
      <c r="G975">
        <v>0</v>
      </c>
      <c r="H975">
        <v>0</v>
      </c>
      <c r="I975">
        <v>0</v>
      </c>
      <c r="J975">
        <v>0.83938714182616692</v>
      </c>
      <c r="W975">
        <v>3.1666666666666679</v>
      </c>
      <c r="X975">
        <v>1</v>
      </c>
      <c r="Y975">
        <v>0</v>
      </c>
      <c r="Z975" t="s">
        <v>23</v>
      </c>
    </row>
    <row r="976" spans="1:26" hidden="1" x14ac:dyDescent="0.2">
      <c r="A976">
        <v>63</v>
      </c>
      <c r="B976" t="s">
        <v>35</v>
      </c>
      <c r="C976" s="10">
        <v>10000033</v>
      </c>
      <c r="D976" t="b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0.30882977802696898</v>
      </c>
      <c r="Q976">
        <v>0</v>
      </c>
      <c r="R976">
        <v>4.0785112497225648E-2</v>
      </c>
      <c r="S976">
        <v>0</v>
      </c>
      <c r="T976">
        <v>4.0785112497225648E-2</v>
      </c>
      <c r="U976">
        <v>0</v>
      </c>
      <c r="V976">
        <v>0.69117022197303091</v>
      </c>
      <c r="W976">
        <v>6.5462806694205202</v>
      </c>
      <c r="X976">
        <v>4.0785112497225648E-2</v>
      </c>
      <c r="Y976">
        <v>0.69117022197303091</v>
      </c>
      <c r="Z976" t="s">
        <v>24</v>
      </c>
    </row>
    <row r="977" spans="1:26" hidden="1" x14ac:dyDescent="0.2">
      <c r="A977">
        <v>63</v>
      </c>
      <c r="B977" t="s">
        <v>32</v>
      </c>
      <c r="C977" s="10">
        <v>10000082</v>
      </c>
      <c r="D977" t="b">
        <v>1</v>
      </c>
      <c r="F977">
        <v>0</v>
      </c>
      <c r="G977">
        <v>0</v>
      </c>
      <c r="H977">
        <v>0</v>
      </c>
      <c r="I977">
        <v>0</v>
      </c>
      <c r="J977">
        <v>0.83621846985901394</v>
      </c>
      <c r="W977">
        <v>3.1666666666666679</v>
      </c>
      <c r="X977">
        <v>1</v>
      </c>
      <c r="Y977">
        <v>0</v>
      </c>
      <c r="Z977" t="s">
        <v>23</v>
      </c>
    </row>
    <row r="978" spans="1:26" hidden="1" x14ac:dyDescent="0.2">
      <c r="A978">
        <v>63</v>
      </c>
      <c r="B978" t="s">
        <v>32</v>
      </c>
      <c r="C978" s="10">
        <v>10000073</v>
      </c>
      <c r="D978" t="b">
        <v>1</v>
      </c>
      <c r="E978">
        <v>0</v>
      </c>
      <c r="F978">
        <v>0</v>
      </c>
      <c r="G978">
        <v>0</v>
      </c>
      <c r="H978">
        <v>0</v>
      </c>
      <c r="I978">
        <v>0.56472252202202688</v>
      </c>
      <c r="J978">
        <v>0.25606300423444017</v>
      </c>
      <c r="W978">
        <v>5.7736995552062016</v>
      </c>
      <c r="X978">
        <v>0.25606300423444017</v>
      </c>
      <c r="Y978">
        <v>0.56472252202202688</v>
      </c>
      <c r="Z978" t="s">
        <v>24</v>
      </c>
    </row>
    <row r="979" spans="1:26" hidden="1" x14ac:dyDescent="0.2">
      <c r="A979">
        <v>63</v>
      </c>
      <c r="B979" t="s">
        <v>30</v>
      </c>
      <c r="C979" s="10">
        <v>10000047</v>
      </c>
      <c r="D979" t="b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0.72512139281483778</v>
      </c>
      <c r="P979">
        <v>0</v>
      </c>
      <c r="Q979">
        <v>0.27487860718516222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5.9468636404721904</v>
      </c>
      <c r="X979">
        <v>0.27487860718516222</v>
      </c>
      <c r="Y979">
        <v>0.72512139281483778</v>
      </c>
      <c r="Z979" t="s">
        <v>24</v>
      </c>
    </row>
    <row r="980" spans="1:26" hidden="1" x14ac:dyDescent="0.2">
      <c r="A980">
        <v>63</v>
      </c>
      <c r="B980" t="s">
        <v>28</v>
      </c>
      <c r="C980" s="10">
        <v>10000033</v>
      </c>
      <c r="D980" t="b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0.34167726888770439</v>
      </c>
      <c r="Q980">
        <v>0</v>
      </c>
      <c r="R980">
        <v>0.15613672642167381</v>
      </c>
      <c r="S980">
        <v>0</v>
      </c>
      <c r="T980">
        <v>0.15613672642167381</v>
      </c>
      <c r="U980">
        <v>0</v>
      </c>
      <c r="V980">
        <v>0.65832273111229556</v>
      </c>
      <c r="W980">
        <v>6.1845730228339546</v>
      </c>
      <c r="X980">
        <v>0.15613672642167381</v>
      </c>
      <c r="Y980">
        <v>0.65832273111229556</v>
      </c>
      <c r="Z980" t="s">
        <v>24</v>
      </c>
    </row>
    <row r="981" spans="1:26" hidden="1" x14ac:dyDescent="0.2">
      <c r="A981">
        <v>63</v>
      </c>
      <c r="B981" t="s">
        <v>31</v>
      </c>
      <c r="C981" s="10">
        <v>10000073</v>
      </c>
      <c r="D981" t="b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0.46573904027390678</v>
      </c>
      <c r="P981">
        <v>0</v>
      </c>
      <c r="Q981">
        <v>0.31566362534958231</v>
      </c>
      <c r="R981">
        <v>0</v>
      </c>
      <c r="S981">
        <v>0.31566362534958231</v>
      </c>
      <c r="T981">
        <v>0</v>
      </c>
      <c r="U981">
        <v>0.53426095972609322</v>
      </c>
      <c r="V981">
        <v>0</v>
      </c>
      <c r="W981">
        <v>5.5512328977020839</v>
      </c>
      <c r="X981">
        <v>0.31566362534958231</v>
      </c>
      <c r="Y981">
        <v>0.53426095972609322</v>
      </c>
      <c r="Z981" t="s">
        <v>24</v>
      </c>
    </row>
    <row r="982" spans="1:26" hidden="1" x14ac:dyDescent="0.2">
      <c r="A982">
        <v>63</v>
      </c>
      <c r="B982" t="s">
        <v>29</v>
      </c>
      <c r="C982" s="10">
        <v>10000033</v>
      </c>
      <c r="D982" t="b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0.32079162296551228</v>
      </c>
      <c r="Q982">
        <v>0.32079162296551228</v>
      </c>
      <c r="R982">
        <v>0.20809931877232929</v>
      </c>
      <c r="S982">
        <v>0</v>
      </c>
      <c r="T982">
        <v>0.20809931877232929</v>
      </c>
      <c r="U982">
        <v>0</v>
      </c>
      <c r="V982">
        <v>0.60000000000000009</v>
      </c>
      <c r="W982">
        <v>5.6512108921378079</v>
      </c>
      <c r="X982">
        <v>0.32079162296551228</v>
      </c>
      <c r="Y982">
        <v>0.60000000000000009</v>
      </c>
      <c r="Z982" t="s">
        <v>24</v>
      </c>
    </row>
    <row r="983" spans="1:26" hidden="1" x14ac:dyDescent="0.2">
      <c r="A983">
        <v>63</v>
      </c>
      <c r="B983" t="s">
        <v>34</v>
      </c>
      <c r="C983" s="10">
        <v>10000082</v>
      </c>
      <c r="D983" t="b">
        <v>1</v>
      </c>
      <c r="F983">
        <v>0</v>
      </c>
      <c r="G983">
        <v>0</v>
      </c>
      <c r="H983">
        <v>0</v>
      </c>
      <c r="I983">
        <v>0</v>
      </c>
      <c r="J983">
        <v>0.52128302039123398</v>
      </c>
      <c r="W983">
        <v>3.1666666666666679</v>
      </c>
      <c r="X983">
        <v>1</v>
      </c>
      <c r="Y983">
        <v>0</v>
      </c>
      <c r="Z983" t="s">
        <v>23</v>
      </c>
    </row>
    <row r="984" spans="1:26" hidden="1" x14ac:dyDescent="0.2">
      <c r="A984">
        <v>63</v>
      </c>
      <c r="B984" t="s">
        <v>33</v>
      </c>
      <c r="C984" s="10">
        <v>10000047</v>
      </c>
      <c r="D984" t="b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0.65278039827021594</v>
      </c>
      <c r="P984">
        <v>0</v>
      </c>
      <c r="Q984">
        <v>0.34721960172978411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5.6665823174373386</v>
      </c>
      <c r="X984">
        <v>0.34721960172978411</v>
      </c>
      <c r="Y984">
        <v>0.65278039827021594</v>
      </c>
      <c r="Z984" t="s">
        <v>24</v>
      </c>
    </row>
    <row r="985" spans="1:26" hidden="1" x14ac:dyDescent="0.2">
      <c r="A985">
        <v>63</v>
      </c>
      <c r="B985" t="s">
        <v>34</v>
      </c>
      <c r="C985" s="10">
        <v>10000033</v>
      </c>
      <c r="D985" t="b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0.32279427039988318</v>
      </c>
      <c r="Q985">
        <v>0</v>
      </c>
      <c r="R985">
        <v>0.2270333563703803</v>
      </c>
      <c r="S985">
        <v>0</v>
      </c>
      <c r="T985">
        <v>0.2270333563703803</v>
      </c>
      <c r="U985">
        <v>0</v>
      </c>
      <c r="V985">
        <v>0.67720572960011682</v>
      </c>
      <c r="W985">
        <v>6.0110620768723102</v>
      </c>
      <c r="X985">
        <v>0.2270333563703803</v>
      </c>
      <c r="Y985">
        <v>0.67720572960011682</v>
      </c>
      <c r="Z985" t="s">
        <v>24</v>
      </c>
    </row>
    <row r="986" spans="1:26" hidden="1" x14ac:dyDescent="0.2">
      <c r="A986">
        <v>63</v>
      </c>
      <c r="B986" t="s">
        <v>27</v>
      </c>
      <c r="C986" s="10">
        <v>10000047</v>
      </c>
      <c r="D986" t="b">
        <v>0</v>
      </c>
      <c r="E986">
        <v>0.26666666666666672</v>
      </c>
      <c r="F986">
        <v>0</v>
      </c>
      <c r="G986">
        <v>0</v>
      </c>
      <c r="H986">
        <v>0</v>
      </c>
      <c r="I986">
        <v>0.26666666666666672</v>
      </c>
      <c r="J986">
        <v>0</v>
      </c>
      <c r="K986">
        <v>0.35294117647058831</v>
      </c>
      <c r="L986">
        <v>0.63234810337342851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5.6203559264452894</v>
      </c>
      <c r="X986">
        <v>0.35294117647058831</v>
      </c>
      <c r="Y986">
        <v>0.63234810337342851</v>
      </c>
      <c r="Z986" t="s">
        <v>24</v>
      </c>
    </row>
    <row r="987" spans="1:26" hidden="1" x14ac:dyDescent="0.2">
      <c r="A987">
        <v>63</v>
      </c>
      <c r="B987" t="s">
        <v>26</v>
      </c>
      <c r="C987" s="10">
        <v>10000033</v>
      </c>
      <c r="D987" t="b">
        <v>0</v>
      </c>
      <c r="E987">
        <v>0</v>
      </c>
      <c r="F987">
        <v>0</v>
      </c>
      <c r="G987">
        <v>0</v>
      </c>
      <c r="H987">
        <v>0.67587881960258889</v>
      </c>
      <c r="I987">
        <v>0</v>
      </c>
      <c r="J987">
        <v>0.32412118039741111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6.6570635287468782</v>
      </c>
      <c r="X987">
        <v>0</v>
      </c>
      <c r="Y987">
        <v>0.67587881960258889</v>
      </c>
      <c r="Z987" t="s">
        <v>24</v>
      </c>
    </row>
    <row r="988" spans="1:26" hidden="1" x14ac:dyDescent="0.2">
      <c r="A988">
        <v>64</v>
      </c>
      <c r="B988" t="s">
        <v>34</v>
      </c>
      <c r="C988" s="10">
        <v>10000082</v>
      </c>
      <c r="D988" t="b">
        <v>1</v>
      </c>
      <c r="F988">
        <v>0</v>
      </c>
      <c r="G988">
        <v>0</v>
      </c>
      <c r="H988">
        <v>0</v>
      </c>
      <c r="I988">
        <v>0.91469038526610913</v>
      </c>
      <c r="J988">
        <v>0.13459137081607089</v>
      </c>
      <c r="W988">
        <v>4.8912249715987386</v>
      </c>
      <c r="X988">
        <v>1</v>
      </c>
      <c r="Y988">
        <v>0.91469038526610913</v>
      </c>
      <c r="Z988" t="s">
        <v>23</v>
      </c>
    </row>
    <row r="989" spans="1:26" hidden="1" x14ac:dyDescent="0.2">
      <c r="A989">
        <v>64</v>
      </c>
      <c r="B989" t="s">
        <v>34</v>
      </c>
      <c r="C989" s="10">
        <v>10000047</v>
      </c>
      <c r="D989" t="b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0.82093219346485335</v>
      </c>
      <c r="P989">
        <v>0</v>
      </c>
      <c r="Q989">
        <v>0.17906780653514659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6.287108927614514</v>
      </c>
      <c r="X989">
        <v>0.17906780653514659</v>
      </c>
      <c r="Y989">
        <v>0.82093219346485335</v>
      </c>
      <c r="Z989" t="s">
        <v>24</v>
      </c>
    </row>
    <row r="990" spans="1:26" hidden="1" x14ac:dyDescent="0.2">
      <c r="A990">
        <v>64</v>
      </c>
      <c r="B990" t="s">
        <v>27</v>
      </c>
      <c r="C990" s="10">
        <v>10000073</v>
      </c>
      <c r="D990" t="b">
        <v>1</v>
      </c>
      <c r="E990">
        <v>0</v>
      </c>
      <c r="F990">
        <v>0</v>
      </c>
      <c r="G990">
        <v>0</v>
      </c>
      <c r="H990">
        <v>0</v>
      </c>
      <c r="I990">
        <v>0.57079686773220661</v>
      </c>
      <c r="J990">
        <v>0.22838928864180841</v>
      </c>
      <c r="W990">
        <v>5.8638184267457722</v>
      </c>
      <c r="X990">
        <v>0.22838928864180841</v>
      </c>
      <c r="Y990">
        <v>0.57079686773220661</v>
      </c>
      <c r="Z990" t="s">
        <v>24</v>
      </c>
    </row>
    <row r="991" spans="1:26" hidden="1" x14ac:dyDescent="0.2">
      <c r="A991">
        <v>64</v>
      </c>
      <c r="B991" t="s">
        <v>26</v>
      </c>
      <c r="C991" s="10">
        <v>10000033</v>
      </c>
      <c r="D991" t="b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0.30824196187127428</v>
      </c>
      <c r="Q991">
        <v>0</v>
      </c>
      <c r="R991">
        <v>8.0832082933807586E-2</v>
      </c>
      <c r="S991">
        <v>0</v>
      </c>
      <c r="T991">
        <v>8.0832082933807586E-2</v>
      </c>
      <c r="U991">
        <v>0</v>
      </c>
      <c r="V991">
        <v>0.69175803812872561</v>
      </c>
      <c r="W991">
        <v>6.4312717152801637</v>
      </c>
      <c r="X991">
        <v>8.0832082933807586E-2</v>
      </c>
      <c r="Y991">
        <v>0.69175803812872561</v>
      </c>
      <c r="Z991" t="s">
        <v>24</v>
      </c>
    </row>
    <row r="992" spans="1:26" hidden="1" x14ac:dyDescent="0.2">
      <c r="A992">
        <v>64</v>
      </c>
      <c r="B992" t="s">
        <v>35</v>
      </c>
      <c r="C992" s="10">
        <v>10000033</v>
      </c>
      <c r="D992" t="b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0.32413931074259089</v>
      </c>
      <c r="Q992">
        <v>0.32413931074259089</v>
      </c>
      <c r="R992">
        <v>8.3186257809784711E-2</v>
      </c>
      <c r="S992">
        <v>0</v>
      </c>
      <c r="T992">
        <v>8.3186257809784711E-2</v>
      </c>
      <c r="U992">
        <v>0</v>
      </c>
      <c r="V992">
        <v>0.60000000000000009</v>
      </c>
      <c r="W992">
        <v>5.6423523864648431</v>
      </c>
      <c r="X992">
        <v>0.32413931074259089</v>
      </c>
      <c r="Y992">
        <v>0.60000000000000009</v>
      </c>
      <c r="Z992" t="s">
        <v>24</v>
      </c>
    </row>
    <row r="993" spans="1:26" hidden="1" x14ac:dyDescent="0.2">
      <c r="A993">
        <v>64</v>
      </c>
      <c r="B993" t="s">
        <v>30</v>
      </c>
      <c r="C993" s="10">
        <v>10000033</v>
      </c>
      <c r="D993" t="b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0.32424612638967198</v>
      </c>
      <c r="Q993">
        <v>0.32424612638967198</v>
      </c>
      <c r="R993">
        <v>9.5346921683239882E-2</v>
      </c>
      <c r="S993">
        <v>0</v>
      </c>
      <c r="T993">
        <v>9.5346921683239882E-2</v>
      </c>
      <c r="U993">
        <v>0</v>
      </c>
      <c r="V993">
        <v>0.66666666666666652</v>
      </c>
      <c r="W993">
        <v>5.7447537463366007</v>
      </c>
      <c r="X993">
        <v>0.32424612638967198</v>
      </c>
      <c r="Y993">
        <v>0.66666666666666652</v>
      </c>
      <c r="Z993" t="s">
        <v>24</v>
      </c>
    </row>
    <row r="994" spans="1:26" hidden="1" x14ac:dyDescent="0.2">
      <c r="A994">
        <v>64</v>
      </c>
      <c r="B994" t="s">
        <v>32</v>
      </c>
      <c r="C994" s="10">
        <v>10000033</v>
      </c>
      <c r="D994" t="b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0.32809194180981099</v>
      </c>
      <c r="Q994">
        <v>0</v>
      </c>
      <c r="R994">
        <v>9.5346921683239882E-2</v>
      </c>
      <c r="S994">
        <v>0</v>
      </c>
      <c r="T994">
        <v>9.5346921683239882E-2</v>
      </c>
      <c r="U994">
        <v>0</v>
      </c>
      <c r="V994">
        <v>0.67190805819018895</v>
      </c>
      <c r="W994">
        <v>6.3725222456612443</v>
      </c>
      <c r="X994">
        <v>9.5346921683239882E-2</v>
      </c>
      <c r="Y994">
        <v>0.67190805819018895</v>
      </c>
      <c r="Z994" t="s">
        <v>24</v>
      </c>
    </row>
    <row r="995" spans="1:26" hidden="1" x14ac:dyDescent="0.2">
      <c r="A995">
        <v>64</v>
      </c>
      <c r="B995" t="s">
        <v>33</v>
      </c>
      <c r="C995" s="10">
        <v>10000047</v>
      </c>
      <c r="D995" t="b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0.79451947174171467</v>
      </c>
      <c r="P995">
        <v>0</v>
      </c>
      <c r="Q995">
        <v>0.20548052825828531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6.1967110926705669</v>
      </c>
      <c r="X995">
        <v>0.20548052825828531</v>
      </c>
      <c r="Y995">
        <v>0.79451947174171467</v>
      </c>
      <c r="Z995" t="s">
        <v>24</v>
      </c>
    </row>
    <row r="996" spans="1:26" hidden="1" x14ac:dyDescent="0.2">
      <c r="A996">
        <v>64</v>
      </c>
      <c r="B996" t="s">
        <v>29</v>
      </c>
      <c r="C996" s="10">
        <v>10000082</v>
      </c>
      <c r="D996" t="b">
        <v>1</v>
      </c>
      <c r="F996">
        <v>0</v>
      </c>
      <c r="G996">
        <v>0.3</v>
      </c>
      <c r="H996">
        <v>0</v>
      </c>
      <c r="I996">
        <v>0.7</v>
      </c>
      <c r="J996">
        <v>0</v>
      </c>
      <c r="W996">
        <v>4.5700599659548384</v>
      </c>
      <c r="X996">
        <v>1</v>
      </c>
      <c r="Y996">
        <v>0.7</v>
      </c>
      <c r="Z996" t="s">
        <v>23</v>
      </c>
    </row>
    <row r="997" spans="1:26" hidden="1" x14ac:dyDescent="0.2">
      <c r="A997">
        <v>64</v>
      </c>
      <c r="B997" t="s">
        <v>29</v>
      </c>
      <c r="C997" s="10">
        <v>10000033</v>
      </c>
      <c r="D997" t="b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0.6</v>
      </c>
      <c r="M997">
        <v>0.1492729771215448</v>
      </c>
      <c r="N997">
        <v>0</v>
      </c>
      <c r="O997">
        <v>0</v>
      </c>
      <c r="P997">
        <v>0.33309837171646528</v>
      </c>
      <c r="Q997">
        <v>0.1111111111111112</v>
      </c>
      <c r="R997">
        <v>0.1492729771215448</v>
      </c>
      <c r="S997">
        <v>0</v>
      </c>
      <c r="T997">
        <v>0.1492729771215448</v>
      </c>
      <c r="U997">
        <v>0</v>
      </c>
      <c r="V997">
        <v>0.4</v>
      </c>
      <c r="W997">
        <v>6.139280073586125</v>
      </c>
      <c r="X997">
        <v>0.1492729771215448</v>
      </c>
      <c r="Y997">
        <v>0.6</v>
      </c>
      <c r="Z997" t="s">
        <v>24</v>
      </c>
    </row>
    <row r="998" spans="1:26" hidden="1" x14ac:dyDescent="0.2">
      <c r="A998">
        <v>64</v>
      </c>
      <c r="B998" t="s">
        <v>31</v>
      </c>
      <c r="C998" s="10">
        <v>10000047</v>
      </c>
      <c r="D998" t="b">
        <v>0</v>
      </c>
      <c r="E998">
        <v>0</v>
      </c>
      <c r="F998">
        <v>0</v>
      </c>
      <c r="G998">
        <v>0</v>
      </c>
      <c r="H998">
        <v>0</v>
      </c>
      <c r="I998">
        <v>0.1</v>
      </c>
      <c r="J998">
        <v>0.1</v>
      </c>
      <c r="K998">
        <v>0</v>
      </c>
      <c r="L998">
        <v>0.75375571834529176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6.7010557711401404</v>
      </c>
      <c r="X998">
        <v>0</v>
      </c>
      <c r="Y998">
        <v>0.75375571834529176</v>
      </c>
      <c r="Z998" t="s">
        <v>24</v>
      </c>
    </row>
    <row r="999" spans="1:26" hidden="1" x14ac:dyDescent="0.2">
      <c r="A999">
        <v>64</v>
      </c>
      <c r="B999" t="s">
        <v>28</v>
      </c>
      <c r="C999" s="10">
        <v>10000033</v>
      </c>
      <c r="D999" t="b">
        <v>0</v>
      </c>
      <c r="E999">
        <v>0</v>
      </c>
      <c r="F999">
        <v>0</v>
      </c>
      <c r="G999">
        <v>0</v>
      </c>
      <c r="H999">
        <v>0.66666666666666663</v>
      </c>
      <c r="I999">
        <v>0</v>
      </c>
      <c r="J999">
        <v>0.33253171338498871</v>
      </c>
      <c r="K999">
        <v>0</v>
      </c>
      <c r="L999">
        <v>0.33333333333333331</v>
      </c>
      <c r="M999">
        <v>0.17234212983734329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6.148089937783042</v>
      </c>
      <c r="X999">
        <v>0.17234212983734329</v>
      </c>
      <c r="Y999">
        <v>0.66666666666666663</v>
      </c>
      <c r="Z999" t="s">
        <v>24</v>
      </c>
    </row>
    <row r="1000" spans="1:26" hidden="1" x14ac:dyDescent="0.2">
      <c r="A1000">
        <v>65</v>
      </c>
      <c r="B1000" t="s">
        <v>33</v>
      </c>
      <c r="C1000" s="10">
        <v>10000082</v>
      </c>
      <c r="D1000" t="b">
        <v>1</v>
      </c>
      <c r="F1000">
        <v>0</v>
      </c>
      <c r="G1000">
        <v>0</v>
      </c>
      <c r="H1000">
        <v>0</v>
      </c>
      <c r="I1000">
        <v>0.25925199323292508</v>
      </c>
      <c r="J1000">
        <v>0.74074800676707486</v>
      </c>
      <c r="W1000">
        <v>3.7356568689792828</v>
      </c>
      <c r="X1000">
        <v>1</v>
      </c>
      <c r="Y1000">
        <v>0.25925199323292508</v>
      </c>
      <c r="Z1000" t="s">
        <v>23</v>
      </c>
    </row>
    <row r="1001" spans="1:26" hidden="1" x14ac:dyDescent="0.2">
      <c r="A1001">
        <v>65</v>
      </c>
      <c r="B1001" t="s">
        <v>33</v>
      </c>
      <c r="C1001" s="10">
        <v>10000073</v>
      </c>
      <c r="D1001" t="b">
        <v>1</v>
      </c>
      <c r="E1001">
        <v>0</v>
      </c>
      <c r="F1001">
        <v>0</v>
      </c>
      <c r="G1001">
        <v>0</v>
      </c>
      <c r="H1001">
        <v>0</v>
      </c>
      <c r="I1001">
        <v>0.56863916504108691</v>
      </c>
      <c r="J1001">
        <v>0.2139992795881579</v>
      </c>
      <c r="W1001">
        <v>5.9033393833744388</v>
      </c>
      <c r="X1001">
        <v>0.2139992795881579</v>
      </c>
      <c r="Y1001">
        <v>0.56863916504108691</v>
      </c>
      <c r="Z1001" t="s">
        <v>24</v>
      </c>
    </row>
    <row r="1002" spans="1:26" hidden="1" x14ac:dyDescent="0.2">
      <c r="A1002">
        <v>65</v>
      </c>
      <c r="B1002" t="s">
        <v>26</v>
      </c>
      <c r="C1002" s="10">
        <v>10000033</v>
      </c>
      <c r="D1002" t="b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0.30937297750583198</v>
      </c>
      <c r="Q1002">
        <v>0</v>
      </c>
      <c r="R1002">
        <v>0.17045334254395009</v>
      </c>
      <c r="S1002">
        <v>0</v>
      </c>
      <c r="T1002">
        <v>0.17045334254395009</v>
      </c>
      <c r="U1002">
        <v>0</v>
      </c>
      <c r="V1002">
        <v>0.69062702249416796</v>
      </c>
      <c r="W1002">
        <v>6.1794767538532227</v>
      </c>
      <c r="X1002">
        <v>0.17045334254395009</v>
      </c>
      <c r="Y1002">
        <v>0.69062702249416796</v>
      </c>
      <c r="Z1002" t="s">
        <v>24</v>
      </c>
    </row>
    <row r="1003" spans="1:26" hidden="1" x14ac:dyDescent="0.2">
      <c r="A1003">
        <v>65</v>
      </c>
      <c r="B1003" t="s">
        <v>29</v>
      </c>
      <c r="C1003" s="10">
        <v>10000082</v>
      </c>
      <c r="D1003" t="b">
        <v>1</v>
      </c>
      <c r="F1003">
        <v>0</v>
      </c>
      <c r="G1003">
        <v>0</v>
      </c>
      <c r="H1003">
        <v>0</v>
      </c>
      <c r="I1003">
        <v>0.99950638656299917</v>
      </c>
      <c r="J1003">
        <v>8.3176171420806813E-2</v>
      </c>
      <c r="W1003">
        <v>5.0018829390892963</v>
      </c>
      <c r="X1003">
        <v>1</v>
      </c>
      <c r="Y1003">
        <v>0.99950638656299917</v>
      </c>
      <c r="Z1003" t="s">
        <v>23</v>
      </c>
    </row>
    <row r="1004" spans="1:26" hidden="1" x14ac:dyDescent="0.2">
      <c r="A1004">
        <v>65</v>
      </c>
      <c r="B1004" t="s">
        <v>29</v>
      </c>
      <c r="C1004" s="10">
        <v>10000033</v>
      </c>
      <c r="D1004" t="b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0.18181818181818171</v>
      </c>
      <c r="Q1004">
        <v>0.29497759421996372</v>
      </c>
      <c r="R1004">
        <v>0.18181818181818171</v>
      </c>
      <c r="S1004">
        <v>0</v>
      </c>
      <c r="T1004">
        <v>0.22790873229248329</v>
      </c>
      <c r="U1004">
        <v>0</v>
      </c>
      <c r="V1004">
        <v>0.70502240578003628</v>
      </c>
      <c r="W1004">
        <v>5.8710698518970688</v>
      </c>
      <c r="X1004">
        <v>0.29497759421996372</v>
      </c>
      <c r="Y1004">
        <v>0.70502240578003628</v>
      </c>
      <c r="Z1004" t="s">
        <v>24</v>
      </c>
    </row>
    <row r="1005" spans="1:26" hidden="1" x14ac:dyDescent="0.2">
      <c r="A1005">
        <v>65</v>
      </c>
      <c r="B1005" t="s">
        <v>34</v>
      </c>
      <c r="C1005" s="10">
        <v>10000082</v>
      </c>
      <c r="D1005" t="b">
        <v>1</v>
      </c>
      <c r="F1005">
        <v>0</v>
      </c>
      <c r="G1005">
        <v>0</v>
      </c>
      <c r="H1005">
        <v>0</v>
      </c>
      <c r="I1005">
        <v>0.99950638656299917</v>
      </c>
      <c r="J1005">
        <v>8.3176171420806813E-2</v>
      </c>
      <c r="W1005">
        <v>5.0018829390892963</v>
      </c>
      <c r="X1005">
        <v>1</v>
      </c>
      <c r="Y1005">
        <v>0.99950638656299917</v>
      </c>
      <c r="Z1005" t="s">
        <v>23</v>
      </c>
    </row>
    <row r="1006" spans="1:26" hidden="1" x14ac:dyDescent="0.2">
      <c r="A1006">
        <v>65</v>
      </c>
      <c r="B1006" t="s">
        <v>34</v>
      </c>
      <c r="C1006" s="10">
        <v>10000033</v>
      </c>
      <c r="D1006" t="b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0.30220452226173988</v>
      </c>
      <c r="R1006">
        <v>0</v>
      </c>
      <c r="S1006">
        <v>0.15384615384615369</v>
      </c>
      <c r="T1006">
        <v>0.22790873229248329</v>
      </c>
      <c r="U1006">
        <v>0</v>
      </c>
      <c r="V1006">
        <v>0.69779547773826012</v>
      </c>
      <c r="W1006">
        <v>5.8434304062328524</v>
      </c>
      <c r="X1006">
        <v>0.30220452226173988</v>
      </c>
      <c r="Y1006">
        <v>0.69779547773826012</v>
      </c>
      <c r="Z1006" t="s">
        <v>24</v>
      </c>
    </row>
    <row r="1007" spans="1:26" hidden="1" x14ac:dyDescent="0.2">
      <c r="A1007">
        <v>65</v>
      </c>
      <c r="B1007" t="s">
        <v>32</v>
      </c>
      <c r="C1007" s="10">
        <v>10000033</v>
      </c>
      <c r="D1007" t="b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0.30470138886758902</v>
      </c>
      <c r="R1007">
        <v>0</v>
      </c>
      <c r="S1007">
        <v>0</v>
      </c>
      <c r="T1007">
        <v>0.22790873229248329</v>
      </c>
      <c r="U1007">
        <v>0</v>
      </c>
      <c r="V1007">
        <v>0.69529861113241109</v>
      </c>
      <c r="W1007">
        <v>5.8338336968736781</v>
      </c>
      <c r="X1007">
        <v>0.30470138886758902</v>
      </c>
      <c r="Y1007">
        <v>0.69529861113241109</v>
      </c>
      <c r="Z1007" t="s">
        <v>24</v>
      </c>
    </row>
    <row r="1008" spans="1:26" hidden="1" x14ac:dyDescent="0.2">
      <c r="A1008">
        <v>65</v>
      </c>
      <c r="B1008" t="s">
        <v>28</v>
      </c>
      <c r="C1008" s="10">
        <v>10000033</v>
      </c>
      <c r="D1008" t="b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0.29407031625294883</v>
      </c>
      <c r="Q1008">
        <v>0.29407031625294883</v>
      </c>
      <c r="R1008">
        <v>0.29407031625294883</v>
      </c>
      <c r="S1008">
        <v>0</v>
      </c>
      <c r="T1008">
        <v>0.36952710167247171</v>
      </c>
      <c r="U1008">
        <v>0</v>
      </c>
      <c r="V1008">
        <v>0.52631578947368407</v>
      </c>
      <c r="W1008">
        <v>5.3879497931989357</v>
      </c>
      <c r="X1008">
        <v>0.36952710167247171</v>
      </c>
      <c r="Y1008">
        <v>0.52631578947368407</v>
      </c>
      <c r="Z1008" t="s">
        <v>24</v>
      </c>
    </row>
    <row r="1009" spans="1:26" hidden="1" x14ac:dyDescent="0.2">
      <c r="A1009">
        <v>65</v>
      </c>
      <c r="B1009" t="s">
        <v>30</v>
      </c>
      <c r="C1009" s="10">
        <v>10000073</v>
      </c>
      <c r="D1009" t="b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0.39904123523042101</v>
      </c>
      <c r="P1009">
        <v>0</v>
      </c>
      <c r="Q1009">
        <v>0.39904123523042101</v>
      </c>
      <c r="R1009">
        <v>0</v>
      </c>
      <c r="S1009">
        <v>0.50829933066299016</v>
      </c>
      <c r="T1009">
        <v>0</v>
      </c>
      <c r="U1009">
        <v>0.49170066933700979</v>
      </c>
      <c r="V1009">
        <v>0</v>
      </c>
      <c r="W1009">
        <v>4.9637256436788002</v>
      </c>
      <c r="X1009">
        <v>0.50829933066299016</v>
      </c>
      <c r="Y1009">
        <v>0.49170066933700979</v>
      </c>
      <c r="Z1009" t="s">
        <v>23</v>
      </c>
    </row>
    <row r="1010" spans="1:26" hidden="1" x14ac:dyDescent="0.2">
      <c r="A1010">
        <v>65</v>
      </c>
      <c r="B1010" t="s">
        <v>30</v>
      </c>
      <c r="C1010" s="10">
        <v>10000082</v>
      </c>
      <c r="D1010" t="b">
        <v>1</v>
      </c>
      <c r="F1010">
        <v>0</v>
      </c>
      <c r="G1010">
        <v>0</v>
      </c>
      <c r="H1010">
        <v>0</v>
      </c>
      <c r="I1010">
        <v>1</v>
      </c>
      <c r="J1010">
        <v>0</v>
      </c>
      <c r="W1010">
        <v>5.0025004164584352</v>
      </c>
      <c r="X1010">
        <v>1</v>
      </c>
      <c r="Y1010">
        <v>1</v>
      </c>
      <c r="Z1010" t="s">
        <v>23</v>
      </c>
    </row>
    <row r="1011" spans="1:26" hidden="1" x14ac:dyDescent="0.2">
      <c r="A1011">
        <v>65</v>
      </c>
      <c r="B1011" t="s">
        <v>27</v>
      </c>
      <c r="C1011" s="10">
        <v>10000047</v>
      </c>
      <c r="D1011" t="b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0.4954648800409423</v>
      </c>
      <c r="P1011">
        <v>0</v>
      </c>
      <c r="Q1011">
        <v>0.50453511995905775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4.9812723976115771</v>
      </c>
      <c r="X1011">
        <v>0.50453511995905775</v>
      </c>
      <c r="Y1011">
        <v>0.4954648800409423</v>
      </c>
      <c r="Z1011" t="s">
        <v>23</v>
      </c>
    </row>
    <row r="1012" spans="1:26" hidden="1" x14ac:dyDescent="0.2">
      <c r="A1012">
        <v>65</v>
      </c>
      <c r="B1012" t="s">
        <v>27</v>
      </c>
      <c r="C1012" s="10">
        <v>10000082</v>
      </c>
      <c r="D1012" t="b">
        <v>1</v>
      </c>
      <c r="F1012">
        <v>0</v>
      </c>
      <c r="G1012">
        <v>0.1</v>
      </c>
      <c r="H1012">
        <v>0</v>
      </c>
      <c r="I1012">
        <v>0.9</v>
      </c>
      <c r="J1012">
        <v>0</v>
      </c>
      <c r="W1012">
        <v>4.8711313088858583</v>
      </c>
      <c r="X1012">
        <v>1</v>
      </c>
      <c r="Y1012">
        <v>0.9</v>
      </c>
      <c r="Z1012" t="s">
        <v>23</v>
      </c>
    </row>
    <row r="1013" spans="1:26" hidden="1" x14ac:dyDescent="0.2">
      <c r="A1013">
        <v>65</v>
      </c>
      <c r="B1013" t="s">
        <v>30</v>
      </c>
      <c r="C1013" s="10">
        <v>10000033</v>
      </c>
      <c r="D1013" t="b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0.36666666666666659</v>
      </c>
      <c r="M1013">
        <v>0.36666666666666659</v>
      </c>
      <c r="N1013">
        <v>0</v>
      </c>
      <c r="O1013">
        <v>0</v>
      </c>
      <c r="P1013">
        <v>0.27666580850006017</v>
      </c>
      <c r="Q1013">
        <v>0.21739130434782619</v>
      </c>
      <c r="R1013">
        <v>0.27666580850006017</v>
      </c>
      <c r="S1013">
        <v>0</v>
      </c>
      <c r="T1013">
        <v>0.42815650011411882</v>
      </c>
      <c r="U1013">
        <v>0</v>
      </c>
      <c r="V1013">
        <v>0.57184349988588112</v>
      </c>
      <c r="W1013">
        <v>5.3275205658106426</v>
      </c>
      <c r="X1013">
        <v>0.42815650011411882</v>
      </c>
      <c r="Y1013">
        <v>0.57184349988588112</v>
      </c>
      <c r="Z1013" t="s">
        <v>24</v>
      </c>
    </row>
    <row r="1014" spans="1:26" hidden="1" x14ac:dyDescent="0.2">
      <c r="A1014">
        <v>65</v>
      </c>
      <c r="B1014" t="s">
        <v>27</v>
      </c>
      <c r="C1014" s="10">
        <v>10000033</v>
      </c>
      <c r="D1014" t="b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0.4</v>
      </c>
      <c r="M1014">
        <v>0.4</v>
      </c>
      <c r="N1014">
        <v>0</v>
      </c>
      <c r="O1014">
        <v>0</v>
      </c>
      <c r="P1014">
        <v>0.27033254640320259</v>
      </c>
      <c r="Q1014">
        <v>3.7037037037037202E-2</v>
      </c>
      <c r="R1014">
        <v>0.27033254640320259</v>
      </c>
      <c r="S1014">
        <v>0</v>
      </c>
      <c r="T1014">
        <v>0.42815650011411882</v>
      </c>
      <c r="U1014">
        <v>0</v>
      </c>
      <c r="V1014">
        <v>0.57184349988588112</v>
      </c>
      <c r="W1014">
        <v>5.3275205658106426</v>
      </c>
      <c r="X1014">
        <v>0.42815650011411882</v>
      </c>
      <c r="Y1014">
        <v>0.57184349988588112</v>
      </c>
      <c r="Z1014" t="s">
        <v>24</v>
      </c>
    </row>
    <row r="1015" spans="1:26" hidden="1" x14ac:dyDescent="0.2">
      <c r="A1015">
        <v>65</v>
      </c>
      <c r="B1015" t="s">
        <v>31</v>
      </c>
      <c r="C1015" s="10">
        <v>10000082</v>
      </c>
      <c r="D1015" t="b">
        <v>1</v>
      </c>
      <c r="F1015">
        <v>0</v>
      </c>
      <c r="G1015">
        <v>0.66666666666666663</v>
      </c>
      <c r="H1015">
        <v>0</v>
      </c>
      <c r="I1015">
        <v>0</v>
      </c>
      <c r="J1015">
        <v>0</v>
      </c>
      <c r="W1015">
        <v>4.5149105270526677</v>
      </c>
      <c r="X1015">
        <v>1</v>
      </c>
      <c r="Y1015">
        <v>0.66666666666666663</v>
      </c>
      <c r="Z1015" t="s">
        <v>23</v>
      </c>
    </row>
    <row r="1016" spans="1:26" hidden="1" x14ac:dyDescent="0.2">
      <c r="A1016">
        <v>65</v>
      </c>
      <c r="B1016" t="s">
        <v>31</v>
      </c>
      <c r="C1016" s="10">
        <v>10000033</v>
      </c>
      <c r="D1016" t="b">
        <v>0</v>
      </c>
      <c r="E1016">
        <v>0</v>
      </c>
      <c r="F1016">
        <v>0</v>
      </c>
      <c r="G1016">
        <v>0</v>
      </c>
      <c r="H1016">
        <v>0.73239090487232616</v>
      </c>
      <c r="I1016">
        <v>0</v>
      </c>
      <c r="J1016">
        <v>0.26760909512767378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6.6890474883033804</v>
      </c>
      <c r="X1016">
        <v>0</v>
      </c>
      <c r="Y1016">
        <v>0.73239090487232616</v>
      </c>
      <c r="Z1016" t="s">
        <v>24</v>
      </c>
    </row>
    <row r="1017" spans="1:26" hidden="1" x14ac:dyDescent="0.2">
      <c r="A1017">
        <v>65</v>
      </c>
      <c r="B1017" t="s">
        <v>31</v>
      </c>
      <c r="C1017" s="10">
        <v>10000073</v>
      </c>
      <c r="D1017" t="b">
        <v>0</v>
      </c>
      <c r="E1017">
        <v>0.39062406181450893</v>
      </c>
      <c r="F1017">
        <v>0</v>
      </c>
      <c r="G1017">
        <v>0.60937593818549107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3.383488459170882</v>
      </c>
      <c r="X1017">
        <v>0.60937593818549107</v>
      </c>
      <c r="Y1017">
        <v>0</v>
      </c>
      <c r="Z1017" t="s">
        <v>23</v>
      </c>
    </row>
    <row r="1018" spans="1:26" hidden="1" x14ac:dyDescent="0.2">
      <c r="A1018">
        <v>65</v>
      </c>
      <c r="B1018" t="s">
        <v>35</v>
      </c>
      <c r="C1018" s="10">
        <v>10000082</v>
      </c>
      <c r="D1018" t="b">
        <v>1</v>
      </c>
      <c r="F1018">
        <v>0</v>
      </c>
      <c r="G1018">
        <v>1</v>
      </c>
      <c r="H1018">
        <v>0</v>
      </c>
      <c r="I1018">
        <v>0</v>
      </c>
      <c r="J1018">
        <v>0</v>
      </c>
      <c r="W1018">
        <v>5.0025004164584352</v>
      </c>
      <c r="X1018">
        <v>1</v>
      </c>
      <c r="Y1018">
        <v>1</v>
      </c>
      <c r="Z1018" t="s">
        <v>23</v>
      </c>
    </row>
    <row r="1019" spans="1:26" hidden="1" x14ac:dyDescent="0.2">
      <c r="A1019">
        <v>65</v>
      </c>
      <c r="B1019" t="s">
        <v>35</v>
      </c>
      <c r="C1019" s="10">
        <v>10000033</v>
      </c>
      <c r="D1019" t="b">
        <v>0</v>
      </c>
      <c r="E1019">
        <v>0</v>
      </c>
      <c r="F1019">
        <v>0</v>
      </c>
      <c r="G1019">
        <v>0</v>
      </c>
      <c r="H1019">
        <v>0.73393161630303083</v>
      </c>
      <c r="I1019">
        <v>0</v>
      </c>
      <c r="J1019">
        <v>0.26606838369696922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6.6899164990536901</v>
      </c>
      <c r="X1019">
        <v>0</v>
      </c>
      <c r="Y1019">
        <v>0.73393161630303083</v>
      </c>
      <c r="Z1019" t="s">
        <v>24</v>
      </c>
    </row>
    <row r="1020" spans="1:26" hidden="1" x14ac:dyDescent="0.2">
      <c r="A1020">
        <v>66</v>
      </c>
      <c r="B1020" t="s">
        <v>32</v>
      </c>
      <c r="C1020" s="10">
        <v>10000033</v>
      </c>
      <c r="D1020" t="b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0.30882977802696898</v>
      </c>
      <c r="Q1020">
        <v>0</v>
      </c>
      <c r="R1020">
        <v>0.14841457456893661</v>
      </c>
      <c r="S1020">
        <v>0</v>
      </c>
      <c r="T1020">
        <v>0.14841457456893661</v>
      </c>
      <c r="U1020">
        <v>0</v>
      </c>
      <c r="V1020">
        <v>0.69117022197303091</v>
      </c>
      <c r="W1020">
        <v>6.2406382795995698</v>
      </c>
      <c r="X1020">
        <v>0.14841457456893661</v>
      </c>
      <c r="Y1020">
        <v>0.69117022197303091</v>
      </c>
      <c r="Z1020" t="s">
        <v>24</v>
      </c>
    </row>
    <row r="1021" spans="1:26" hidden="1" x14ac:dyDescent="0.2">
      <c r="A1021">
        <v>66</v>
      </c>
      <c r="B1021" t="s">
        <v>26</v>
      </c>
      <c r="C1021" s="10">
        <v>10000082</v>
      </c>
      <c r="D1021" t="b">
        <v>1</v>
      </c>
      <c r="F1021">
        <v>0</v>
      </c>
      <c r="G1021">
        <v>0</v>
      </c>
      <c r="H1021">
        <v>0</v>
      </c>
      <c r="I1021">
        <v>0.99799957024618891</v>
      </c>
      <c r="J1021">
        <v>0.18234684264958001</v>
      </c>
      <c r="W1021">
        <v>4.9999961264624151</v>
      </c>
      <c r="X1021">
        <v>1</v>
      </c>
      <c r="Y1021">
        <v>0.99799957024618891</v>
      </c>
      <c r="Z1021" t="s">
        <v>23</v>
      </c>
    </row>
    <row r="1022" spans="1:26" hidden="1" x14ac:dyDescent="0.2">
      <c r="A1022">
        <v>66</v>
      </c>
      <c r="B1022" t="s">
        <v>26</v>
      </c>
      <c r="C1022" s="10">
        <v>10000033</v>
      </c>
      <c r="D1022" t="b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0.32401869142423079</v>
      </c>
      <c r="Q1022">
        <v>0.32401869142423079</v>
      </c>
      <c r="R1022">
        <v>0.1495915485158823</v>
      </c>
      <c r="S1022">
        <v>0</v>
      </c>
      <c r="T1022">
        <v>0.1495915485158823</v>
      </c>
      <c r="U1022">
        <v>0</v>
      </c>
      <c r="V1022">
        <v>0.66666666666666652</v>
      </c>
      <c r="W1022">
        <v>5.7453255666682956</v>
      </c>
      <c r="X1022">
        <v>0.32401869142423079</v>
      </c>
      <c r="Y1022">
        <v>0.66666666666666652</v>
      </c>
      <c r="Z1022" t="s">
        <v>24</v>
      </c>
    </row>
    <row r="1023" spans="1:26" hidden="1" x14ac:dyDescent="0.2">
      <c r="A1023">
        <v>66</v>
      </c>
      <c r="B1023" t="s">
        <v>27</v>
      </c>
      <c r="C1023" s="10">
        <v>10000047</v>
      </c>
      <c r="D1023" t="b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0.72288273236153555</v>
      </c>
      <c r="P1023">
        <v>0</v>
      </c>
      <c r="Q1023">
        <v>0.2771172676384645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5.9384992999345201</v>
      </c>
      <c r="X1023">
        <v>0.2771172676384645</v>
      </c>
      <c r="Y1023">
        <v>0.72288273236153555</v>
      </c>
      <c r="Z1023" t="s">
        <v>24</v>
      </c>
    </row>
    <row r="1024" spans="1:26" hidden="1" x14ac:dyDescent="0.2">
      <c r="A1024">
        <v>66</v>
      </c>
      <c r="B1024" t="s">
        <v>30</v>
      </c>
      <c r="C1024" s="10">
        <v>10000073</v>
      </c>
      <c r="D1024" t="b">
        <v>1</v>
      </c>
      <c r="E1024">
        <v>0</v>
      </c>
      <c r="F1024">
        <v>0</v>
      </c>
      <c r="G1024">
        <v>0</v>
      </c>
      <c r="H1024">
        <v>0</v>
      </c>
      <c r="I1024">
        <v>0.55521605334223068</v>
      </c>
      <c r="J1024">
        <v>0.31120723489399388</v>
      </c>
      <c r="W1024">
        <v>5.6014668231028457</v>
      </c>
      <c r="X1024">
        <v>0.31120723489399388</v>
      </c>
      <c r="Y1024">
        <v>0.55521605334223068</v>
      </c>
      <c r="Z1024" t="s">
        <v>24</v>
      </c>
    </row>
    <row r="1025" spans="1:26" hidden="1" x14ac:dyDescent="0.2">
      <c r="A1025">
        <v>66</v>
      </c>
      <c r="B1025" t="s">
        <v>28</v>
      </c>
      <c r="C1025" s="10">
        <v>10000082</v>
      </c>
      <c r="D1025" t="b">
        <v>1</v>
      </c>
      <c r="F1025">
        <v>0</v>
      </c>
      <c r="G1025">
        <v>0</v>
      </c>
      <c r="H1025">
        <v>0</v>
      </c>
      <c r="I1025">
        <v>1</v>
      </c>
      <c r="J1025">
        <v>0</v>
      </c>
      <c r="W1025">
        <v>5.0025004164584352</v>
      </c>
      <c r="X1025">
        <v>1</v>
      </c>
      <c r="Y1025">
        <v>1</v>
      </c>
      <c r="Z1025" t="s">
        <v>23</v>
      </c>
    </row>
    <row r="1026" spans="1:26" hidden="1" x14ac:dyDescent="0.2">
      <c r="A1026">
        <v>66</v>
      </c>
      <c r="B1026" t="s">
        <v>28</v>
      </c>
      <c r="C1026" s="10">
        <v>10000033</v>
      </c>
      <c r="D1026" t="b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0.32101483449291968</v>
      </c>
      <c r="Q1026">
        <v>0.32101483449291968</v>
      </c>
      <c r="R1026">
        <v>0.16769841713116579</v>
      </c>
      <c r="S1026">
        <v>0</v>
      </c>
      <c r="T1026">
        <v>0.16769841713116579</v>
      </c>
      <c r="U1026">
        <v>0</v>
      </c>
      <c r="V1026">
        <v>0.60000000000000009</v>
      </c>
      <c r="W1026">
        <v>5.6506190592839092</v>
      </c>
      <c r="X1026">
        <v>0.32101483449291968</v>
      </c>
      <c r="Y1026">
        <v>0.60000000000000009</v>
      </c>
      <c r="Z1026" t="s">
        <v>24</v>
      </c>
    </row>
    <row r="1027" spans="1:26" hidden="1" x14ac:dyDescent="0.2">
      <c r="A1027">
        <v>66</v>
      </c>
      <c r="B1027" t="s">
        <v>34</v>
      </c>
      <c r="C1027" s="10">
        <v>10000082</v>
      </c>
      <c r="D1027" t="b">
        <v>1</v>
      </c>
      <c r="F1027">
        <v>0</v>
      </c>
      <c r="G1027">
        <v>0</v>
      </c>
      <c r="H1027">
        <v>0</v>
      </c>
      <c r="I1027">
        <v>0.26932007829988541</v>
      </c>
      <c r="J1027">
        <v>0.76868829291095619</v>
      </c>
      <c r="W1027">
        <v>3.756949540031012</v>
      </c>
      <c r="X1027">
        <v>1</v>
      </c>
      <c r="Y1027">
        <v>0.26932007829988541</v>
      </c>
      <c r="Z1027" t="s">
        <v>23</v>
      </c>
    </row>
    <row r="1028" spans="1:26" hidden="1" x14ac:dyDescent="0.2">
      <c r="A1028">
        <v>66</v>
      </c>
      <c r="B1028" t="s">
        <v>34</v>
      </c>
      <c r="C1028" s="10">
        <v>10000033</v>
      </c>
      <c r="D1028" t="b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0.31645873383880457</v>
      </c>
      <c r="Q1028">
        <v>0.23076923076923081</v>
      </c>
      <c r="R1028">
        <v>0.1859076658565742</v>
      </c>
      <c r="S1028">
        <v>0</v>
      </c>
      <c r="T1028">
        <v>0.1859076658565742</v>
      </c>
      <c r="U1028">
        <v>0</v>
      </c>
      <c r="V1028">
        <v>0.68354126616119537</v>
      </c>
      <c r="W1028">
        <v>6.0089008311958967</v>
      </c>
      <c r="X1028">
        <v>0.23076923076923081</v>
      </c>
      <c r="Y1028">
        <v>0.68354126616119537</v>
      </c>
      <c r="Z1028" t="s">
        <v>24</v>
      </c>
    </row>
    <row r="1029" spans="1:26" hidden="1" x14ac:dyDescent="0.2">
      <c r="A1029">
        <v>66</v>
      </c>
      <c r="B1029" t="s">
        <v>33</v>
      </c>
      <c r="C1029" s="10">
        <v>10000073</v>
      </c>
      <c r="D1029" t="b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0.44298546166239061</v>
      </c>
      <c r="P1029">
        <v>0</v>
      </c>
      <c r="Q1029">
        <v>0.39820962463266529</v>
      </c>
      <c r="R1029">
        <v>0</v>
      </c>
      <c r="S1029">
        <v>0.39820962463266529</v>
      </c>
      <c r="T1029">
        <v>0</v>
      </c>
      <c r="U1029">
        <v>0.55701453833760939</v>
      </c>
      <c r="V1029">
        <v>0</v>
      </c>
      <c r="W1029">
        <v>5.3735282469461714</v>
      </c>
      <c r="X1029">
        <v>0.39820962463266529</v>
      </c>
      <c r="Y1029">
        <v>0.55701453833760939</v>
      </c>
      <c r="Z1029" t="s">
        <v>24</v>
      </c>
    </row>
    <row r="1030" spans="1:26" hidden="1" x14ac:dyDescent="0.2">
      <c r="A1030">
        <v>66</v>
      </c>
      <c r="B1030" t="s">
        <v>31</v>
      </c>
      <c r="C1030" s="10">
        <v>10000033</v>
      </c>
      <c r="D1030" t="b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6.6666666666666666E-2</v>
      </c>
      <c r="M1030">
        <v>6.6666666666666666E-2</v>
      </c>
      <c r="N1030">
        <v>0</v>
      </c>
      <c r="O1030">
        <v>0</v>
      </c>
      <c r="P1030">
        <v>0.33118344512550901</v>
      </c>
      <c r="Q1030">
        <v>0.33118344512550901</v>
      </c>
      <c r="R1030">
        <v>0.30176276438583699</v>
      </c>
      <c r="S1030">
        <v>0</v>
      </c>
      <c r="T1030">
        <v>0.30176276438583699</v>
      </c>
      <c r="U1030">
        <v>0</v>
      </c>
      <c r="V1030">
        <v>0.60000000000000009</v>
      </c>
      <c r="W1030">
        <v>5.6237943550993332</v>
      </c>
      <c r="X1030">
        <v>0.33118344512550901</v>
      </c>
      <c r="Y1030">
        <v>0.60000000000000009</v>
      </c>
      <c r="Z1030" t="s">
        <v>24</v>
      </c>
    </row>
    <row r="1031" spans="1:26" hidden="1" x14ac:dyDescent="0.2">
      <c r="A1031">
        <v>66</v>
      </c>
      <c r="B1031" t="s">
        <v>29</v>
      </c>
      <c r="C1031" s="10">
        <v>10000033</v>
      </c>
      <c r="D1031" t="b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0.65170575014812582</v>
      </c>
      <c r="M1031">
        <v>0.30262692854791268</v>
      </c>
      <c r="N1031">
        <v>0</v>
      </c>
      <c r="O1031">
        <v>0</v>
      </c>
      <c r="P1031">
        <v>0.16666666666666671</v>
      </c>
      <c r="Q1031">
        <v>0.16666666666666671</v>
      </c>
      <c r="R1031">
        <v>0.16666666666666671</v>
      </c>
      <c r="S1031">
        <v>0</v>
      </c>
      <c r="T1031">
        <v>0.16666666666666671</v>
      </c>
      <c r="U1031">
        <v>0</v>
      </c>
      <c r="V1031">
        <v>0.16666666666666671</v>
      </c>
      <c r="W1031">
        <v>5.7781214892560797</v>
      </c>
      <c r="X1031">
        <v>0.30262692854791268</v>
      </c>
      <c r="Y1031">
        <v>0.65170575014812582</v>
      </c>
      <c r="Z1031" t="s">
        <v>24</v>
      </c>
    </row>
    <row r="1032" spans="1:26" hidden="1" x14ac:dyDescent="0.2">
      <c r="A1032">
        <v>66</v>
      </c>
      <c r="B1032" t="s">
        <v>35</v>
      </c>
      <c r="C1032" s="10">
        <v>10000047</v>
      </c>
      <c r="D1032" t="b">
        <v>0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3.1666666666666679</v>
      </c>
      <c r="X1032">
        <v>1</v>
      </c>
      <c r="Y1032">
        <v>0</v>
      </c>
      <c r="Z1032" t="s">
        <v>23</v>
      </c>
    </row>
    <row r="1033" spans="1:26" hidden="1" x14ac:dyDescent="0.2">
      <c r="A1033">
        <v>66</v>
      </c>
      <c r="B1033" t="s">
        <v>35</v>
      </c>
      <c r="C1033" s="10">
        <v>10000033</v>
      </c>
      <c r="D1033" t="b">
        <v>0</v>
      </c>
      <c r="E1033">
        <v>0</v>
      </c>
      <c r="F1033">
        <v>0.31349096586404152</v>
      </c>
      <c r="G1033">
        <v>0.33333333333333348</v>
      </c>
      <c r="H1033">
        <v>0.65303802575173697</v>
      </c>
      <c r="I1033">
        <v>0.33333333333333348</v>
      </c>
      <c r="J1033">
        <v>0.34696197424826303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5.7017542517251254</v>
      </c>
      <c r="X1033">
        <v>0.33333333333333348</v>
      </c>
      <c r="Y1033">
        <v>0.65303802575173697</v>
      </c>
      <c r="Z1033" t="s">
        <v>24</v>
      </c>
    </row>
    <row r="1034" spans="1:26" hidden="1" x14ac:dyDescent="0.2">
      <c r="A1034">
        <v>66</v>
      </c>
      <c r="B1034" t="s">
        <v>35</v>
      </c>
      <c r="C1034" s="10">
        <v>10000073</v>
      </c>
      <c r="D1034" t="b">
        <v>0</v>
      </c>
      <c r="E1034">
        <v>0.46651113551986678</v>
      </c>
      <c r="F1034">
        <v>0</v>
      </c>
      <c r="G1034">
        <v>0.53348886448013322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3.4274126898791288</v>
      </c>
      <c r="X1034">
        <v>0.53348886448013322</v>
      </c>
      <c r="Y1034">
        <v>0</v>
      </c>
      <c r="Z1034" t="s">
        <v>23</v>
      </c>
    </row>
    <row r="1035" spans="1:26" hidden="1" x14ac:dyDescent="0.2">
      <c r="A1035">
        <v>67</v>
      </c>
      <c r="B1035" t="s">
        <v>31</v>
      </c>
      <c r="C1035" s="10">
        <v>10000082</v>
      </c>
      <c r="D1035" t="b">
        <v>1</v>
      </c>
      <c r="F1035">
        <v>0</v>
      </c>
      <c r="G1035">
        <v>0</v>
      </c>
      <c r="H1035">
        <v>0</v>
      </c>
      <c r="I1035">
        <v>1</v>
      </c>
      <c r="J1035">
        <v>0</v>
      </c>
      <c r="W1035">
        <v>5.0025004164584352</v>
      </c>
      <c r="X1035">
        <v>1</v>
      </c>
      <c r="Y1035">
        <v>1</v>
      </c>
      <c r="Z1035" t="s">
        <v>23</v>
      </c>
    </row>
    <row r="1036" spans="1:26" hidden="1" x14ac:dyDescent="0.2">
      <c r="A1036">
        <v>67</v>
      </c>
      <c r="B1036" t="s">
        <v>31</v>
      </c>
      <c r="C1036" s="10">
        <v>10000073</v>
      </c>
      <c r="D1036" t="b">
        <v>1</v>
      </c>
      <c r="E1036">
        <v>0</v>
      </c>
      <c r="F1036">
        <v>0</v>
      </c>
      <c r="G1036">
        <v>0</v>
      </c>
      <c r="H1036">
        <v>0</v>
      </c>
      <c r="I1036">
        <v>0.56863916504108691</v>
      </c>
      <c r="J1036">
        <v>0.20425338349181699</v>
      </c>
      <c r="W1036">
        <v>5.9325735590625124</v>
      </c>
      <c r="X1036">
        <v>0.20425338349181699</v>
      </c>
      <c r="Y1036">
        <v>0.56863916504108691</v>
      </c>
      <c r="Z1036" t="s">
        <v>24</v>
      </c>
    </row>
    <row r="1037" spans="1:26" hidden="1" x14ac:dyDescent="0.2">
      <c r="A1037">
        <v>67</v>
      </c>
      <c r="B1037" t="s">
        <v>35</v>
      </c>
      <c r="C1037" s="10">
        <v>10000073</v>
      </c>
      <c r="D1037" t="b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0.41430116962858099</v>
      </c>
      <c r="P1037">
        <v>0.36085071387726708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0.5856988303714189</v>
      </c>
      <c r="W1037">
        <v>6.6053756510482184</v>
      </c>
      <c r="X1037">
        <v>0</v>
      </c>
      <c r="Y1037">
        <v>0.5856988303714189</v>
      </c>
      <c r="Z1037" t="s">
        <v>24</v>
      </c>
    </row>
    <row r="1038" spans="1:26" hidden="1" x14ac:dyDescent="0.2">
      <c r="A1038">
        <v>67</v>
      </c>
      <c r="B1038" t="s">
        <v>32</v>
      </c>
      <c r="C1038" s="10">
        <v>10000047</v>
      </c>
      <c r="D1038" t="b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0.68277483197267252</v>
      </c>
      <c r="P1038">
        <v>0</v>
      </c>
      <c r="Q1038">
        <v>0.31722516802732748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5.7853234028508069</v>
      </c>
      <c r="X1038">
        <v>0.31722516802732748</v>
      </c>
      <c r="Y1038">
        <v>0.68277483197267252</v>
      </c>
      <c r="Z1038" t="s">
        <v>24</v>
      </c>
    </row>
    <row r="1039" spans="1:26" hidden="1" x14ac:dyDescent="0.2">
      <c r="A1039">
        <v>67</v>
      </c>
      <c r="B1039" t="s">
        <v>29</v>
      </c>
      <c r="C1039" s="10">
        <v>10000082</v>
      </c>
      <c r="D1039" t="b">
        <v>1</v>
      </c>
      <c r="F1039">
        <v>0</v>
      </c>
      <c r="G1039">
        <v>0</v>
      </c>
      <c r="H1039">
        <v>0</v>
      </c>
      <c r="I1039">
        <v>1</v>
      </c>
      <c r="J1039">
        <v>0</v>
      </c>
      <c r="W1039">
        <v>5.0025004164584352</v>
      </c>
      <c r="X1039">
        <v>1</v>
      </c>
      <c r="Y1039">
        <v>1</v>
      </c>
      <c r="Z1039" t="s">
        <v>23</v>
      </c>
    </row>
    <row r="1040" spans="1:26" hidden="1" x14ac:dyDescent="0.2">
      <c r="A1040">
        <v>67</v>
      </c>
      <c r="B1040" t="s">
        <v>30</v>
      </c>
      <c r="C1040" s="10">
        <v>10000033</v>
      </c>
      <c r="D1040" t="b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0.32723718452809319</v>
      </c>
      <c r="Q1040">
        <v>0</v>
      </c>
      <c r="R1040">
        <v>0.25335783049665711</v>
      </c>
      <c r="S1040">
        <v>0</v>
      </c>
      <c r="T1040">
        <v>0.25335783049665711</v>
      </c>
      <c r="U1040">
        <v>0</v>
      </c>
      <c r="V1040">
        <v>0.67276281547190686</v>
      </c>
      <c r="W1040">
        <v>5.9356075589867432</v>
      </c>
      <c r="X1040">
        <v>0.25335783049665711</v>
      </c>
      <c r="Y1040">
        <v>0.67276281547190686</v>
      </c>
      <c r="Z1040" t="s">
        <v>24</v>
      </c>
    </row>
    <row r="1041" spans="1:26" hidden="1" x14ac:dyDescent="0.2">
      <c r="A1041">
        <v>67</v>
      </c>
      <c r="B1041" t="s">
        <v>29</v>
      </c>
      <c r="C1041" s="10">
        <v>10000033</v>
      </c>
      <c r="D1041" t="b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0.3281393433550393</v>
      </c>
      <c r="Q1041">
        <v>0</v>
      </c>
      <c r="R1041">
        <v>0.27378885082596599</v>
      </c>
      <c r="S1041">
        <v>0</v>
      </c>
      <c r="T1041">
        <v>0.27378885082596599</v>
      </c>
      <c r="U1041">
        <v>0</v>
      </c>
      <c r="V1041">
        <v>0.67186065664496064</v>
      </c>
      <c r="W1041">
        <v>5.880962052373925</v>
      </c>
      <c r="X1041">
        <v>0.27378885082596599</v>
      </c>
      <c r="Y1041">
        <v>0.67186065664496064</v>
      </c>
      <c r="Z1041" t="s">
        <v>24</v>
      </c>
    </row>
    <row r="1042" spans="1:26" hidden="1" x14ac:dyDescent="0.2">
      <c r="A1042">
        <v>67</v>
      </c>
      <c r="B1042" t="s">
        <v>33</v>
      </c>
      <c r="C1042" s="10">
        <v>10000033</v>
      </c>
      <c r="D1042" t="b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0.18181818181818171</v>
      </c>
      <c r="Q1042">
        <v>0.32209567552528717</v>
      </c>
      <c r="R1042">
        <v>0.18181818181818171</v>
      </c>
      <c r="S1042">
        <v>0</v>
      </c>
      <c r="T1042">
        <v>0.33393314017104458</v>
      </c>
      <c r="U1042">
        <v>0</v>
      </c>
      <c r="V1042">
        <v>0.6660668598289553</v>
      </c>
      <c r="W1042">
        <v>5.71962926302594</v>
      </c>
      <c r="X1042">
        <v>0.33393314017104458</v>
      </c>
      <c r="Y1042">
        <v>0.6660668598289553</v>
      </c>
      <c r="Z1042" t="s">
        <v>24</v>
      </c>
    </row>
    <row r="1043" spans="1:26" hidden="1" x14ac:dyDescent="0.2">
      <c r="A1043">
        <v>67</v>
      </c>
      <c r="B1043" t="s">
        <v>33</v>
      </c>
      <c r="C1043" s="10">
        <v>10000082</v>
      </c>
      <c r="D1043" t="b">
        <v>1</v>
      </c>
      <c r="F1043">
        <v>0</v>
      </c>
      <c r="G1043">
        <v>0</v>
      </c>
      <c r="H1043">
        <v>0</v>
      </c>
      <c r="I1043">
        <v>0.99925640777291436</v>
      </c>
      <c r="J1043">
        <v>0.1176828588752772</v>
      </c>
      <c r="W1043">
        <v>5.0015701161072448</v>
      </c>
      <c r="X1043">
        <v>1</v>
      </c>
      <c r="Y1043">
        <v>0.99925640777291436</v>
      </c>
      <c r="Z1043" t="s">
        <v>23</v>
      </c>
    </row>
    <row r="1044" spans="1:26" hidden="1" x14ac:dyDescent="0.2">
      <c r="A1044">
        <v>67</v>
      </c>
      <c r="B1044" t="s">
        <v>28</v>
      </c>
      <c r="C1044" s="10">
        <v>10000033</v>
      </c>
      <c r="D1044" t="b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0.31326284385575642</v>
      </c>
      <c r="Q1044">
        <v>0.31326284385575642</v>
      </c>
      <c r="R1044">
        <v>0.31326284385575642</v>
      </c>
      <c r="S1044">
        <v>0</v>
      </c>
      <c r="T1044">
        <v>0.33393314017104458</v>
      </c>
      <c r="U1044">
        <v>0</v>
      </c>
      <c r="V1044">
        <v>0.53846153846153832</v>
      </c>
      <c r="W1044">
        <v>5.5082099123286641</v>
      </c>
      <c r="X1044">
        <v>0.33393314017104458</v>
      </c>
      <c r="Y1044">
        <v>0.53846153846153832</v>
      </c>
      <c r="Z1044" t="s">
        <v>24</v>
      </c>
    </row>
    <row r="1045" spans="1:26" hidden="1" x14ac:dyDescent="0.2">
      <c r="A1045">
        <v>67</v>
      </c>
      <c r="B1045" t="s">
        <v>26</v>
      </c>
      <c r="C1045" s="10">
        <v>10000033</v>
      </c>
      <c r="D1045" t="b">
        <v>0</v>
      </c>
      <c r="E1045">
        <v>0</v>
      </c>
      <c r="F1045">
        <v>0.17647058823529391</v>
      </c>
      <c r="G1045">
        <v>0.17647058823529391</v>
      </c>
      <c r="H1045">
        <v>0.2</v>
      </c>
      <c r="I1045">
        <v>0.17647058823529391</v>
      </c>
      <c r="J1045">
        <v>0.2</v>
      </c>
      <c r="K1045">
        <v>0</v>
      </c>
      <c r="L1045">
        <v>0.58858654904811925</v>
      </c>
      <c r="M1045">
        <v>0.41141345095188081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5.3999537866231568</v>
      </c>
      <c r="X1045">
        <v>0.41141345095188081</v>
      </c>
      <c r="Y1045">
        <v>0.58858654904811925</v>
      </c>
      <c r="Z1045" t="s">
        <v>24</v>
      </c>
    </row>
    <row r="1046" spans="1:26" hidden="1" x14ac:dyDescent="0.2">
      <c r="A1046">
        <v>67</v>
      </c>
      <c r="B1046" t="s">
        <v>27</v>
      </c>
      <c r="C1046" s="10">
        <v>10000033</v>
      </c>
      <c r="D1046" t="b">
        <v>0</v>
      </c>
      <c r="E1046">
        <v>0</v>
      </c>
      <c r="F1046">
        <v>0.23333333333333331</v>
      </c>
      <c r="G1046">
        <v>0.23333333333333331</v>
      </c>
      <c r="H1046">
        <v>0.23333333333333331</v>
      </c>
      <c r="I1046">
        <v>0.23333333333333331</v>
      </c>
      <c r="J1046">
        <v>0.23333333333333331</v>
      </c>
      <c r="K1046">
        <v>0</v>
      </c>
      <c r="L1046">
        <v>0.58858654904811925</v>
      </c>
      <c r="M1046">
        <v>0.41141345095188081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5.3999537866231568</v>
      </c>
      <c r="X1046">
        <v>0.41141345095188081</v>
      </c>
      <c r="Y1046">
        <v>0.58858654904811925</v>
      </c>
      <c r="Z1046" t="s">
        <v>24</v>
      </c>
    </row>
    <row r="1047" spans="1:26" hidden="1" x14ac:dyDescent="0.2">
      <c r="A1047">
        <v>67</v>
      </c>
      <c r="B1047" t="s">
        <v>34</v>
      </c>
      <c r="C1047" s="10">
        <v>10000082</v>
      </c>
      <c r="D1047" t="b">
        <v>1</v>
      </c>
      <c r="F1047">
        <v>0</v>
      </c>
      <c r="G1047">
        <v>0.6333333333333333</v>
      </c>
      <c r="H1047">
        <v>0</v>
      </c>
      <c r="I1047">
        <v>0</v>
      </c>
      <c r="J1047">
        <v>0</v>
      </c>
      <c r="W1047">
        <v>4.4583601773109693</v>
      </c>
      <c r="X1047">
        <v>1</v>
      </c>
      <c r="Y1047">
        <v>0.6333333333333333</v>
      </c>
      <c r="Z1047" t="s">
        <v>23</v>
      </c>
    </row>
    <row r="1048" spans="1:26" hidden="1" x14ac:dyDescent="0.2">
      <c r="A1048">
        <v>67</v>
      </c>
      <c r="B1048" t="s">
        <v>34</v>
      </c>
      <c r="C1048" s="10">
        <v>10000033</v>
      </c>
      <c r="D1048" t="b">
        <v>0</v>
      </c>
      <c r="E1048">
        <v>0</v>
      </c>
      <c r="F1048">
        <v>0.32464054045292018</v>
      </c>
      <c r="G1048">
        <v>0.53333333333333333</v>
      </c>
      <c r="H1048">
        <v>0.18181818181818171</v>
      </c>
      <c r="I1048">
        <v>0.32464054045292018</v>
      </c>
      <c r="J1048">
        <v>0.18181818181818171</v>
      </c>
      <c r="K1048">
        <v>0</v>
      </c>
      <c r="L1048">
        <v>0.46666666666666667</v>
      </c>
      <c r="M1048">
        <v>0.41141345095188081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4.8486928666623932</v>
      </c>
      <c r="X1048">
        <v>0.53333333333333333</v>
      </c>
      <c r="Y1048">
        <v>0.46666666666666667</v>
      </c>
      <c r="Z1048" t="s">
        <v>23</v>
      </c>
    </row>
    <row r="1049" spans="1:26" hidden="1" x14ac:dyDescent="0.2">
      <c r="A1049">
        <v>67</v>
      </c>
      <c r="B1049" t="s">
        <v>34</v>
      </c>
      <c r="C1049" s="10">
        <v>10000047</v>
      </c>
      <c r="D1049" t="b">
        <v>0</v>
      </c>
      <c r="E1049">
        <v>0.93333333333333335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6.6666666666666666E-2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3.202483904123222</v>
      </c>
      <c r="X1049">
        <v>0.93333333333333335</v>
      </c>
      <c r="Y1049">
        <v>0</v>
      </c>
      <c r="Z1049" t="s">
        <v>23</v>
      </c>
    </row>
    <row r="1050" spans="1:26" hidden="1" x14ac:dyDescent="0.2">
      <c r="A1050">
        <v>67</v>
      </c>
      <c r="B1050" t="s">
        <v>34</v>
      </c>
      <c r="C1050" s="10">
        <v>10000073</v>
      </c>
      <c r="D1050" t="b">
        <v>0</v>
      </c>
      <c r="E1050">
        <v>0.28571428571428581</v>
      </c>
      <c r="F1050">
        <v>0</v>
      </c>
      <c r="G1050">
        <v>0.5547634160159991</v>
      </c>
      <c r="H1050">
        <v>0</v>
      </c>
      <c r="I1050">
        <v>0.44523658398400079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4.7524805289956911</v>
      </c>
      <c r="X1050">
        <v>0.5547634160159991</v>
      </c>
      <c r="Y1050">
        <v>0.44523658398400079</v>
      </c>
      <c r="Z1050" t="s">
        <v>23</v>
      </c>
    </row>
    <row r="1051" spans="1:26" hidden="1" x14ac:dyDescent="0.2">
      <c r="A1051">
        <v>68</v>
      </c>
      <c r="B1051" t="s">
        <v>32</v>
      </c>
      <c r="C1051" s="10">
        <v>10000047</v>
      </c>
      <c r="D1051" t="b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0.82007614302094156</v>
      </c>
      <c r="P1051">
        <v>0</v>
      </c>
      <c r="Q1051">
        <v>0.17992385697905841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6.2842196402290336</v>
      </c>
      <c r="X1051">
        <v>0.17992385697905841</v>
      </c>
      <c r="Y1051">
        <v>0.82007614302094156</v>
      </c>
      <c r="Z1051" t="s">
        <v>24</v>
      </c>
    </row>
    <row r="1052" spans="1:26" hidden="1" x14ac:dyDescent="0.2">
      <c r="A1052">
        <v>68</v>
      </c>
      <c r="B1052" t="s">
        <v>27</v>
      </c>
      <c r="C1052" s="10">
        <v>10000033</v>
      </c>
      <c r="D1052" t="b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0.3126859890816634</v>
      </c>
      <c r="Q1052">
        <v>0</v>
      </c>
      <c r="R1052">
        <v>5.2008495923056591E-2</v>
      </c>
      <c r="S1052">
        <v>0</v>
      </c>
      <c r="T1052">
        <v>5.2008495923056591E-2</v>
      </c>
      <c r="U1052">
        <v>0</v>
      </c>
      <c r="V1052">
        <v>0.68731401091833655</v>
      </c>
      <c r="W1052">
        <v>6.5108757988825614</v>
      </c>
      <c r="X1052">
        <v>5.2008495923056591E-2</v>
      </c>
      <c r="Y1052">
        <v>0.68731401091833655</v>
      </c>
      <c r="Z1052" t="s">
        <v>24</v>
      </c>
    </row>
    <row r="1053" spans="1:26" hidden="1" x14ac:dyDescent="0.2">
      <c r="A1053">
        <v>68</v>
      </c>
      <c r="B1053" t="s">
        <v>28</v>
      </c>
      <c r="C1053" s="10">
        <v>10000082</v>
      </c>
      <c r="D1053" t="b">
        <v>1</v>
      </c>
      <c r="F1053">
        <v>0</v>
      </c>
      <c r="G1053">
        <v>0</v>
      </c>
      <c r="H1053">
        <v>0</v>
      </c>
      <c r="I1053">
        <v>0.90117364956220436</v>
      </c>
      <c r="J1053">
        <v>0.3172329565001975</v>
      </c>
      <c r="W1053">
        <v>4.8727469083214352</v>
      </c>
      <c r="X1053">
        <v>1</v>
      </c>
      <c r="Y1053">
        <v>0.90117364956220436</v>
      </c>
      <c r="Z1053" t="s">
        <v>23</v>
      </c>
    </row>
    <row r="1054" spans="1:26" hidden="1" x14ac:dyDescent="0.2">
      <c r="A1054">
        <v>68</v>
      </c>
      <c r="B1054" t="s">
        <v>28</v>
      </c>
      <c r="C1054" s="10">
        <v>10000073</v>
      </c>
      <c r="D1054" t="b">
        <v>1</v>
      </c>
      <c r="E1054">
        <v>0</v>
      </c>
      <c r="F1054">
        <v>0</v>
      </c>
      <c r="G1054">
        <v>0</v>
      </c>
      <c r="H1054">
        <v>0</v>
      </c>
      <c r="I1054">
        <v>0.59162714491590185</v>
      </c>
      <c r="J1054">
        <v>0.2460072146283582</v>
      </c>
      <c r="W1054">
        <v>5.8436432101614821</v>
      </c>
      <c r="X1054">
        <v>0.2460072146283582</v>
      </c>
      <c r="Y1054">
        <v>0.59162714491590185</v>
      </c>
      <c r="Z1054" t="s">
        <v>24</v>
      </c>
    </row>
    <row r="1055" spans="1:26" hidden="1" x14ac:dyDescent="0.2">
      <c r="A1055">
        <v>68</v>
      </c>
      <c r="B1055" t="s">
        <v>29</v>
      </c>
      <c r="C1055" s="10">
        <v>10000082</v>
      </c>
      <c r="D1055" t="b">
        <v>1</v>
      </c>
      <c r="F1055">
        <v>0</v>
      </c>
      <c r="G1055">
        <v>0</v>
      </c>
      <c r="H1055">
        <v>0</v>
      </c>
      <c r="I1055">
        <v>0.9980755197974065</v>
      </c>
      <c r="J1055">
        <v>0.21563578031798991</v>
      </c>
      <c r="W1055">
        <v>5.0000912974141984</v>
      </c>
      <c r="X1055">
        <v>1</v>
      </c>
      <c r="Y1055">
        <v>0.9980755197974065</v>
      </c>
      <c r="Z1055" t="s">
        <v>23</v>
      </c>
    </row>
    <row r="1056" spans="1:26" hidden="1" x14ac:dyDescent="0.2">
      <c r="A1056">
        <v>68</v>
      </c>
      <c r="B1056" t="s">
        <v>29</v>
      </c>
      <c r="C1056" s="10">
        <v>10000033</v>
      </c>
      <c r="D1056" t="b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0.2939124701671062</v>
      </c>
      <c r="Q1056">
        <v>0</v>
      </c>
      <c r="R1056">
        <v>0.134149878415185</v>
      </c>
      <c r="S1056">
        <v>0</v>
      </c>
      <c r="T1056">
        <v>0.134149878415185</v>
      </c>
      <c r="U1056">
        <v>0</v>
      </c>
      <c r="V1056">
        <v>0.7060875298328938</v>
      </c>
      <c r="W1056">
        <v>6.2946638844278437</v>
      </c>
      <c r="X1056">
        <v>0.134149878415185</v>
      </c>
      <c r="Y1056">
        <v>0.7060875298328938</v>
      </c>
      <c r="Z1056" t="s">
        <v>24</v>
      </c>
    </row>
    <row r="1057" spans="1:26" hidden="1" x14ac:dyDescent="0.2">
      <c r="A1057">
        <v>68</v>
      </c>
      <c r="B1057" t="s">
        <v>31</v>
      </c>
      <c r="C1057" s="10">
        <v>10000082</v>
      </c>
      <c r="D1057" t="b">
        <v>1</v>
      </c>
      <c r="F1057">
        <v>0</v>
      </c>
      <c r="G1057">
        <v>0</v>
      </c>
      <c r="H1057">
        <v>0</v>
      </c>
      <c r="I1057">
        <v>0</v>
      </c>
      <c r="J1057">
        <v>0.93515382626727261</v>
      </c>
      <c r="W1057">
        <v>3.1666666666666679</v>
      </c>
      <c r="X1057">
        <v>1</v>
      </c>
      <c r="Y1057">
        <v>0</v>
      </c>
      <c r="Z1057" t="s">
        <v>23</v>
      </c>
    </row>
    <row r="1058" spans="1:26" hidden="1" x14ac:dyDescent="0.2">
      <c r="A1058">
        <v>68</v>
      </c>
      <c r="B1058" t="s">
        <v>33</v>
      </c>
      <c r="C1058" s="10">
        <v>10000047</v>
      </c>
      <c r="D1058" t="b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0.73478084948038569</v>
      </c>
      <c r="P1058">
        <v>0</v>
      </c>
      <c r="Q1058">
        <v>0.26521915051961431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5.9827327506963739</v>
      </c>
      <c r="X1058">
        <v>0.26521915051961431</v>
      </c>
      <c r="Y1058">
        <v>0.73478084948038569</v>
      </c>
      <c r="Z1058" t="s">
        <v>24</v>
      </c>
    </row>
    <row r="1059" spans="1:26" hidden="1" x14ac:dyDescent="0.2">
      <c r="A1059">
        <v>68</v>
      </c>
      <c r="B1059" t="s">
        <v>34</v>
      </c>
      <c r="C1059" s="10">
        <v>10000047</v>
      </c>
      <c r="D1059" t="b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0.73478084948038569</v>
      </c>
      <c r="P1059">
        <v>0</v>
      </c>
      <c r="Q1059">
        <v>0.26521915051961431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5.9827327506963739</v>
      </c>
      <c r="X1059">
        <v>0.26521915051961431</v>
      </c>
      <c r="Y1059">
        <v>0.73478084948038569</v>
      </c>
      <c r="Z1059" t="s">
        <v>24</v>
      </c>
    </row>
    <row r="1060" spans="1:26" hidden="1" x14ac:dyDescent="0.2">
      <c r="A1060">
        <v>68</v>
      </c>
      <c r="B1060" t="s">
        <v>31</v>
      </c>
      <c r="C1060" s="10">
        <v>10000033</v>
      </c>
      <c r="D1060" t="b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0.26330563237011739</v>
      </c>
      <c r="Q1060">
        <v>0</v>
      </c>
      <c r="R1060">
        <v>0.17177089434268281</v>
      </c>
      <c r="S1060">
        <v>0</v>
      </c>
      <c r="T1060">
        <v>0.17177089434268281</v>
      </c>
      <c r="U1060">
        <v>0</v>
      </c>
      <c r="V1060">
        <v>0.73669436762988261</v>
      </c>
      <c r="W1060">
        <v>6.223890515694543</v>
      </c>
      <c r="X1060">
        <v>0.17177089434268281</v>
      </c>
      <c r="Y1060">
        <v>0.73669436762988261</v>
      </c>
      <c r="Z1060" t="s">
        <v>24</v>
      </c>
    </row>
    <row r="1061" spans="1:26" hidden="1" x14ac:dyDescent="0.2">
      <c r="A1061">
        <v>68</v>
      </c>
      <c r="B1061" t="s">
        <v>30</v>
      </c>
      <c r="C1061" s="10">
        <v>10000073</v>
      </c>
      <c r="D1061" t="b">
        <v>0</v>
      </c>
      <c r="E1061">
        <v>0.38915380955395962</v>
      </c>
      <c r="F1061">
        <v>0</v>
      </c>
      <c r="G1061">
        <v>0.61084619044604049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3.3826430839747208</v>
      </c>
      <c r="X1061">
        <v>0.61084619044604049</v>
      </c>
      <c r="Y1061">
        <v>0</v>
      </c>
      <c r="Z1061" t="s">
        <v>23</v>
      </c>
    </row>
    <row r="1062" spans="1:26" hidden="1" x14ac:dyDescent="0.2">
      <c r="A1062">
        <v>68</v>
      </c>
      <c r="B1062" t="s">
        <v>26</v>
      </c>
      <c r="C1062" s="10">
        <v>10000082</v>
      </c>
      <c r="D1062" t="b">
        <v>1</v>
      </c>
      <c r="F1062">
        <v>0.53520263091161369</v>
      </c>
      <c r="G1062">
        <v>0.46479736908838643</v>
      </c>
      <c r="H1062">
        <v>0</v>
      </c>
      <c r="I1062">
        <v>0</v>
      </c>
      <c r="J1062">
        <v>0</v>
      </c>
      <c r="W1062">
        <v>4.1516920811934668</v>
      </c>
      <c r="X1062">
        <v>1</v>
      </c>
      <c r="Y1062">
        <v>0.46479736908838643</v>
      </c>
      <c r="Z1062" t="s">
        <v>23</v>
      </c>
    </row>
    <row r="1063" spans="1:26" hidden="1" x14ac:dyDescent="0.2">
      <c r="A1063">
        <v>68</v>
      </c>
      <c r="B1063" t="s">
        <v>26</v>
      </c>
      <c r="C1063" s="10">
        <v>10000033</v>
      </c>
      <c r="D1063" t="b">
        <v>0</v>
      </c>
      <c r="E1063">
        <v>0</v>
      </c>
      <c r="F1063">
        <v>0</v>
      </c>
      <c r="G1063">
        <v>0</v>
      </c>
      <c r="H1063">
        <v>0.73260639100959257</v>
      </c>
      <c r="I1063">
        <v>0</v>
      </c>
      <c r="J1063">
        <v>0.26739360899040743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6.6891692185947784</v>
      </c>
      <c r="X1063">
        <v>0</v>
      </c>
      <c r="Y1063">
        <v>0.73260639100959257</v>
      </c>
      <c r="Z1063" t="s">
        <v>24</v>
      </c>
    </row>
    <row r="1064" spans="1:26" hidden="1" x14ac:dyDescent="0.2">
      <c r="A1064">
        <v>68</v>
      </c>
      <c r="B1064" t="s">
        <v>30</v>
      </c>
      <c r="C1064" s="10">
        <v>10000033</v>
      </c>
      <c r="D1064" t="b">
        <v>0</v>
      </c>
      <c r="E1064">
        <v>0</v>
      </c>
      <c r="F1064">
        <v>0</v>
      </c>
      <c r="G1064">
        <v>0</v>
      </c>
      <c r="H1064">
        <v>0.73086384787317193</v>
      </c>
      <c r="I1064">
        <v>0</v>
      </c>
      <c r="J1064">
        <v>0.26913615212682812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6.6881886307646123</v>
      </c>
      <c r="X1064">
        <v>0</v>
      </c>
      <c r="Y1064">
        <v>0.73086384787317193</v>
      </c>
      <c r="Z1064" t="s">
        <v>24</v>
      </c>
    </row>
    <row r="1065" spans="1:26" hidden="1" x14ac:dyDescent="0.2">
      <c r="A1065">
        <v>68</v>
      </c>
      <c r="B1065" t="s">
        <v>35</v>
      </c>
      <c r="C1065" s="10">
        <v>10000033</v>
      </c>
      <c r="D1065" t="b">
        <v>0</v>
      </c>
      <c r="E1065">
        <v>0</v>
      </c>
      <c r="F1065">
        <v>0</v>
      </c>
      <c r="G1065">
        <v>0</v>
      </c>
      <c r="H1065">
        <v>0.71210713684784099</v>
      </c>
      <c r="I1065">
        <v>0</v>
      </c>
      <c r="J1065">
        <v>0.28789286315215901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6.6776042766995563</v>
      </c>
      <c r="X1065">
        <v>0</v>
      </c>
      <c r="Y1065">
        <v>0.71210713684784099</v>
      </c>
      <c r="Z1065" t="s">
        <v>24</v>
      </c>
    </row>
    <row r="1066" spans="1:26" hidden="1" x14ac:dyDescent="0.2">
      <c r="A1066">
        <v>69</v>
      </c>
      <c r="B1066" t="s">
        <v>30</v>
      </c>
      <c r="C1066" s="10">
        <v>10000073</v>
      </c>
      <c r="D1066" t="b">
        <v>1</v>
      </c>
      <c r="E1066">
        <v>0</v>
      </c>
      <c r="F1066">
        <v>0</v>
      </c>
      <c r="G1066">
        <v>0</v>
      </c>
      <c r="H1066">
        <v>0</v>
      </c>
      <c r="I1066">
        <v>0.56863916504108691</v>
      </c>
      <c r="J1066">
        <v>0.22270605032880531</v>
      </c>
      <c r="W1066">
        <v>5.8774224507782149</v>
      </c>
      <c r="X1066">
        <v>0.22270605032880531</v>
      </c>
      <c r="Y1066">
        <v>0.56863916504108691</v>
      </c>
      <c r="Z1066" t="s">
        <v>24</v>
      </c>
    </row>
    <row r="1067" spans="1:26" hidden="1" x14ac:dyDescent="0.2">
      <c r="A1067">
        <v>69</v>
      </c>
      <c r="B1067" t="s">
        <v>33</v>
      </c>
      <c r="C1067" s="10">
        <v>10000033</v>
      </c>
      <c r="D1067" t="b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0.301786818452352</v>
      </c>
      <c r="Q1067">
        <v>0</v>
      </c>
      <c r="R1067">
        <v>0.10658323576459119</v>
      </c>
      <c r="S1067">
        <v>0</v>
      </c>
      <c r="T1067">
        <v>0.10658323576459119</v>
      </c>
      <c r="U1067">
        <v>0</v>
      </c>
      <c r="V1067">
        <v>0.698213181547648</v>
      </c>
      <c r="W1067">
        <v>6.3639028988129818</v>
      </c>
      <c r="X1067">
        <v>0.10658323576459119</v>
      </c>
      <c r="Y1067">
        <v>0.698213181547648</v>
      </c>
      <c r="Z1067" t="s">
        <v>24</v>
      </c>
    </row>
    <row r="1068" spans="1:26" hidden="1" x14ac:dyDescent="0.2">
      <c r="A1068">
        <v>69</v>
      </c>
      <c r="B1068" t="s">
        <v>35</v>
      </c>
      <c r="C1068" s="10">
        <v>10000033</v>
      </c>
      <c r="D1068" t="b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0.29594210563075241</v>
      </c>
      <c r="Q1068">
        <v>0</v>
      </c>
      <c r="R1068">
        <v>0.13570751074326021</v>
      </c>
      <c r="S1068">
        <v>0</v>
      </c>
      <c r="T1068">
        <v>0.13570751074326021</v>
      </c>
      <c r="U1068">
        <v>0</v>
      </c>
      <c r="V1068">
        <v>0.70405789436924759</v>
      </c>
      <c r="W1068">
        <v>6.2884316671432794</v>
      </c>
      <c r="X1068">
        <v>0.13570751074326021</v>
      </c>
      <c r="Y1068">
        <v>0.70405789436924759</v>
      </c>
      <c r="Z1068" t="s">
        <v>24</v>
      </c>
    </row>
    <row r="1069" spans="1:26" hidden="1" x14ac:dyDescent="0.2">
      <c r="A1069">
        <v>69</v>
      </c>
      <c r="B1069" t="s">
        <v>27</v>
      </c>
      <c r="C1069" s="10">
        <v>10000082</v>
      </c>
      <c r="D1069" t="b">
        <v>1</v>
      </c>
      <c r="F1069">
        <v>0</v>
      </c>
      <c r="G1069">
        <v>0</v>
      </c>
      <c r="H1069">
        <v>0</v>
      </c>
      <c r="I1069">
        <v>1</v>
      </c>
      <c r="J1069">
        <v>0</v>
      </c>
      <c r="W1069">
        <v>5.0025004164584352</v>
      </c>
      <c r="X1069">
        <v>1</v>
      </c>
      <c r="Y1069">
        <v>1</v>
      </c>
      <c r="Z1069" t="s">
        <v>23</v>
      </c>
    </row>
    <row r="1070" spans="1:26" hidden="1" x14ac:dyDescent="0.2">
      <c r="A1070">
        <v>69</v>
      </c>
      <c r="B1070" t="s">
        <v>31</v>
      </c>
      <c r="C1070" s="10">
        <v>10000033</v>
      </c>
      <c r="D1070" t="b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0.28936287727461479</v>
      </c>
      <c r="Q1070">
        <v>0</v>
      </c>
      <c r="R1070">
        <v>0.13703669812300931</v>
      </c>
      <c r="S1070">
        <v>0</v>
      </c>
      <c r="T1070">
        <v>0.13703669812300931</v>
      </c>
      <c r="U1070">
        <v>0</v>
      </c>
      <c r="V1070">
        <v>0.71063712272538515</v>
      </c>
      <c r="W1070">
        <v>6.2911216230417502</v>
      </c>
      <c r="X1070">
        <v>0.13703669812300931</v>
      </c>
      <c r="Y1070">
        <v>0.71063712272538515</v>
      </c>
      <c r="Z1070" t="s">
        <v>24</v>
      </c>
    </row>
    <row r="1071" spans="1:26" hidden="1" x14ac:dyDescent="0.2">
      <c r="A1071">
        <v>69</v>
      </c>
      <c r="B1071" t="s">
        <v>27</v>
      </c>
      <c r="C1071" s="10">
        <v>10000033</v>
      </c>
      <c r="D1071" t="b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0.29101292062623768</v>
      </c>
      <c r="Q1071">
        <v>0</v>
      </c>
      <c r="R1071">
        <v>0.13703669812300931</v>
      </c>
      <c r="S1071">
        <v>0</v>
      </c>
      <c r="T1071">
        <v>0.13703669812300931</v>
      </c>
      <c r="U1071">
        <v>0</v>
      </c>
      <c r="V1071">
        <v>0.70898707937376237</v>
      </c>
      <c r="W1071">
        <v>6.2895350583728584</v>
      </c>
      <c r="X1071">
        <v>0.13703669812300931</v>
      </c>
      <c r="Y1071">
        <v>0.70898707937376237</v>
      </c>
      <c r="Z1071" t="s">
        <v>24</v>
      </c>
    </row>
    <row r="1072" spans="1:26" hidden="1" x14ac:dyDescent="0.2">
      <c r="A1072">
        <v>69</v>
      </c>
      <c r="B1072" t="s">
        <v>28</v>
      </c>
      <c r="C1072" s="10">
        <v>10000082</v>
      </c>
      <c r="D1072" t="b">
        <v>1</v>
      </c>
      <c r="F1072">
        <v>0</v>
      </c>
      <c r="G1072">
        <v>0</v>
      </c>
      <c r="H1072">
        <v>0</v>
      </c>
      <c r="I1072">
        <v>1</v>
      </c>
      <c r="J1072">
        <v>0</v>
      </c>
      <c r="W1072">
        <v>5.0025004164584352</v>
      </c>
      <c r="X1072">
        <v>1</v>
      </c>
      <c r="Y1072">
        <v>1</v>
      </c>
      <c r="Z1072" t="s">
        <v>23</v>
      </c>
    </row>
    <row r="1073" spans="1:26" hidden="1" x14ac:dyDescent="0.2">
      <c r="A1073">
        <v>69</v>
      </c>
      <c r="B1073" t="s">
        <v>32</v>
      </c>
      <c r="C1073" s="10">
        <v>10000047</v>
      </c>
      <c r="D1073" t="b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0.72366707520738072</v>
      </c>
      <c r="P1073">
        <v>0</v>
      </c>
      <c r="Q1073">
        <v>0.27633292479261917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5.9414325621036257</v>
      </c>
      <c r="X1073">
        <v>0.27633292479261917</v>
      </c>
      <c r="Y1073">
        <v>0.72366707520738072</v>
      </c>
      <c r="Z1073" t="s">
        <v>24</v>
      </c>
    </row>
    <row r="1074" spans="1:26" hidden="1" x14ac:dyDescent="0.2">
      <c r="A1074">
        <v>69</v>
      </c>
      <c r="B1074" t="s">
        <v>28</v>
      </c>
      <c r="C1074" s="10">
        <v>10000033</v>
      </c>
      <c r="D1074" t="b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0.28615790474989322</v>
      </c>
      <c r="Q1074">
        <v>0</v>
      </c>
      <c r="R1074">
        <v>0.18435286747191709</v>
      </c>
      <c r="S1074">
        <v>0</v>
      </c>
      <c r="T1074">
        <v>0.18435286747191709</v>
      </c>
      <c r="U1074">
        <v>0</v>
      </c>
      <c r="V1074">
        <v>0.71384209525010678</v>
      </c>
      <c r="W1074">
        <v>6.1669011972658936</v>
      </c>
      <c r="X1074">
        <v>0.18435286747191709</v>
      </c>
      <c r="Y1074">
        <v>0.71384209525010678</v>
      </c>
      <c r="Z1074" t="s">
        <v>24</v>
      </c>
    </row>
    <row r="1075" spans="1:26" hidden="1" x14ac:dyDescent="0.2">
      <c r="A1075">
        <v>69</v>
      </c>
      <c r="B1075" t="s">
        <v>28</v>
      </c>
      <c r="C1075" s="10">
        <v>10000047</v>
      </c>
      <c r="D1075" t="b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0.72366707520738072</v>
      </c>
      <c r="P1075">
        <v>0</v>
      </c>
      <c r="Q1075">
        <v>0.27633292479261917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5.9414325621036257</v>
      </c>
      <c r="X1075">
        <v>0.27633292479261917</v>
      </c>
      <c r="Y1075">
        <v>0.72366707520738072</v>
      </c>
      <c r="Z1075" t="s">
        <v>24</v>
      </c>
    </row>
    <row r="1076" spans="1:26" hidden="1" x14ac:dyDescent="0.2">
      <c r="A1076">
        <v>69</v>
      </c>
      <c r="B1076" t="s">
        <v>29</v>
      </c>
      <c r="C1076" s="10">
        <v>10000033</v>
      </c>
      <c r="D1076" t="b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0.29001580126281351</v>
      </c>
      <c r="Q1076">
        <v>0</v>
      </c>
      <c r="R1076">
        <v>0.20618308186719531</v>
      </c>
      <c r="S1076">
        <v>0</v>
      </c>
      <c r="T1076">
        <v>0.20618308186719531</v>
      </c>
      <c r="U1076">
        <v>0</v>
      </c>
      <c r="V1076">
        <v>0.70998419873718654</v>
      </c>
      <c r="W1076">
        <v>6.1049348371015366</v>
      </c>
      <c r="X1076">
        <v>0.20618308186719531</v>
      </c>
      <c r="Y1076">
        <v>0.70998419873718654</v>
      </c>
      <c r="Z1076" t="s">
        <v>24</v>
      </c>
    </row>
    <row r="1077" spans="1:26" hidden="1" x14ac:dyDescent="0.2">
      <c r="A1077">
        <v>69</v>
      </c>
      <c r="B1077" t="s">
        <v>29</v>
      </c>
      <c r="C1077" s="10">
        <v>10000073</v>
      </c>
      <c r="D1077" t="b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0.41441370947441641</v>
      </c>
      <c r="P1077">
        <v>0</v>
      </c>
      <c r="Q1077">
        <v>0.33893850870339048</v>
      </c>
      <c r="R1077">
        <v>0</v>
      </c>
      <c r="S1077">
        <v>0.33893850870339048</v>
      </c>
      <c r="T1077">
        <v>0</v>
      </c>
      <c r="U1077">
        <v>0.58558629052558353</v>
      </c>
      <c r="V1077">
        <v>0</v>
      </c>
      <c r="W1077">
        <v>5.5791574875384198</v>
      </c>
      <c r="X1077">
        <v>0.33893850870339048</v>
      </c>
      <c r="Y1077">
        <v>0.58558629052558353</v>
      </c>
      <c r="Z1077" t="s">
        <v>24</v>
      </c>
    </row>
    <row r="1078" spans="1:26" hidden="1" x14ac:dyDescent="0.2">
      <c r="A1078">
        <v>69</v>
      </c>
      <c r="B1078" t="s">
        <v>26</v>
      </c>
      <c r="C1078" s="10">
        <v>10000082</v>
      </c>
      <c r="D1078" t="b">
        <v>1</v>
      </c>
      <c r="F1078">
        <v>0</v>
      </c>
      <c r="G1078">
        <v>0</v>
      </c>
      <c r="H1078">
        <v>0</v>
      </c>
      <c r="I1078">
        <v>0.99795207535513919</v>
      </c>
      <c r="J1078">
        <v>5.0522103116502057E-2</v>
      </c>
      <c r="W1078">
        <v>4.9999366078338516</v>
      </c>
      <c r="X1078">
        <v>1</v>
      </c>
      <c r="Y1078">
        <v>0.99795207535513919</v>
      </c>
      <c r="Z1078" t="s">
        <v>23</v>
      </c>
    </row>
    <row r="1079" spans="1:26" hidden="1" x14ac:dyDescent="0.2">
      <c r="A1079">
        <v>69</v>
      </c>
      <c r="B1079" t="s">
        <v>26</v>
      </c>
      <c r="C1079" s="10">
        <v>10000073</v>
      </c>
      <c r="D1079" t="b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0.42488639634845332</v>
      </c>
      <c r="P1079">
        <v>0</v>
      </c>
      <c r="Q1079">
        <v>0.33893850870339048</v>
      </c>
      <c r="R1079">
        <v>0</v>
      </c>
      <c r="S1079">
        <v>0.33893850870339048</v>
      </c>
      <c r="T1079">
        <v>0</v>
      </c>
      <c r="U1079">
        <v>0.57511360365154673</v>
      </c>
      <c r="V1079">
        <v>0</v>
      </c>
      <c r="W1079">
        <v>5.5610345818166964</v>
      </c>
      <c r="X1079">
        <v>0.33893850870339048</v>
      </c>
      <c r="Y1079">
        <v>0.57511360365154673</v>
      </c>
      <c r="Z1079" t="s">
        <v>24</v>
      </c>
    </row>
    <row r="1080" spans="1:26" hidden="1" x14ac:dyDescent="0.2">
      <c r="A1080">
        <v>69</v>
      </c>
      <c r="B1080" t="s">
        <v>34</v>
      </c>
      <c r="C1080" s="10">
        <v>10000073</v>
      </c>
      <c r="D1080" t="b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3.3333333333333333E-2</v>
      </c>
      <c r="L1080">
        <v>0</v>
      </c>
      <c r="M1080">
        <v>0</v>
      </c>
      <c r="N1080">
        <v>0</v>
      </c>
      <c r="O1080">
        <v>0.42428629817501712</v>
      </c>
      <c r="P1080">
        <v>0</v>
      </c>
      <c r="Q1080">
        <v>0.38640816440511899</v>
      </c>
      <c r="R1080">
        <v>0</v>
      </c>
      <c r="S1080">
        <v>0.38640816440511899</v>
      </c>
      <c r="T1080">
        <v>0</v>
      </c>
      <c r="U1080">
        <v>0.57571370182498294</v>
      </c>
      <c r="V1080">
        <v>0</v>
      </c>
      <c r="W1080">
        <v>5.4387428315909689</v>
      </c>
      <c r="X1080">
        <v>0.38640816440511899</v>
      </c>
      <c r="Y1080">
        <v>0.57571370182498294</v>
      </c>
      <c r="Z1080" t="s">
        <v>24</v>
      </c>
    </row>
    <row r="1081" spans="1:26" hidden="1" x14ac:dyDescent="0.2">
      <c r="A1081">
        <v>70</v>
      </c>
      <c r="B1081" t="s">
        <v>30</v>
      </c>
      <c r="C1081" s="10">
        <v>10000033</v>
      </c>
      <c r="D1081" t="b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0.30882977802696898</v>
      </c>
      <c r="Q1081">
        <v>0</v>
      </c>
      <c r="R1081">
        <v>3.9575772876499653E-2</v>
      </c>
      <c r="S1081">
        <v>0</v>
      </c>
      <c r="T1081">
        <v>3.9575772876499653E-2</v>
      </c>
      <c r="U1081">
        <v>0</v>
      </c>
      <c r="V1081">
        <v>0.69117022197303091</v>
      </c>
      <c r="W1081">
        <v>6.5497986723137824</v>
      </c>
      <c r="X1081">
        <v>3.9575772876499653E-2</v>
      </c>
      <c r="Y1081">
        <v>0.69117022197303091</v>
      </c>
      <c r="Z1081" t="s">
        <v>24</v>
      </c>
    </row>
    <row r="1082" spans="1:26" hidden="1" x14ac:dyDescent="0.2">
      <c r="A1082">
        <v>70</v>
      </c>
      <c r="B1082" t="s">
        <v>32</v>
      </c>
      <c r="C1082" s="10">
        <v>10000082</v>
      </c>
      <c r="D1082" t="b">
        <v>1</v>
      </c>
      <c r="F1082">
        <v>0</v>
      </c>
      <c r="G1082">
        <v>0</v>
      </c>
      <c r="H1082">
        <v>0</v>
      </c>
      <c r="I1082">
        <v>0.99779504501241501</v>
      </c>
      <c r="J1082">
        <v>2.2049549875850492E-3</v>
      </c>
      <c r="W1082">
        <v>4.9997398037824086</v>
      </c>
      <c r="X1082">
        <v>1</v>
      </c>
      <c r="Y1082">
        <v>0.99779504501241501</v>
      </c>
      <c r="Z1082" t="s">
        <v>23</v>
      </c>
    </row>
    <row r="1083" spans="1:26" hidden="1" x14ac:dyDescent="0.2">
      <c r="A1083">
        <v>70</v>
      </c>
      <c r="B1083" t="s">
        <v>32</v>
      </c>
      <c r="C1083" s="10">
        <v>10000047</v>
      </c>
      <c r="D1083" t="b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0.83129015907284676</v>
      </c>
      <c r="P1083">
        <v>0</v>
      </c>
      <c r="Q1083">
        <v>0.16870984092715319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6.3218705988574246</v>
      </c>
      <c r="X1083">
        <v>0.16870984092715319</v>
      </c>
      <c r="Y1083">
        <v>0.83129015907284676</v>
      </c>
      <c r="Z1083" t="s">
        <v>24</v>
      </c>
    </row>
    <row r="1084" spans="1:26" hidden="1" x14ac:dyDescent="0.2">
      <c r="A1084">
        <v>70</v>
      </c>
      <c r="B1084" t="s">
        <v>31</v>
      </c>
      <c r="C1084" s="10">
        <v>10000082</v>
      </c>
      <c r="D1084" t="b">
        <v>1</v>
      </c>
      <c r="F1084">
        <v>0</v>
      </c>
      <c r="G1084">
        <v>0</v>
      </c>
      <c r="H1084">
        <v>0</v>
      </c>
      <c r="I1084">
        <v>0.70864894567430792</v>
      </c>
      <c r="J1084">
        <v>0.29135105432569208</v>
      </c>
      <c r="W1084">
        <v>4.5841397362109211</v>
      </c>
      <c r="X1084">
        <v>1</v>
      </c>
      <c r="Y1084">
        <v>0.70864894567430792</v>
      </c>
      <c r="Z1084" t="s">
        <v>23</v>
      </c>
    </row>
    <row r="1085" spans="1:26" hidden="1" x14ac:dyDescent="0.2">
      <c r="A1085">
        <v>70</v>
      </c>
      <c r="B1085" t="s">
        <v>26</v>
      </c>
      <c r="C1085" s="10">
        <v>10000082</v>
      </c>
      <c r="D1085" t="b">
        <v>1</v>
      </c>
      <c r="F1085">
        <v>0</v>
      </c>
      <c r="G1085">
        <v>0</v>
      </c>
      <c r="H1085">
        <v>0</v>
      </c>
      <c r="I1085">
        <v>0.70864894567430792</v>
      </c>
      <c r="J1085">
        <v>0.29135105432569208</v>
      </c>
      <c r="W1085">
        <v>4.5841397362109211</v>
      </c>
      <c r="X1085">
        <v>1</v>
      </c>
      <c r="Y1085">
        <v>0.70864894567430792</v>
      </c>
      <c r="Z1085" t="s">
        <v>23</v>
      </c>
    </row>
    <row r="1086" spans="1:26" hidden="1" x14ac:dyDescent="0.2">
      <c r="A1086">
        <v>70</v>
      </c>
      <c r="B1086" t="s">
        <v>26</v>
      </c>
      <c r="C1086" s="10">
        <v>10000073</v>
      </c>
      <c r="D1086" t="b">
        <v>1</v>
      </c>
      <c r="E1086">
        <v>0</v>
      </c>
      <c r="F1086">
        <v>0</v>
      </c>
      <c r="G1086">
        <v>0</v>
      </c>
      <c r="H1086">
        <v>0</v>
      </c>
      <c r="I1086">
        <v>0.56898976150597924</v>
      </c>
      <c r="J1086">
        <v>0.21124206581576299</v>
      </c>
      <c r="W1086">
        <v>5.9120915837062782</v>
      </c>
      <c r="X1086">
        <v>0.21124206581576299</v>
      </c>
      <c r="Y1086">
        <v>0.56898976150597924</v>
      </c>
      <c r="Z1086" t="s">
        <v>24</v>
      </c>
    </row>
    <row r="1087" spans="1:26" hidden="1" x14ac:dyDescent="0.2">
      <c r="A1087">
        <v>70</v>
      </c>
      <c r="B1087" t="s">
        <v>31</v>
      </c>
      <c r="C1087" s="10">
        <v>10000033</v>
      </c>
      <c r="D1087" t="b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0.30209091340427091</v>
      </c>
      <c r="Q1087">
        <v>0</v>
      </c>
      <c r="R1087">
        <v>7.1746021867944904E-2</v>
      </c>
      <c r="S1087">
        <v>0</v>
      </c>
      <c r="T1087">
        <v>7.1746021867944904E-2</v>
      </c>
      <c r="U1087">
        <v>0</v>
      </c>
      <c r="V1087">
        <v>0.69790908659572914</v>
      </c>
      <c r="W1087">
        <v>6.4621826952696786</v>
      </c>
      <c r="X1087">
        <v>7.1746021867944904E-2</v>
      </c>
      <c r="Y1087">
        <v>0.69790908659572914</v>
      </c>
      <c r="Z1087" t="s">
        <v>24</v>
      </c>
    </row>
    <row r="1088" spans="1:26" hidden="1" x14ac:dyDescent="0.2">
      <c r="A1088">
        <v>70</v>
      </c>
      <c r="B1088" t="s">
        <v>29</v>
      </c>
      <c r="C1088" s="10">
        <v>10000033</v>
      </c>
      <c r="D1088" t="b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0.29877658975351468</v>
      </c>
      <c r="Q1088">
        <v>0.29877658975351468</v>
      </c>
      <c r="R1088">
        <v>7.1746021867944904E-2</v>
      </c>
      <c r="S1088">
        <v>0</v>
      </c>
      <c r="T1088">
        <v>7.1746021867944904E-2</v>
      </c>
      <c r="U1088">
        <v>0</v>
      </c>
      <c r="V1088">
        <v>0.66666666666666652</v>
      </c>
      <c r="W1088">
        <v>5.809360426422737</v>
      </c>
      <c r="X1088">
        <v>0.29877658975351468</v>
      </c>
      <c r="Y1088">
        <v>0.66666666666666652</v>
      </c>
      <c r="Z1088" t="s">
        <v>24</v>
      </c>
    </row>
    <row r="1089" spans="1:26" hidden="1" x14ac:dyDescent="0.2">
      <c r="A1089">
        <v>70</v>
      </c>
      <c r="B1089" t="s">
        <v>28</v>
      </c>
      <c r="C1089" s="10">
        <v>10000047</v>
      </c>
      <c r="D1089" t="b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0.79653198307406237</v>
      </c>
      <c r="P1089">
        <v>0</v>
      </c>
      <c r="Q1089">
        <v>0.20346801692593761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6.2036890337729274</v>
      </c>
      <c r="X1089">
        <v>0.20346801692593761</v>
      </c>
      <c r="Y1089">
        <v>0.79653198307406237</v>
      </c>
      <c r="Z1089" t="s">
        <v>24</v>
      </c>
    </row>
    <row r="1090" spans="1:26" hidden="1" x14ac:dyDescent="0.2">
      <c r="A1090">
        <v>70</v>
      </c>
      <c r="B1090" t="s">
        <v>27</v>
      </c>
      <c r="C1090" s="10">
        <v>10000033</v>
      </c>
      <c r="D1090" t="b">
        <v>0</v>
      </c>
      <c r="E1090">
        <v>0</v>
      </c>
      <c r="F1090">
        <v>0</v>
      </c>
      <c r="G1090">
        <v>0</v>
      </c>
      <c r="H1090">
        <v>0.53333333333333333</v>
      </c>
      <c r="I1090">
        <v>0</v>
      </c>
      <c r="J1090">
        <v>0.30224993238220949</v>
      </c>
      <c r="K1090">
        <v>0</v>
      </c>
      <c r="L1090">
        <v>0.46666666666666667</v>
      </c>
      <c r="M1090">
        <v>0.25066989834025338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5.7385054724213624</v>
      </c>
      <c r="X1090">
        <v>0.25066989834025338</v>
      </c>
      <c r="Y1090">
        <v>0.53333333333333333</v>
      </c>
      <c r="Z1090" t="s">
        <v>24</v>
      </c>
    </row>
    <row r="1091" spans="1:26" hidden="1" x14ac:dyDescent="0.2">
      <c r="A1091">
        <v>70</v>
      </c>
      <c r="B1091" t="s">
        <v>34</v>
      </c>
      <c r="C1091" s="10">
        <v>10000047</v>
      </c>
      <c r="D1091" t="b">
        <v>0</v>
      </c>
      <c r="E1091">
        <v>0.18181818181818191</v>
      </c>
      <c r="F1091">
        <v>0</v>
      </c>
      <c r="G1091">
        <v>0</v>
      </c>
      <c r="H1091">
        <v>0</v>
      </c>
      <c r="I1091">
        <v>0.56666666666666665</v>
      </c>
      <c r="J1091">
        <v>0</v>
      </c>
      <c r="K1091">
        <v>0.18181818181818191</v>
      </c>
      <c r="L1091">
        <v>0.43333333333333329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5.9980896815950508</v>
      </c>
      <c r="X1091">
        <v>0.18181818181818191</v>
      </c>
      <c r="Y1091">
        <v>0.56666666666666665</v>
      </c>
      <c r="Z1091" t="s">
        <v>24</v>
      </c>
    </row>
    <row r="1092" spans="1:26" hidden="1" x14ac:dyDescent="0.2">
      <c r="A1092">
        <v>70</v>
      </c>
      <c r="B1092" t="s">
        <v>34</v>
      </c>
      <c r="C1092" s="10">
        <v>10000073</v>
      </c>
      <c r="D1092" t="b">
        <v>0</v>
      </c>
      <c r="E1092">
        <v>0.43975260663574001</v>
      </c>
      <c r="F1092">
        <v>0</v>
      </c>
      <c r="G1092">
        <v>0.56024739336425999</v>
      </c>
      <c r="H1092">
        <v>0</v>
      </c>
      <c r="I1092">
        <v>0</v>
      </c>
      <c r="J1092">
        <v>0</v>
      </c>
      <c r="K1092">
        <v>0.43333333333333329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3.411865525533528</v>
      </c>
      <c r="X1092">
        <v>0.56024739336425999</v>
      </c>
      <c r="Y1092">
        <v>0</v>
      </c>
      <c r="Z1092" t="s">
        <v>23</v>
      </c>
    </row>
    <row r="1093" spans="1:26" hidden="1" x14ac:dyDescent="0.2">
      <c r="A1093">
        <v>70</v>
      </c>
      <c r="B1093" t="s">
        <v>35</v>
      </c>
      <c r="C1093" s="10">
        <v>10000033</v>
      </c>
      <c r="D1093" t="b">
        <v>0</v>
      </c>
      <c r="E1093">
        <v>0</v>
      </c>
      <c r="F1093">
        <v>0</v>
      </c>
      <c r="G1093">
        <v>0</v>
      </c>
      <c r="H1093">
        <v>0.68593999510512238</v>
      </c>
      <c r="I1093">
        <v>0</v>
      </c>
      <c r="J1093">
        <v>0.31406000489487762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6.6627835796703119</v>
      </c>
      <c r="X1093">
        <v>0</v>
      </c>
      <c r="Y1093">
        <v>0.68593999510512238</v>
      </c>
      <c r="Z1093" t="s">
        <v>24</v>
      </c>
    </row>
    <row r="1094" spans="1:26" hidden="1" x14ac:dyDescent="0.2">
      <c r="A1094">
        <v>70</v>
      </c>
      <c r="B1094" t="s">
        <v>33</v>
      </c>
      <c r="C1094" s="10">
        <v>10000033</v>
      </c>
      <c r="D1094" t="b">
        <v>0</v>
      </c>
      <c r="E1094">
        <v>0</v>
      </c>
      <c r="F1094">
        <v>0</v>
      </c>
      <c r="G1094">
        <v>0</v>
      </c>
      <c r="H1094">
        <v>0.67445362092146199</v>
      </c>
      <c r="I1094">
        <v>0</v>
      </c>
      <c r="J1094">
        <v>0.32554637907853801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6.656255070454403</v>
      </c>
      <c r="X1094">
        <v>0</v>
      </c>
      <c r="Y1094">
        <v>0.67445362092146199</v>
      </c>
      <c r="Z1094" t="s">
        <v>24</v>
      </c>
    </row>
    <row r="1095" spans="1:26" hidden="1" x14ac:dyDescent="0.2">
      <c r="A1095">
        <v>70</v>
      </c>
      <c r="B1095" t="s">
        <v>33</v>
      </c>
      <c r="C1095" s="10">
        <v>10000082</v>
      </c>
      <c r="D1095" t="b">
        <v>1</v>
      </c>
      <c r="F1095">
        <v>0</v>
      </c>
      <c r="G1095">
        <v>0.5780681671665524</v>
      </c>
      <c r="H1095">
        <v>0</v>
      </c>
      <c r="I1095">
        <v>0</v>
      </c>
      <c r="J1095">
        <v>0</v>
      </c>
      <c r="W1095">
        <v>4.3615594149600039</v>
      </c>
      <c r="X1095">
        <v>1</v>
      </c>
      <c r="Y1095">
        <v>0.5780681671665524</v>
      </c>
      <c r="Z1095" t="s">
        <v>23</v>
      </c>
    </row>
    <row r="1096" spans="1:26" hidden="1" x14ac:dyDescent="0.2">
      <c r="A1096">
        <v>71</v>
      </c>
      <c r="B1096" t="s">
        <v>30</v>
      </c>
      <c r="C1096" s="10">
        <v>10000082</v>
      </c>
      <c r="D1096" t="b">
        <v>1</v>
      </c>
      <c r="F1096">
        <v>0</v>
      </c>
      <c r="G1096">
        <v>0</v>
      </c>
      <c r="H1096">
        <v>0</v>
      </c>
      <c r="I1096">
        <v>0</v>
      </c>
      <c r="J1096">
        <v>0.7772164250485023</v>
      </c>
      <c r="W1096">
        <v>3.1666666666666679</v>
      </c>
      <c r="X1096">
        <v>1</v>
      </c>
      <c r="Y1096">
        <v>0</v>
      </c>
      <c r="Z1096" t="s">
        <v>23</v>
      </c>
    </row>
    <row r="1097" spans="1:26" hidden="1" x14ac:dyDescent="0.2">
      <c r="A1097">
        <v>71</v>
      </c>
      <c r="B1097" t="s">
        <v>28</v>
      </c>
      <c r="C1097" s="10">
        <v>10000047</v>
      </c>
      <c r="D1097" t="b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0.76409582398781117</v>
      </c>
      <c r="P1097">
        <v>0</v>
      </c>
      <c r="Q1097">
        <v>0.2359041760121888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6.0894103851474837</v>
      </c>
      <c r="X1097">
        <v>0.2359041760121888</v>
      </c>
      <c r="Y1097">
        <v>0.76409582398781117</v>
      </c>
      <c r="Z1097" t="s">
        <v>24</v>
      </c>
    </row>
    <row r="1098" spans="1:26" hidden="1" x14ac:dyDescent="0.2">
      <c r="A1098">
        <v>71</v>
      </c>
      <c r="B1098" t="s">
        <v>30</v>
      </c>
      <c r="C1098" s="10">
        <v>10000033</v>
      </c>
      <c r="D1098" t="b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0.31127839319366468</v>
      </c>
      <c r="Q1098">
        <v>0</v>
      </c>
      <c r="R1098">
        <v>0.1609713360174507</v>
      </c>
      <c r="S1098">
        <v>0</v>
      </c>
      <c r="T1098">
        <v>0.1609713360174507</v>
      </c>
      <c r="U1098">
        <v>0</v>
      </c>
      <c r="V1098">
        <v>0.68872160680633532</v>
      </c>
      <c r="W1098">
        <v>6.2034638437394971</v>
      </c>
      <c r="X1098">
        <v>0.1609713360174507</v>
      </c>
      <c r="Y1098">
        <v>0.68872160680633532</v>
      </c>
      <c r="Z1098" t="s">
        <v>24</v>
      </c>
    </row>
    <row r="1099" spans="1:26" hidden="1" x14ac:dyDescent="0.2">
      <c r="A1099">
        <v>71</v>
      </c>
      <c r="B1099" t="s">
        <v>27</v>
      </c>
      <c r="C1099" s="10">
        <v>10000047</v>
      </c>
      <c r="D1099" t="b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0.75902283962179107</v>
      </c>
      <c r="P1099">
        <v>0</v>
      </c>
      <c r="Q1099">
        <v>0.2409771603782089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6.0711818448394217</v>
      </c>
      <c r="X1099">
        <v>0.2409771603782089</v>
      </c>
      <c r="Y1099">
        <v>0.75902283962179107</v>
      </c>
      <c r="Z1099" t="s">
        <v>24</v>
      </c>
    </row>
    <row r="1100" spans="1:26" hidden="1" x14ac:dyDescent="0.2">
      <c r="A1100">
        <v>71</v>
      </c>
      <c r="B1100" t="s">
        <v>27</v>
      </c>
      <c r="C1100" s="10">
        <v>10000082</v>
      </c>
      <c r="D1100" t="b">
        <v>1</v>
      </c>
      <c r="F1100">
        <v>0</v>
      </c>
      <c r="G1100">
        <v>0</v>
      </c>
      <c r="H1100">
        <v>0</v>
      </c>
      <c r="I1100">
        <v>0</v>
      </c>
      <c r="J1100">
        <v>0.95687718728289661</v>
      </c>
      <c r="W1100">
        <v>3.1666666666666679</v>
      </c>
      <c r="X1100">
        <v>1</v>
      </c>
      <c r="Y1100">
        <v>0</v>
      </c>
      <c r="Z1100" t="s">
        <v>23</v>
      </c>
    </row>
    <row r="1101" spans="1:26" hidden="1" x14ac:dyDescent="0.2">
      <c r="A1101">
        <v>71</v>
      </c>
      <c r="B1101" t="s">
        <v>29</v>
      </c>
      <c r="C1101" s="10">
        <v>10000082</v>
      </c>
      <c r="D1101" t="b">
        <v>1</v>
      </c>
      <c r="F1101">
        <v>0</v>
      </c>
      <c r="G1101">
        <v>0</v>
      </c>
      <c r="H1101">
        <v>0</v>
      </c>
      <c r="I1101">
        <v>3.6319654062635259E-3</v>
      </c>
      <c r="J1101">
        <v>0.99733796047983458</v>
      </c>
      <c r="W1101">
        <v>3.1747986403566562</v>
      </c>
      <c r="X1101">
        <v>1</v>
      </c>
      <c r="Y1101">
        <v>3.6319654062635259E-3</v>
      </c>
      <c r="Z1101" t="s">
        <v>23</v>
      </c>
    </row>
    <row r="1102" spans="1:26" hidden="1" x14ac:dyDescent="0.2">
      <c r="A1102">
        <v>71</v>
      </c>
      <c r="B1102" t="s">
        <v>29</v>
      </c>
      <c r="C1102" s="10">
        <v>10000033</v>
      </c>
      <c r="D1102" t="b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0.31573907265330481</v>
      </c>
      <c r="Q1102">
        <v>0</v>
      </c>
      <c r="R1102">
        <v>0.23513162795291351</v>
      </c>
      <c r="S1102">
        <v>0</v>
      </c>
      <c r="T1102">
        <v>0.23513162795291351</v>
      </c>
      <c r="U1102">
        <v>0</v>
      </c>
      <c r="V1102">
        <v>0.68426092734669519</v>
      </c>
      <c r="W1102">
        <v>5.9982435750429346</v>
      </c>
      <c r="X1102">
        <v>0.23513162795291351</v>
      </c>
      <c r="Y1102">
        <v>0.68426092734669519</v>
      </c>
      <c r="Z1102" t="s">
        <v>24</v>
      </c>
    </row>
    <row r="1103" spans="1:26" hidden="1" x14ac:dyDescent="0.2">
      <c r="A1103">
        <v>71</v>
      </c>
      <c r="B1103" t="s">
        <v>33</v>
      </c>
      <c r="C1103" s="10">
        <v>10000033</v>
      </c>
      <c r="D1103" t="b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0.33051426995706262</v>
      </c>
      <c r="Q1103">
        <v>0</v>
      </c>
      <c r="R1103">
        <v>0.23513162795291351</v>
      </c>
      <c r="S1103">
        <v>0</v>
      </c>
      <c r="T1103">
        <v>0.23513162795291351</v>
      </c>
      <c r="U1103">
        <v>0</v>
      </c>
      <c r="V1103">
        <v>0.66948573004293743</v>
      </c>
      <c r="W1103">
        <v>5.9797913513932022</v>
      </c>
      <c r="X1103">
        <v>0.23513162795291351</v>
      </c>
      <c r="Y1103">
        <v>0.66948573004293743</v>
      </c>
      <c r="Z1103" t="s">
        <v>24</v>
      </c>
    </row>
    <row r="1104" spans="1:26" hidden="1" x14ac:dyDescent="0.2">
      <c r="A1104">
        <v>71</v>
      </c>
      <c r="B1104" t="s">
        <v>34</v>
      </c>
      <c r="C1104" s="10">
        <v>10000082</v>
      </c>
      <c r="D1104" t="b">
        <v>1</v>
      </c>
      <c r="F1104">
        <v>0</v>
      </c>
      <c r="G1104">
        <v>0</v>
      </c>
      <c r="H1104">
        <v>0</v>
      </c>
      <c r="I1104">
        <v>7.9541194775636537E-2</v>
      </c>
      <c r="J1104">
        <v>0.92045880522436352</v>
      </c>
      <c r="W1104">
        <v>3.344257998419558</v>
      </c>
      <c r="X1104">
        <v>1</v>
      </c>
      <c r="Y1104">
        <v>7.9541194775636537E-2</v>
      </c>
      <c r="Z1104" t="s">
        <v>23</v>
      </c>
    </row>
    <row r="1105" spans="1:26" hidden="1" x14ac:dyDescent="0.2">
      <c r="A1105">
        <v>71</v>
      </c>
      <c r="B1105" t="s">
        <v>31</v>
      </c>
      <c r="C1105" s="10">
        <v>10000082</v>
      </c>
      <c r="D1105" t="b">
        <v>1</v>
      </c>
      <c r="F1105">
        <v>0</v>
      </c>
      <c r="G1105">
        <v>0</v>
      </c>
      <c r="H1105">
        <v>0</v>
      </c>
      <c r="I1105">
        <v>0.1131392198073851</v>
      </c>
      <c r="J1105">
        <v>0.88686078019261494</v>
      </c>
      <c r="W1105">
        <v>3.4187419162942279</v>
      </c>
      <c r="X1105">
        <v>1</v>
      </c>
      <c r="Y1105">
        <v>0.1131392198073851</v>
      </c>
      <c r="Z1105" t="s">
        <v>23</v>
      </c>
    </row>
    <row r="1106" spans="1:26" hidden="1" x14ac:dyDescent="0.2">
      <c r="A1106">
        <v>71</v>
      </c>
      <c r="B1106" t="s">
        <v>34</v>
      </c>
      <c r="C1106" s="10">
        <v>10000033</v>
      </c>
      <c r="D1106" t="b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0.32472626018505069</v>
      </c>
      <c r="Q1106">
        <v>0</v>
      </c>
      <c r="R1106">
        <v>0.23995109985846211</v>
      </c>
      <c r="S1106">
        <v>0</v>
      </c>
      <c r="T1106">
        <v>0.23995109985846211</v>
      </c>
      <c r="U1106">
        <v>0</v>
      </c>
      <c r="V1106">
        <v>0.67527373981494931</v>
      </c>
      <c r="W1106">
        <v>5.9742657387515941</v>
      </c>
      <c r="X1106">
        <v>0.23995109985846211</v>
      </c>
      <c r="Y1106">
        <v>0.67527373981494931</v>
      </c>
      <c r="Z1106" t="s">
        <v>24</v>
      </c>
    </row>
    <row r="1107" spans="1:26" hidden="1" x14ac:dyDescent="0.2">
      <c r="A1107">
        <v>71</v>
      </c>
      <c r="B1107" t="s">
        <v>26</v>
      </c>
      <c r="C1107" s="10">
        <v>10000082</v>
      </c>
      <c r="D1107" t="b">
        <v>1</v>
      </c>
      <c r="F1107">
        <v>0</v>
      </c>
      <c r="G1107">
        <v>0</v>
      </c>
      <c r="H1107">
        <v>0</v>
      </c>
      <c r="I1107">
        <v>7.2524948282721186E-2</v>
      </c>
      <c r="J1107">
        <v>0.92747505171727884</v>
      </c>
      <c r="W1107">
        <v>3.328653115443295</v>
      </c>
      <c r="X1107">
        <v>1</v>
      </c>
      <c r="Y1107">
        <v>7.2524948282721186E-2</v>
      </c>
      <c r="Z1107" t="s">
        <v>23</v>
      </c>
    </row>
    <row r="1108" spans="1:26" hidden="1" x14ac:dyDescent="0.2">
      <c r="A1108">
        <v>71</v>
      </c>
      <c r="B1108" t="s">
        <v>35</v>
      </c>
      <c r="C1108" s="10">
        <v>10000082</v>
      </c>
      <c r="D1108" t="b">
        <v>1</v>
      </c>
      <c r="F1108">
        <v>0</v>
      </c>
      <c r="G1108">
        <v>0</v>
      </c>
      <c r="H1108">
        <v>0</v>
      </c>
      <c r="I1108">
        <v>7.2524948282721186E-2</v>
      </c>
      <c r="J1108">
        <v>0.92747505171727884</v>
      </c>
      <c r="W1108">
        <v>3.328653115443295</v>
      </c>
      <c r="X1108">
        <v>1</v>
      </c>
      <c r="Y1108">
        <v>7.2524948282721186E-2</v>
      </c>
      <c r="Z1108" t="s">
        <v>23</v>
      </c>
    </row>
    <row r="1109" spans="1:26" hidden="1" x14ac:dyDescent="0.2">
      <c r="A1109">
        <v>71</v>
      </c>
      <c r="B1109" t="s">
        <v>31</v>
      </c>
      <c r="C1109" s="10">
        <v>10000073</v>
      </c>
      <c r="D1109" t="b">
        <v>1</v>
      </c>
      <c r="E1109">
        <v>0</v>
      </c>
      <c r="F1109">
        <v>0</v>
      </c>
      <c r="G1109">
        <v>0</v>
      </c>
      <c r="H1109">
        <v>0</v>
      </c>
      <c r="I1109">
        <v>0.54960837336184998</v>
      </c>
      <c r="J1109">
        <v>0.37321528687818878</v>
      </c>
      <c r="W1109">
        <v>5.4238103080766118</v>
      </c>
      <c r="X1109">
        <v>0.37321528687818878</v>
      </c>
      <c r="Y1109">
        <v>0.54960837336184998</v>
      </c>
      <c r="Z1109" t="s">
        <v>24</v>
      </c>
    </row>
    <row r="1110" spans="1:26" hidden="1" x14ac:dyDescent="0.2">
      <c r="A1110">
        <v>71</v>
      </c>
      <c r="B1110" t="s">
        <v>35</v>
      </c>
      <c r="C1110" s="10">
        <v>10000073</v>
      </c>
      <c r="D1110" t="b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0.46024269199490392</v>
      </c>
      <c r="P1110">
        <v>0</v>
      </c>
      <c r="Q1110">
        <v>0.37321528687818878</v>
      </c>
      <c r="R1110">
        <v>0</v>
      </c>
      <c r="S1110">
        <v>0.37321528687818878</v>
      </c>
      <c r="T1110">
        <v>0</v>
      </c>
      <c r="U1110">
        <v>0.53975730800509614</v>
      </c>
      <c r="V1110">
        <v>0</v>
      </c>
      <c r="W1110">
        <v>5.4047526052204038</v>
      </c>
      <c r="X1110">
        <v>0.37321528687818878</v>
      </c>
      <c r="Y1110">
        <v>0.53975730800509614</v>
      </c>
      <c r="Z1110" t="s">
        <v>24</v>
      </c>
    </row>
    <row r="1111" spans="1:26" hidden="1" x14ac:dyDescent="0.2">
      <c r="A1111">
        <v>71</v>
      </c>
      <c r="B1111" t="s">
        <v>26</v>
      </c>
      <c r="C1111" s="10">
        <v>10000073</v>
      </c>
      <c r="D1111" t="b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0.44986848338014152</v>
      </c>
      <c r="P1111">
        <v>0</v>
      </c>
      <c r="Q1111">
        <v>0.37520102880974848</v>
      </c>
      <c r="R1111">
        <v>0</v>
      </c>
      <c r="S1111">
        <v>0.37520102880974848</v>
      </c>
      <c r="T1111">
        <v>0</v>
      </c>
      <c r="U1111">
        <v>0.55013151661985848</v>
      </c>
      <c r="V1111">
        <v>0</v>
      </c>
      <c r="W1111">
        <v>5.4196127515772101</v>
      </c>
      <c r="X1111">
        <v>0.37520102880974848</v>
      </c>
      <c r="Y1111">
        <v>0.55013151661985848</v>
      </c>
      <c r="Z1111" t="s">
        <v>24</v>
      </c>
    </row>
    <row r="1112" spans="1:26" hidden="1" x14ac:dyDescent="0.2">
      <c r="A1112">
        <v>71</v>
      </c>
      <c r="B1112" t="s">
        <v>32</v>
      </c>
      <c r="C1112" s="10">
        <v>10000047</v>
      </c>
      <c r="D1112" t="b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0.67702049372649309</v>
      </c>
      <c r="P1112">
        <v>0</v>
      </c>
      <c r="Q1112">
        <v>0.32297950627350691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5.7628246829165439</v>
      </c>
      <c r="X1112">
        <v>0.32297950627350691</v>
      </c>
      <c r="Y1112">
        <v>0.67702049372649309</v>
      </c>
      <c r="Z1112" t="s">
        <v>24</v>
      </c>
    </row>
    <row r="1113" spans="1:26" hidden="1" x14ac:dyDescent="0.2">
      <c r="A1113">
        <v>72</v>
      </c>
      <c r="B1113" t="s">
        <v>30</v>
      </c>
      <c r="C1113" s="10">
        <v>10000047</v>
      </c>
      <c r="D1113" t="b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0.80893613082285742</v>
      </c>
      <c r="P1113">
        <v>0</v>
      </c>
      <c r="Q1113">
        <v>0.1910638691771426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6.2463667335272364</v>
      </c>
      <c r="X1113">
        <v>0.1910638691771426</v>
      </c>
      <c r="Y1113">
        <v>0.80893613082285742</v>
      </c>
      <c r="Z1113" t="s">
        <v>24</v>
      </c>
    </row>
    <row r="1114" spans="1:26" hidden="1" x14ac:dyDescent="0.2">
      <c r="A1114">
        <v>72</v>
      </c>
      <c r="B1114" t="s">
        <v>29</v>
      </c>
      <c r="C1114" s="10">
        <v>10000082</v>
      </c>
      <c r="D1114" t="b">
        <v>1</v>
      </c>
      <c r="F1114">
        <v>0</v>
      </c>
      <c r="G1114">
        <v>0</v>
      </c>
      <c r="H1114">
        <v>0</v>
      </c>
      <c r="I1114">
        <v>0.99796949276883207</v>
      </c>
      <c r="J1114">
        <v>3.0081720933561939E-2</v>
      </c>
      <c r="W1114">
        <v>4.9999584349430517</v>
      </c>
      <c r="X1114">
        <v>1</v>
      </c>
      <c r="Y1114">
        <v>0.99796949276883207</v>
      </c>
      <c r="Z1114" t="s">
        <v>23</v>
      </c>
    </row>
    <row r="1115" spans="1:26" hidden="1" x14ac:dyDescent="0.2">
      <c r="A1115">
        <v>72</v>
      </c>
      <c r="B1115" t="s">
        <v>29</v>
      </c>
      <c r="C1115" s="10">
        <v>10000047</v>
      </c>
      <c r="D1115" t="b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0.80893613082285742</v>
      </c>
      <c r="P1115">
        <v>0.18181818181818171</v>
      </c>
      <c r="Q1115">
        <v>0.1910638691771426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6.2463667335272364</v>
      </c>
      <c r="X1115">
        <v>0.1910638691771426</v>
      </c>
      <c r="Y1115">
        <v>0.80893613082285742</v>
      </c>
      <c r="Z1115" t="s">
        <v>24</v>
      </c>
    </row>
    <row r="1116" spans="1:26" hidden="1" x14ac:dyDescent="0.2">
      <c r="A1116">
        <v>72</v>
      </c>
      <c r="B1116" t="s">
        <v>28</v>
      </c>
      <c r="C1116" s="10">
        <v>10000082</v>
      </c>
      <c r="D1116" t="b">
        <v>1</v>
      </c>
      <c r="F1116">
        <v>0</v>
      </c>
      <c r="G1116">
        <v>0</v>
      </c>
      <c r="H1116">
        <v>0</v>
      </c>
      <c r="I1116">
        <v>0.99885772608165591</v>
      </c>
      <c r="J1116">
        <v>3.96199138754635E-2</v>
      </c>
      <c r="W1116">
        <v>5.0010710447748261</v>
      </c>
      <c r="X1116">
        <v>1</v>
      </c>
      <c r="Y1116">
        <v>0.99885772608165591</v>
      </c>
      <c r="Z1116" t="s">
        <v>23</v>
      </c>
    </row>
    <row r="1117" spans="1:26" hidden="1" x14ac:dyDescent="0.2">
      <c r="A1117">
        <v>72</v>
      </c>
      <c r="B1117" t="s">
        <v>28</v>
      </c>
      <c r="C1117" s="10">
        <v>10000073</v>
      </c>
      <c r="D1117" t="b">
        <v>1</v>
      </c>
      <c r="E1117">
        <v>0</v>
      </c>
      <c r="F1117">
        <v>0</v>
      </c>
      <c r="G1117">
        <v>0</v>
      </c>
      <c r="H1117">
        <v>0</v>
      </c>
      <c r="I1117">
        <v>0.56132469901742121</v>
      </c>
      <c r="J1117">
        <v>0.2564299425732246</v>
      </c>
      <c r="W1117">
        <v>5.7672386935929403</v>
      </c>
      <c r="X1117">
        <v>0.2564299425732246</v>
      </c>
      <c r="Y1117">
        <v>0.56132469901742121</v>
      </c>
      <c r="Z1117" t="s">
        <v>24</v>
      </c>
    </row>
    <row r="1118" spans="1:26" hidden="1" x14ac:dyDescent="0.2">
      <c r="A1118">
        <v>72</v>
      </c>
      <c r="B1118" t="s">
        <v>26</v>
      </c>
      <c r="C1118" s="10">
        <v>10000082</v>
      </c>
      <c r="D1118" t="b">
        <v>1</v>
      </c>
      <c r="F1118">
        <v>0</v>
      </c>
      <c r="G1118">
        <v>0</v>
      </c>
      <c r="H1118">
        <v>0</v>
      </c>
      <c r="I1118">
        <v>0</v>
      </c>
      <c r="J1118">
        <v>0.98226392299207521</v>
      </c>
      <c r="W1118">
        <v>3.1666666666666679</v>
      </c>
      <c r="X1118">
        <v>1</v>
      </c>
      <c r="Y1118">
        <v>0</v>
      </c>
      <c r="Z1118" t="s">
        <v>23</v>
      </c>
    </row>
    <row r="1119" spans="1:26" hidden="1" x14ac:dyDescent="0.2">
      <c r="A1119">
        <v>72</v>
      </c>
      <c r="B1119" t="s">
        <v>26</v>
      </c>
      <c r="C1119" s="10">
        <v>10000047</v>
      </c>
      <c r="D1119" t="b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0.7822815728136111</v>
      </c>
      <c r="P1119">
        <v>0.21771842718638881</v>
      </c>
      <c r="Q1119">
        <v>0.21771842718638881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6.1539616413474674</v>
      </c>
      <c r="X1119">
        <v>0.21771842718638881</v>
      </c>
      <c r="Y1119">
        <v>0.7822815728136111</v>
      </c>
      <c r="Z1119" t="s">
        <v>24</v>
      </c>
    </row>
    <row r="1120" spans="1:26" hidden="1" x14ac:dyDescent="0.2">
      <c r="A1120">
        <v>72</v>
      </c>
      <c r="B1120" t="s">
        <v>26</v>
      </c>
      <c r="C1120" s="10">
        <v>10000073</v>
      </c>
      <c r="D1120" t="b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0.45253701942791702</v>
      </c>
      <c r="P1120">
        <v>0</v>
      </c>
      <c r="Q1120">
        <v>0.2564299425732246</v>
      </c>
      <c r="R1120">
        <v>0</v>
      </c>
      <c r="S1120">
        <v>0.2564299425732246</v>
      </c>
      <c r="T1120">
        <v>0</v>
      </c>
      <c r="U1120">
        <v>0.54746298057208298</v>
      </c>
      <c r="V1120">
        <v>0</v>
      </c>
      <c r="W1120">
        <v>5.7448166068941298</v>
      </c>
      <c r="X1120">
        <v>0.2564299425732246</v>
      </c>
      <c r="Y1120">
        <v>0.54746298057208298</v>
      </c>
      <c r="Z1120" t="s">
        <v>24</v>
      </c>
    </row>
    <row r="1121" spans="1:26" hidden="1" x14ac:dyDescent="0.2">
      <c r="A1121">
        <v>72</v>
      </c>
      <c r="B1121" t="s">
        <v>34</v>
      </c>
      <c r="C1121" s="10">
        <v>10000082</v>
      </c>
      <c r="D1121" t="b">
        <v>1</v>
      </c>
      <c r="F1121">
        <v>0</v>
      </c>
      <c r="G1121">
        <v>0</v>
      </c>
      <c r="H1121">
        <v>0</v>
      </c>
      <c r="I1121">
        <v>0</v>
      </c>
      <c r="J1121">
        <v>0.98226392299207521</v>
      </c>
      <c r="W1121">
        <v>3.1666666666666679</v>
      </c>
      <c r="X1121">
        <v>1</v>
      </c>
      <c r="Y1121">
        <v>0</v>
      </c>
      <c r="Z1121" t="s">
        <v>23</v>
      </c>
    </row>
    <row r="1122" spans="1:26" hidden="1" x14ac:dyDescent="0.2">
      <c r="A1122">
        <v>72</v>
      </c>
      <c r="B1122" t="s">
        <v>34</v>
      </c>
      <c r="C1122" s="10">
        <v>10000033</v>
      </c>
      <c r="D1122" t="b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0.32994829052118552</v>
      </c>
      <c r="Q1122">
        <v>0</v>
      </c>
      <c r="R1122">
        <v>8.859943782846752E-2</v>
      </c>
      <c r="S1122">
        <v>0</v>
      </c>
      <c r="T1122">
        <v>8.859943782846752E-2</v>
      </c>
      <c r="U1122">
        <v>0</v>
      </c>
      <c r="V1122">
        <v>0.67005170947881454</v>
      </c>
      <c r="W1122">
        <v>6.3905002590632334</v>
      </c>
      <c r="X1122">
        <v>8.859943782846752E-2</v>
      </c>
      <c r="Y1122">
        <v>0.67005170947881454</v>
      </c>
      <c r="Z1122" t="s">
        <v>24</v>
      </c>
    </row>
    <row r="1123" spans="1:26" hidden="1" x14ac:dyDescent="0.2">
      <c r="A1123">
        <v>72</v>
      </c>
      <c r="B1123" t="s">
        <v>31</v>
      </c>
      <c r="C1123" s="10">
        <v>10000073</v>
      </c>
      <c r="D1123" t="b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0.4570015735855017</v>
      </c>
      <c r="P1123">
        <v>0</v>
      </c>
      <c r="Q1123">
        <v>0.27215690034096418</v>
      </c>
      <c r="R1123">
        <v>0</v>
      </c>
      <c r="S1123">
        <v>0.27215690034096418</v>
      </c>
      <c r="T1123">
        <v>0</v>
      </c>
      <c r="U1123">
        <v>0.54299842641449836</v>
      </c>
      <c r="V1123">
        <v>0</v>
      </c>
      <c r="W1123">
        <v>5.6913271884611332</v>
      </c>
      <c r="X1123">
        <v>0.27215690034096418</v>
      </c>
      <c r="Y1123">
        <v>0.54299842641449836</v>
      </c>
      <c r="Z1123" t="s">
        <v>24</v>
      </c>
    </row>
    <row r="1124" spans="1:26" hidden="1" x14ac:dyDescent="0.2">
      <c r="A1124">
        <v>72</v>
      </c>
      <c r="B1124" t="s">
        <v>32</v>
      </c>
      <c r="C1124" s="10">
        <v>10000073</v>
      </c>
      <c r="D1124" t="b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0.46208409524615363</v>
      </c>
      <c r="P1124">
        <v>0</v>
      </c>
      <c r="Q1124">
        <v>0.30340953563448209</v>
      </c>
      <c r="R1124">
        <v>0</v>
      </c>
      <c r="S1124">
        <v>0.30340953563448209</v>
      </c>
      <c r="T1124">
        <v>0</v>
      </c>
      <c r="U1124">
        <v>0.53791590475384643</v>
      </c>
      <c r="V1124">
        <v>0</v>
      </c>
      <c r="W1124">
        <v>5.5925459162078512</v>
      </c>
      <c r="X1124">
        <v>0.30340953563448209</v>
      </c>
      <c r="Y1124">
        <v>0.53791590475384643</v>
      </c>
      <c r="Z1124" t="s">
        <v>24</v>
      </c>
    </row>
    <row r="1125" spans="1:26" hidden="1" x14ac:dyDescent="0.2">
      <c r="A1125">
        <v>72</v>
      </c>
      <c r="B1125" t="s">
        <v>32</v>
      </c>
      <c r="C1125" s="10">
        <v>10000082</v>
      </c>
      <c r="D1125" t="b">
        <v>1</v>
      </c>
      <c r="F1125">
        <v>0</v>
      </c>
      <c r="G1125">
        <v>0</v>
      </c>
      <c r="H1125">
        <v>0</v>
      </c>
      <c r="I1125">
        <v>2.017671259034378E-2</v>
      </c>
      <c r="J1125">
        <v>0.98520869871973693</v>
      </c>
      <c r="W1125">
        <v>3.2118215315477472</v>
      </c>
      <c r="X1125">
        <v>1</v>
      </c>
      <c r="Y1125">
        <v>2.017671259034378E-2</v>
      </c>
      <c r="Z1125" t="s">
        <v>23</v>
      </c>
    </row>
    <row r="1126" spans="1:26" hidden="1" x14ac:dyDescent="0.2">
      <c r="A1126">
        <v>72</v>
      </c>
      <c r="B1126" t="s">
        <v>27</v>
      </c>
      <c r="C1126" s="10">
        <v>10000047</v>
      </c>
      <c r="D1126" t="b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0.71743971773918636</v>
      </c>
      <c r="P1126">
        <v>0.2825602822608137</v>
      </c>
      <c r="Q1126">
        <v>0.25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6.0001605538966976</v>
      </c>
      <c r="X1126">
        <v>0.25</v>
      </c>
      <c r="Y1126">
        <v>0.71743971773918636</v>
      </c>
      <c r="Z1126" t="s">
        <v>24</v>
      </c>
    </row>
    <row r="1127" spans="1:26" hidden="1" x14ac:dyDescent="0.2">
      <c r="A1127">
        <v>72</v>
      </c>
      <c r="B1127" t="s">
        <v>33</v>
      </c>
      <c r="C1127" s="10">
        <v>10000033</v>
      </c>
      <c r="D1127" t="b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0.3703367461584397</v>
      </c>
      <c r="Q1127">
        <v>0</v>
      </c>
      <c r="R1127">
        <v>0.17702306165448051</v>
      </c>
      <c r="S1127">
        <v>0</v>
      </c>
      <c r="T1127">
        <v>0.17702306165448051</v>
      </c>
      <c r="U1127">
        <v>0</v>
      </c>
      <c r="V1127">
        <v>0.6296632538415603</v>
      </c>
      <c r="W1127">
        <v>6.0921701327093167</v>
      </c>
      <c r="X1127">
        <v>0.17702306165448051</v>
      </c>
      <c r="Y1127">
        <v>0.6296632538415603</v>
      </c>
      <c r="Z1127" t="s">
        <v>24</v>
      </c>
    </row>
    <row r="1128" spans="1:26" hidden="1" x14ac:dyDescent="0.2">
      <c r="A1128">
        <v>72</v>
      </c>
      <c r="B1128" t="s">
        <v>35</v>
      </c>
      <c r="C1128" s="10">
        <v>10000047</v>
      </c>
      <c r="D1128" t="b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0.8</v>
      </c>
      <c r="K1128">
        <v>0</v>
      </c>
      <c r="L1128">
        <v>0.2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6.7268793235971849</v>
      </c>
      <c r="X1128">
        <v>0</v>
      </c>
      <c r="Y1128">
        <v>0.8</v>
      </c>
      <c r="Z1128" t="s">
        <v>24</v>
      </c>
    </row>
    <row r="1129" spans="1:26" hidden="1" x14ac:dyDescent="0.2">
      <c r="A1129">
        <v>73</v>
      </c>
      <c r="B1129" t="s">
        <v>30</v>
      </c>
      <c r="C1129" s="10">
        <v>10000073</v>
      </c>
      <c r="D1129" t="b">
        <v>1</v>
      </c>
      <c r="E1129">
        <v>0</v>
      </c>
      <c r="F1129">
        <v>0</v>
      </c>
      <c r="G1129">
        <v>0</v>
      </c>
      <c r="H1129">
        <v>0</v>
      </c>
      <c r="I1129">
        <v>0.56863916504108691</v>
      </c>
      <c r="J1129">
        <v>0.2021268084830764</v>
      </c>
      <c r="W1129">
        <v>5.9389803905491636</v>
      </c>
      <c r="X1129">
        <v>0.2021268084830764</v>
      </c>
      <c r="Y1129">
        <v>0.56863916504108691</v>
      </c>
      <c r="Z1129" t="s">
        <v>24</v>
      </c>
    </row>
    <row r="1130" spans="1:26" hidden="1" x14ac:dyDescent="0.2">
      <c r="A1130">
        <v>73</v>
      </c>
      <c r="B1130" t="s">
        <v>33</v>
      </c>
      <c r="C1130" s="10">
        <v>10000033</v>
      </c>
      <c r="D1130" t="b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0.31367851399715091</v>
      </c>
      <c r="Q1130">
        <v>0</v>
      </c>
      <c r="R1130">
        <v>5.4887474243360997E-2</v>
      </c>
      <c r="S1130">
        <v>0</v>
      </c>
      <c r="T1130">
        <v>5.4887474243360997E-2</v>
      </c>
      <c r="U1130">
        <v>0</v>
      </c>
      <c r="V1130">
        <v>0.68632148600284915</v>
      </c>
      <c r="W1130">
        <v>6.5017666720951608</v>
      </c>
      <c r="X1130">
        <v>5.4887474243360997E-2</v>
      </c>
      <c r="Y1130">
        <v>0.68632148600284915</v>
      </c>
      <c r="Z1130" t="s">
        <v>24</v>
      </c>
    </row>
    <row r="1131" spans="1:26" hidden="1" x14ac:dyDescent="0.2">
      <c r="A1131">
        <v>73</v>
      </c>
      <c r="B1131" t="s">
        <v>35</v>
      </c>
      <c r="C1131" s="10">
        <v>10000047</v>
      </c>
      <c r="D1131" t="b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0.81296944261984649</v>
      </c>
      <c r="P1131">
        <v>0</v>
      </c>
      <c r="Q1131">
        <v>0.18703055738015351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6.2601231562745214</v>
      </c>
      <c r="X1131">
        <v>0.18703055738015351</v>
      </c>
      <c r="Y1131">
        <v>0.81296944261984649</v>
      </c>
      <c r="Z1131" t="s">
        <v>24</v>
      </c>
    </row>
    <row r="1132" spans="1:26" hidden="1" x14ac:dyDescent="0.2">
      <c r="A1132">
        <v>73</v>
      </c>
      <c r="B1132" t="s">
        <v>34</v>
      </c>
      <c r="C1132" s="10">
        <v>10000082</v>
      </c>
      <c r="D1132" t="b">
        <v>1</v>
      </c>
      <c r="F1132">
        <v>0</v>
      </c>
      <c r="G1132">
        <v>0</v>
      </c>
      <c r="H1132">
        <v>0</v>
      </c>
      <c r="I1132">
        <v>0</v>
      </c>
      <c r="J1132">
        <v>0.66456804965691019</v>
      </c>
      <c r="W1132">
        <v>3.1666666666666679</v>
      </c>
      <c r="X1132">
        <v>1</v>
      </c>
      <c r="Y1132">
        <v>0</v>
      </c>
      <c r="Z1132" t="s">
        <v>23</v>
      </c>
    </row>
    <row r="1133" spans="1:26" hidden="1" x14ac:dyDescent="0.2">
      <c r="A1133">
        <v>73</v>
      </c>
      <c r="B1133" t="s">
        <v>28</v>
      </c>
      <c r="C1133" s="10">
        <v>10000033</v>
      </c>
      <c r="D1133" t="b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0.31063501858186721</v>
      </c>
      <c r="Q1133">
        <v>0</v>
      </c>
      <c r="R1133">
        <v>0.13628189368279561</v>
      </c>
      <c r="S1133">
        <v>0</v>
      </c>
      <c r="T1133">
        <v>0.13628189368279561</v>
      </c>
      <c r="U1133">
        <v>0</v>
      </c>
      <c r="V1133">
        <v>0.68936498141813274</v>
      </c>
      <c r="W1133">
        <v>6.2725251660349652</v>
      </c>
      <c r="X1133">
        <v>0.13628189368279561</v>
      </c>
      <c r="Y1133">
        <v>0.68936498141813274</v>
      </c>
      <c r="Z1133" t="s">
        <v>24</v>
      </c>
    </row>
    <row r="1134" spans="1:26" hidden="1" x14ac:dyDescent="0.2">
      <c r="A1134">
        <v>73</v>
      </c>
      <c r="B1134" t="s">
        <v>34</v>
      </c>
      <c r="C1134" s="10">
        <v>10000033</v>
      </c>
      <c r="D1134" t="b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0.308242826541404</v>
      </c>
      <c r="R1134">
        <v>0</v>
      </c>
      <c r="S1134">
        <v>0.1333333333333333</v>
      </c>
      <c r="T1134">
        <v>0.13628189368279561</v>
      </c>
      <c r="U1134">
        <v>0</v>
      </c>
      <c r="V1134">
        <v>0.691757173458596</v>
      </c>
      <c r="W1134">
        <v>5.8201796494542801</v>
      </c>
      <c r="X1134">
        <v>0.308242826541404</v>
      </c>
      <c r="Y1134">
        <v>0.691757173458596</v>
      </c>
      <c r="Z1134" t="s">
        <v>24</v>
      </c>
    </row>
    <row r="1135" spans="1:26" hidden="1" x14ac:dyDescent="0.2">
      <c r="A1135">
        <v>73</v>
      </c>
      <c r="B1135" t="s">
        <v>31</v>
      </c>
      <c r="C1135" s="10">
        <v>10000082</v>
      </c>
      <c r="D1135" t="b">
        <v>1</v>
      </c>
      <c r="F1135">
        <v>0</v>
      </c>
      <c r="G1135">
        <v>0</v>
      </c>
      <c r="H1135">
        <v>0</v>
      </c>
      <c r="I1135">
        <v>0</v>
      </c>
      <c r="J1135">
        <v>0.51092562223575777</v>
      </c>
      <c r="W1135">
        <v>3.1666666666666679</v>
      </c>
      <c r="X1135">
        <v>1</v>
      </c>
      <c r="Y1135">
        <v>0</v>
      </c>
      <c r="Z1135" t="s">
        <v>23</v>
      </c>
    </row>
    <row r="1136" spans="1:26" hidden="1" x14ac:dyDescent="0.2">
      <c r="A1136">
        <v>73</v>
      </c>
      <c r="B1136" t="s">
        <v>31</v>
      </c>
      <c r="C1136" s="10">
        <v>10000073</v>
      </c>
      <c r="D1136" t="b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0.43094475396787901</v>
      </c>
      <c r="P1136">
        <v>0</v>
      </c>
      <c r="Q1136">
        <v>0.30979420758637471</v>
      </c>
      <c r="R1136">
        <v>0</v>
      </c>
      <c r="S1136">
        <v>0.30979420758637471</v>
      </c>
      <c r="T1136">
        <v>0</v>
      </c>
      <c r="U1136">
        <v>0.56905524603212099</v>
      </c>
      <c r="V1136">
        <v>0</v>
      </c>
      <c r="W1136">
        <v>5.6293248748422107</v>
      </c>
      <c r="X1136">
        <v>0.30979420758637471</v>
      </c>
      <c r="Y1136">
        <v>0.56905524603212099</v>
      </c>
      <c r="Z1136" t="s">
        <v>24</v>
      </c>
    </row>
    <row r="1137" spans="1:26" hidden="1" x14ac:dyDescent="0.2">
      <c r="A1137">
        <v>73</v>
      </c>
      <c r="B1137" t="s">
        <v>27</v>
      </c>
      <c r="C1137" s="10">
        <v>10000047</v>
      </c>
      <c r="D1137" t="b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0.7116656187845507</v>
      </c>
      <c r="P1137">
        <v>0</v>
      </c>
      <c r="Q1137">
        <v>0.28833438121544941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5.8962962544671544</v>
      </c>
      <c r="X1137">
        <v>0.28833438121544941</v>
      </c>
      <c r="Y1137">
        <v>0.7116656187845507</v>
      </c>
      <c r="Z1137" t="s">
        <v>24</v>
      </c>
    </row>
    <row r="1138" spans="1:26" hidden="1" x14ac:dyDescent="0.2">
      <c r="A1138">
        <v>73</v>
      </c>
      <c r="B1138" t="s">
        <v>32</v>
      </c>
      <c r="C1138" s="10">
        <v>10000082</v>
      </c>
      <c r="D1138" t="b">
        <v>1</v>
      </c>
      <c r="F1138">
        <v>0</v>
      </c>
      <c r="G1138">
        <v>3.3333333333333333E-2</v>
      </c>
      <c r="H1138">
        <v>3.3333333333333333E-2</v>
      </c>
      <c r="I1138">
        <v>0</v>
      </c>
      <c r="J1138">
        <v>0.66166482743253563</v>
      </c>
      <c r="W1138">
        <v>3.2412403050195522</v>
      </c>
      <c r="X1138">
        <v>1</v>
      </c>
      <c r="Y1138">
        <v>3.3333333333333333E-2</v>
      </c>
      <c r="Z1138" t="s">
        <v>23</v>
      </c>
    </row>
    <row r="1139" spans="1:26" hidden="1" x14ac:dyDescent="0.2">
      <c r="A1139">
        <v>73</v>
      </c>
      <c r="B1139" t="s">
        <v>26</v>
      </c>
      <c r="C1139" s="10">
        <v>10000082</v>
      </c>
      <c r="D1139" t="b">
        <v>1</v>
      </c>
      <c r="F1139">
        <v>0</v>
      </c>
      <c r="G1139">
        <v>6.6666666666666666E-2</v>
      </c>
      <c r="H1139">
        <v>6.6666666666666666E-2</v>
      </c>
      <c r="I1139">
        <v>0</v>
      </c>
      <c r="J1139">
        <v>0.66166482743253563</v>
      </c>
      <c r="W1139">
        <v>3.3156132549430022</v>
      </c>
      <c r="X1139">
        <v>1</v>
      </c>
      <c r="Y1139">
        <v>6.6666666666666666E-2</v>
      </c>
      <c r="Z1139" t="s">
        <v>23</v>
      </c>
    </row>
    <row r="1140" spans="1:26" hidden="1" x14ac:dyDescent="0.2">
      <c r="A1140">
        <v>73</v>
      </c>
      <c r="B1140" t="s">
        <v>32</v>
      </c>
      <c r="C1140" s="10">
        <v>10000033</v>
      </c>
      <c r="D1140" t="b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0.16666666666666671</v>
      </c>
      <c r="M1140">
        <v>0.16666666666666671</v>
      </c>
      <c r="N1140">
        <v>0</v>
      </c>
      <c r="O1140">
        <v>0</v>
      </c>
      <c r="P1140">
        <v>0.1176470588235294</v>
      </c>
      <c r="Q1140">
        <v>0.2914271915178992</v>
      </c>
      <c r="R1140">
        <v>0.1176470588235294</v>
      </c>
      <c r="S1140">
        <v>0</v>
      </c>
      <c r="T1140">
        <v>0.29294252958703898</v>
      </c>
      <c r="U1140">
        <v>0</v>
      </c>
      <c r="V1140">
        <v>0.70705747041296096</v>
      </c>
      <c r="W1140">
        <v>5.8788159146741359</v>
      </c>
      <c r="X1140">
        <v>0.29294252958703898</v>
      </c>
      <c r="Y1140">
        <v>0.70705747041296096</v>
      </c>
      <c r="Z1140" t="s">
        <v>24</v>
      </c>
    </row>
    <row r="1141" spans="1:26" hidden="1" x14ac:dyDescent="0.2">
      <c r="A1141">
        <v>73</v>
      </c>
      <c r="B1141" t="s">
        <v>26</v>
      </c>
      <c r="C1141" s="10">
        <v>10000033</v>
      </c>
      <c r="D1141" t="b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0.3</v>
      </c>
      <c r="M1141">
        <v>0.29294252958703898</v>
      </c>
      <c r="N1141">
        <v>0</v>
      </c>
      <c r="O1141">
        <v>0</v>
      </c>
      <c r="P1141">
        <v>0.29754005147989632</v>
      </c>
      <c r="Q1141">
        <v>0.29754005147989632</v>
      </c>
      <c r="R1141">
        <v>0.29294252958703898</v>
      </c>
      <c r="S1141">
        <v>0</v>
      </c>
      <c r="T1141">
        <v>0.29294252958703898</v>
      </c>
      <c r="U1141">
        <v>0</v>
      </c>
      <c r="V1141">
        <v>0.60000000000000009</v>
      </c>
      <c r="W1141">
        <v>5.7134658242763718</v>
      </c>
      <c r="X1141">
        <v>0.29754005147989632</v>
      </c>
      <c r="Y1141">
        <v>0.60000000000000009</v>
      </c>
      <c r="Z1141" t="s">
        <v>24</v>
      </c>
    </row>
    <row r="1142" spans="1:26" hidden="1" x14ac:dyDescent="0.2">
      <c r="A1142">
        <v>73</v>
      </c>
      <c r="B1142" t="s">
        <v>29</v>
      </c>
      <c r="C1142" s="10">
        <v>10000033</v>
      </c>
      <c r="D1142" t="b">
        <v>0</v>
      </c>
      <c r="E1142">
        <v>0</v>
      </c>
      <c r="F1142">
        <v>0.30503236737939848</v>
      </c>
      <c r="G1142">
        <v>0.69496763262060146</v>
      </c>
      <c r="H1142">
        <v>0</v>
      </c>
      <c r="I1142">
        <v>0.30503236737939848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4.1717024060044698</v>
      </c>
      <c r="X1142">
        <v>0.69496763262060146</v>
      </c>
      <c r="Y1142">
        <v>0.30503236737939848</v>
      </c>
      <c r="Z1142" t="s">
        <v>23</v>
      </c>
    </row>
    <row r="1143" spans="1:26" hidden="1" x14ac:dyDescent="0.2">
      <c r="A1143">
        <v>73</v>
      </c>
      <c r="B1143" t="s">
        <v>29</v>
      </c>
      <c r="C1143" s="10">
        <v>10000082</v>
      </c>
      <c r="D1143" t="b">
        <v>1</v>
      </c>
      <c r="F1143">
        <v>0.57994519045427773</v>
      </c>
      <c r="G1143">
        <v>0.42005480954572227</v>
      </c>
      <c r="H1143">
        <v>0</v>
      </c>
      <c r="I1143">
        <v>0</v>
      </c>
      <c r="J1143">
        <v>0</v>
      </c>
      <c r="W1143">
        <v>4.0647595806006169</v>
      </c>
      <c r="X1143">
        <v>1</v>
      </c>
      <c r="Y1143">
        <v>0.42005480954572227</v>
      </c>
      <c r="Z1143" t="s">
        <v>23</v>
      </c>
    </row>
    <row r="1144" spans="1:26" hidden="1" x14ac:dyDescent="0.2">
      <c r="A1144">
        <v>73</v>
      </c>
      <c r="B1144" t="s">
        <v>29</v>
      </c>
      <c r="C1144" s="10">
        <v>10000073</v>
      </c>
      <c r="D1144" t="b">
        <v>0</v>
      </c>
      <c r="E1144">
        <v>0.43045913375765138</v>
      </c>
      <c r="F1144">
        <v>0</v>
      </c>
      <c r="G1144">
        <v>0.56954086624234856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3.406478032469566</v>
      </c>
      <c r="X1144">
        <v>0.56954086624234856</v>
      </c>
      <c r="Y1144">
        <v>0</v>
      </c>
      <c r="Z1144" t="s">
        <v>23</v>
      </c>
    </row>
    <row r="1145" spans="1:26" hidden="1" x14ac:dyDescent="0.2">
      <c r="A1145">
        <v>73</v>
      </c>
      <c r="B1145" t="s">
        <v>29</v>
      </c>
      <c r="C1145" s="10">
        <v>10000047</v>
      </c>
      <c r="D1145" t="b">
        <v>0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3.1666666666666679</v>
      </c>
      <c r="X1145">
        <v>1</v>
      </c>
      <c r="Y1145">
        <v>0</v>
      </c>
      <c r="Z1145" t="s">
        <v>23</v>
      </c>
    </row>
    <row r="1146" spans="1:26" hidden="1" x14ac:dyDescent="0.2">
      <c r="A1146">
        <v>74</v>
      </c>
      <c r="B1146" t="s">
        <v>32</v>
      </c>
      <c r="C1146" s="10">
        <v>10000047</v>
      </c>
      <c r="D1146" t="b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0.7812638727190484</v>
      </c>
      <c r="P1146">
        <v>0</v>
      </c>
      <c r="Q1146">
        <v>0.2187361272809516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6.1503818447509389</v>
      </c>
      <c r="X1146">
        <v>0.2187361272809516</v>
      </c>
      <c r="Y1146">
        <v>0.7812638727190484</v>
      </c>
      <c r="Z1146" t="s">
        <v>24</v>
      </c>
    </row>
    <row r="1147" spans="1:26" hidden="1" x14ac:dyDescent="0.2">
      <c r="A1147">
        <v>74</v>
      </c>
      <c r="B1147" t="s">
        <v>28</v>
      </c>
      <c r="C1147" s="10">
        <v>10000082</v>
      </c>
      <c r="D1147" t="b">
        <v>1</v>
      </c>
      <c r="F1147">
        <v>0</v>
      </c>
      <c r="G1147">
        <v>0</v>
      </c>
      <c r="H1147">
        <v>0</v>
      </c>
      <c r="I1147">
        <v>0</v>
      </c>
      <c r="J1147">
        <v>1</v>
      </c>
      <c r="W1147">
        <v>3.1666666666666679</v>
      </c>
      <c r="X1147">
        <v>1</v>
      </c>
      <c r="Y1147">
        <v>0</v>
      </c>
      <c r="Z1147" t="s">
        <v>23</v>
      </c>
    </row>
    <row r="1148" spans="1:26" hidden="1" x14ac:dyDescent="0.2">
      <c r="A1148">
        <v>74</v>
      </c>
      <c r="B1148" t="s">
        <v>28</v>
      </c>
      <c r="C1148" s="10">
        <v>10000033</v>
      </c>
      <c r="D1148" t="b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0.29817806145983622</v>
      </c>
      <c r="Q1148">
        <v>0</v>
      </c>
      <c r="R1148">
        <v>0.10421518210901851</v>
      </c>
      <c r="S1148">
        <v>0</v>
      </c>
      <c r="T1148">
        <v>0.10421518210901851</v>
      </c>
      <c r="U1148">
        <v>0</v>
      </c>
      <c r="V1148">
        <v>0.70182193854016384</v>
      </c>
      <c r="W1148">
        <v>6.3737444744714216</v>
      </c>
      <c r="X1148">
        <v>0.10421518210901851</v>
      </c>
      <c r="Y1148">
        <v>0.70182193854016384</v>
      </c>
      <c r="Z1148" t="s">
        <v>24</v>
      </c>
    </row>
    <row r="1149" spans="1:26" hidden="1" x14ac:dyDescent="0.2">
      <c r="A1149">
        <v>74</v>
      </c>
      <c r="B1149" t="s">
        <v>35</v>
      </c>
      <c r="C1149" s="10">
        <v>10000033</v>
      </c>
      <c r="D1149" t="b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0.28635479635221489</v>
      </c>
      <c r="Q1149">
        <v>0</v>
      </c>
      <c r="R1149">
        <v>0.28635479635221489</v>
      </c>
      <c r="S1149">
        <v>0</v>
      </c>
      <c r="T1149">
        <v>0.36029541683969801</v>
      </c>
      <c r="U1149">
        <v>0</v>
      </c>
      <c r="V1149">
        <v>0.6397045831603021</v>
      </c>
      <c r="W1149">
        <v>5.613670714717772</v>
      </c>
      <c r="X1149">
        <v>0.36029541683969801</v>
      </c>
      <c r="Y1149">
        <v>0.6397045831603021</v>
      </c>
      <c r="Z1149" t="s">
        <v>24</v>
      </c>
    </row>
    <row r="1150" spans="1:26" hidden="1" x14ac:dyDescent="0.2">
      <c r="A1150">
        <v>74</v>
      </c>
      <c r="B1150" t="s">
        <v>29</v>
      </c>
      <c r="C1150" s="10">
        <v>10000033</v>
      </c>
      <c r="D1150" t="b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0.29532584443098941</v>
      </c>
      <c r="Q1150">
        <v>0</v>
      </c>
      <c r="R1150">
        <v>0.29532584443098941</v>
      </c>
      <c r="S1150">
        <v>0</v>
      </c>
      <c r="T1150">
        <v>0.36029541683969801</v>
      </c>
      <c r="U1150">
        <v>0</v>
      </c>
      <c r="V1150">
        <v>0.6397045831603021</v>
      </c>
      <c r="W1150">
        <v>5.613670714717772</v>
      </c>
      <c r="X1150">
        <v>0.36029541683969801</v>
      </c>
      <c r="Y1150">
        <v>0.6397045831603021</v>
      </c>
      <c r="Z1150" t="s">
        <v>24</v>
      </c>
    </row>
    <row r="1151" spans="1:26" hidden="1" x14ac:dyDescent="0.2">
      <c r="A1151">
        <v>74</v>
      </c>
      <c r="B1151" t="s">
        <v>27</v>
      </c>
      <c r="C1151" s="10">
        <v>10000082</v>
      </c>
      <c r="D1151" t="b">
        <v>1</v>
      </c>
      <c r="F1151">
        <v>0</v>
      </c>
      <c r="G1151">
        <v>0</v>
      </c>
      <c r="H1151">
        <v>0</v>
      </c>
      <c r="I1151">
        <v>1</v>
      </c>
      <c r="J1151">
        <v>0</v>
      </c>
      <c r="W1151">
        <v>5.0025004164584352</v>
      </c>
      <c r="X1151">
        <v>1</v>
      </c>
      <c r="Y1151">
        <v>1</v>
      </c>
      <c r="Z1151" t="s">
        <v>23</v>
      </c>
    </row>
    <row r="1152" spans="1:26" hidden="1" x14ac:dyDescent="0.2">
      <c r="A1152">
        <v>74</v>
      </c>
      <c r="B1152" t="s">
        <v>33</v>
      </c>
      <c r="C1152" s="10">
        <v>10000033</v>
      </c>
      <c r="D1152" t="b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0.29336843596484641</v>
      </c>
      <c r="Q1152">
        <v>0</v>
      </c>
      <c r="R1152">
        <v>0.29336843596484641</v>
      </c>
      <c r="S1152">
        <v>0</v>
      </c>
      <c r="T1152">
        <v>0.36029541683969801</v>
      </c>
      <c r="U1152">
        <v>0</v>
      </c>
      <c r="V1152">
        <v>0.6397045831603021</v>
      </c>
      <c r="W1152">
        <v>5.613670714717772</v>
      </c>
      <c r="X1152">
        <v>0.36029541683969801</v>
      </c>
      <c r="Y1152">
        <v>0.6397045831603021</v>
      </c>
      <c r="Z1152" t="s">
        <v>24</v>
      </c>
    </row>
    <row r="1153" spans="1:26" hidden="1" x14ac:dyDescent="0.2">
      <c r="A1153">
        <v>74</v>
      </c>
      <c r="B1153" t="s">
        <v>30</v>
      </c>
      <c r="C1153" s="10">
        <v>10000033</v>
      </c>
      <c r="D1153" t="b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0.28759427352187189</v>
      </c>
      <c r="Q1153">
        <v>0.21739130434782619</v>
      </c>
      <c r="R1153">
        <v>0.28759427352187189</v>
      </c>
      <c r="S1153">
        <v>0</v>
      </c>
      <c r="T1153">
        <v>0.36694239063649381</v>
      </c>
      <c r="U1153">
        <v>0</v>
      </c>
      <c r="V1153">
        <v>0.63305760936350619</v>
      </c>
      <c r="W1153">
        <v>5.5865022958950963</v>
      </c>
      <c r="X1153">
        <v>0.36694239063649381</v>
      </c>
      <c r="Y1153">
        <v>0.63305760936350619</v>
      </c>
      <c r="Z1153" t="s">
        <v>24</v>
      </c>
    </row>
    <row r="1154" spans="1:26" hidden="1" x14ac:dyDescent="0.2">
      <c r="A1154">
        <v>74</v>
      </c>
      <c r="B1154" t="s">
        <v>27</v>
      </c>
      <c r="C1154" s="10">
        <v>10000033</v>
      </c>
      <c r="D1154" t="b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0.28636164655694207</v>
      </c>
      <c r="Q1154">
        <v>0</v>
      </c>
      <c r="R1154">
        <v>0.28636164655694207</v>
      </c>
      <c r="S1154">
        <v>0</v>
      </c>
      <c r="T1154">
        <v>0.36694239063649381</v>
      </c>
      <c r="U1154">
        <v>0</v>
      </c>
      <c r="V1154">
        <v>0.63305760936350619</v>
      </c>
      <c r="W1154">
        <v>5.5865022958950963</v>
      </c>
      <c r="X1154">
        <v>0.36694239063649381</v>
      </c>
      <c r="Y1154">
        <v>0.63305760936350619</v>
      </c>
      <c r="Z1154" t="s">
        <v>24</v>
      </c>
    </row>
    <row r="1155" spans="1:26" hidden="1" x14ac:dyDescent="0.2">
      <c r="A1155">
        <v>74</v>
      </c>
      <c r="B1155" t="s">
        <v>31</v>
      </c>
      <c r="C1155" s="10">
        <v>10000082</v>
      </c>
      <c r="D1155" t="b">
        <v>1</v>
      </c>
      <c r="F1155">
        <v>0</v>
      </c>
      <c r="G1155">
        <v>0</v>
      </c>
      <c r="H1155">
        <v>0</v>
      </c>
      <c r="I1155">
        <v>1</v>
      </c>
      <c r="J1155">
        <v>0</v>
      </c>
      <c r="W1155">
        <v>5.0025004164584352</v>
      </c>
      <c r="X1155">
        <v>1</v>
      </c>
      <c r="Y1155">
        <v>1</v>
      </c>
      <c r="Z1155" t="s">
        <v>23</v>
      </c>
    </row>
    <row r="1156" spans="1:26" hidden="1" x14ac:dyDescent="0.2">
      <c r="A1156">
        <v>74</v>
      </c>
      <c r="B1156" t="s">
        <v>31</v>
      </c>
      <c r="C1156" s="10">
        <v>10000047</v>
      </c>
      <c r="D1156" t="b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0.50179677948918044</v>
      </c>
      <c r="P1156">
        <v>0</v>
      </c>
      <c r="Q1156">
        <v>0.49820322051081961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5.0109177615277254</v>
      </c>
      <c r="X1156">
        <v>0.49820322051081961</v>
      </c>
      <c r="Y1156">
        <v>0.50179677948918044</v>
      </c>
      <c r="Z1156" t="s">
        <v>24</v>
      </c>
    </row>
    <row r="1157" spans="1:26" hidden="1" x14ac:dyDescent="0.2">
      <c r="A1157">
        <v>74</v>
      </c>
      <c r="B1157" t="s">
        <v>34</v>
      </c>
      <c r="C1157" s="10">
        <v>10000033</v>
      </c>
      <c r="D1157" t="b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0.27977281720870079</v>
      </c>
      <c r="Q1157">
        <v>0.27977281720870079</v>
      </c>
      <c r="R1157">
        <v>0.27977281720870079</v>
      </c>
      <c r="S1157">
        <v>0</v>
      </c>
      <c r="T1157">
        <v>0.42518743762533051</v>
      </c>
      <c r="U1157">
        <v>0</v>
      </c>
      <c r="V1157">
        <v>0.57481256237466949</v>
      </c>
      <c r="W1157">
        <v>5.3404542630264551</v>
      </c>
      <c r="X1157">
        <v>0.42518743762533051</v>
      </c>
      <c r="Y1157">
        <v>0.57481256237466949</v>
      </c>
      <c r="Z1157" t="s">
        <v>24</v>
      </c>
    </row>
    <row r="1158" spans="1:26" hidden="1" x14ac:dyDescent="0.2">
      <c r="A1158">
        <v>74</v>
      </c>
      <c r="B1158" t="s">
        <v>26</v>
      </c>
      <c r="C1158" s="10">
        <v>10000033</v>
      </c>
      <c r="D1158" t="b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0.25570642559656792</v>
      </c>
      <c r="Q1158">
        <v>0.25570642559656792</v>
      </c>
      <c r="R1158">
        <v>0.25570642559656792</v>
      </c>
      <c r="S1158">
        <v>0</v>
      </c>
      <c r="T1158">
        <v>0.42599709673191871</v>
      </c>
      <c r="U1158">
        <v>0</v>
      </c>
      <c r="V1158">
        <v>0.57400290326808123</v>
      </c>
      <c r="W1158">
        <v>5.3369309693948228</v>
      </c>
      <c r="X1158">
        <v>0.42599709673191871</v>
      </c>
      <c r="Y1158">
        <v>0.57400290326808123</v>
      </c>
      <c r="Z1158" t="s">
        <v>24</v>
      </c>
    </row>
    <row r="1159" spans="1:26" hidden="1" x14ac:dyDescent="0.2">
      <c r="A1159">
        <v>75</v>
      </c>
      <c r="B1159" t="s">
        <v>26</v>
      </c>
      <c r="C1159" s="10">
        <v>10000033</v>
      </c>
      <c r="D1159" t="b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0.30882977802696898</v>
      </c>
      <c r="Q1159">
        <v>0</v>
      </c>
      <c r="R1159">
        <v>3.94664741411321E-2</v>
      </c>
      <c r="S1159">
        <v>0</v>
      </c>
      <c r="T1159">
        <v>3.94664741411321E-2</v>
      </c>
      <c r="U1159">
        <v>0</v>
      </c>
      <c r="V1159">
        <v>0.69117022197303091</v>
      </c>
      <c r="W1159">
        <v>6.5501162603836454</v>
      </c>
      <c r="X1159">
        <v>3.94664741411321E-2</v>
      </c>
      <c r="Y1159">
        <v>0.69117022197303091</v>
      </c>
      <c r="Z1159" t="s">
        <v>24</v>
      </c>
    </row>
    <row r="1160" spans="1:26" hidden="1" x14ac:dyDescent="0.2">
      <c r="A1160">
        <v>75</v>
      </c>
      <c r="B1160" t="s">
        <v>30</v>
      </c>
      <c r="C1160" s="10">
        <v>10000082</v>
      </c>
      <c r="D1160" t="b">
        <v>1</v>
      </c>
      <c r="F1160">
        <v>0</v>
      </c>
      <c r="G1160">
        <v>0</v>
      </c>
      <c r="H1160">
        <v>0</v>
      </c>
      <c r="I1160">
        <v>0</v>
      </c>
      <c r="J1160">
        <v>0.52714136253979793</v>
      </c>
      <c r="W1160">
        <v>3.1666666666666679</v>
      </c>
      <c r="X1160">
        <v>1</v>
      </c>
      <c r="Y1160">
        <v>0</v>
      </c>
      <c r="Z1160" t="s">
        <v>23</v>
      </c>
    </row>
    <row r="1161" spans="1:26" hidden="1" x14ac:dyDescent="0.2">
      <c r="A1161">
        <v>75</v>
      </c>
      <c r="B1161" t="s">
        <v>30</v>
      </c>
      <c r="C1161" s="10">
        <v>10000033</v>
      </c>
      <c r="D1161" t="b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0.3113799053192508</v>
      </c>
      <c r="Q1161">
        <v>0.3113799053192508</v>
      </c>
      <c r="R1161">
        <v>3.9479925181703013E-2</v>
      </c>
      <c r="S1161">
        <v>0</v>
      </c>
      <c r="T1161">
        <v>3.9479925181703013E-2</v>
      </c>
      <c r="U1161">
        <v>0</v>
      </c>
      <c r="V1161">
        <v>0.60000000000000009</v>
      </c>
      <c r="W1161">
        <v>5.6762593650131121</v>
      </c>
      <c r="X1161">
        <v>0.3113799053192508</v>
      </c>
      <c r="Y1161">
        <v>0.60000000000000009</v>
      </c>
      <c r="Z1161" t="s">
        <v>24</v>
      </c>
    </row>
    <row r="1162" spans="1:26" hidden="1" x14ac:dyDescent="0.2">
      <c r="A1162">
        <v>75</v>
      </c>
      <c r="B1162" t="s">
        <v>27</v>
      </c>
      <c r="C1162" s="10">
        <v>10000082</v>
      </c>
      <c r="D1162" t="b">
        <v>1</v>
      </c>
      <c r="F1162">
        <v>0</v>
      </c>
      <c r="G1162">
        <v>0</v>
      </c>
      <c r="H1162">
        <v>0</v>
      </c>
      <c r="I1162">
        <v>1</v>
      </c>
      <c r="J1162">
        <v>0</v>
      </c>
      <c r="W1162">
        <v>5.0025004164584352</v>
      </c>
      <c r="X1162">
        <v>1</v>
      </c>
      <c r="Y1162">
        <v>1</v>
      </c>
      <c r="Z1162" t="s">
        <v>23</v>
      </c>
    </row>
    <row r="1163" spans="1:26" hidden="1" x14ac:dyDescent="0.2">
      <c r="A1163">
        <v>75</v>
      </c>
      <c r="B1163" t="s">
        <v>35</v>
      </c>
      <c r="C1163" s="10">
        <v>10000047</v>
      </c>
      <c r="D1163" t="b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0.78905945127756472</v>
      </c>
      <c r="P1163">
        <v>0</v>
      </c>
      <c r="Q1163">
        <v>0.21094054872243539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6.1777065619601457</v>
      </c>
      <c r="X1163">
        <v>0.21094054872243539</v>
      </c>
      <c r="Y1163">
        <v>0.78905945127756472</v>
      </c>
      <c r="Z1163" t="s">
        <v>24</v>
      </c>
    </row>
    <row r="1164" spans="1:26" hidden="1" x14ac:dyDescent="0.2">
      <c r="A1164">
        <v>75</v>
      </c>
      <c r="B1164" t="s">
        <v>27</v>
      </c>
      <c r="C1164" s="10">
        <v>10000033</v>
      </c>
      <c r="D1164" t="b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0.18181818181818171</v>
      </c>
      <c r="Q1164">
        <v>0.2833483185345767</v>
      </c>
      <c r="R1164">
        <v>8.6122982154589647E-2</v>
      </c>
      <c r="S1164">
        <v>0</v>
      </c>
      <c r="T1164">
        <v>8.6122982154589647E-2</v>
      </c>
      <c r="U1164">
        <v>0</v>
      </c>
      <c r="V1164">
        <v>0.71665168146542335</v>
      </c>
      <c r="W1164">
        <v>5.9151161085655257</v>
      </c>
      <c r="X1164">
        <v>0.2833483185345767</v>
      </c>
      <c r="Y1164">
        <v>0.71665168146542335</v>
      </c>
      <c r="Z1164" t="s">
        <v>24</v>
      </c>
    </row>
    <row r="1165" spans="1:26" hidden="1" x14ac:dyDescent="0.2">
      <c r="A1165">
        <v>75</v>
      </c>
      <c r="B1165" t="s">
        <v>34</v>
      </c>
      <c r="C1165" s="10">
        <v>10000082</v>
      </c>
      <c r="D1165" t="b">
        <v>1</v>
      </c>
      <c r="F1165">
        <v>0</v>
      </c>
      <c r="G1165">
        <v>0</v>
      </c>
      <c r="H1165">
        <v>0</v>
      </c>
      <c r="I1165">
        <v>0.93149333008570223</v>
      </c>
      <c r="J1165">
        <v>0.49867291118597262</v>
      </c>
      <c r="W1165">
        <v>4.9138709305502113</v>
      </c>
      <c r="X1165">
        <v>1</v>
      </c>
      <c r="Y1165">
        <v>0.93149333008570223</v>
      </c>
      <c r="Z1165" t="s">
        <v>23</v>
      </c>
    </row>
    <row r="1166" spans="1:26" hidden="1" x14ac:dyDescent="0.2">
      <c r="A1166">
        <v>75</v>
      </c>
      <c r="B1166" t="s">
        <v>33</v>
      </c>
      <c r="C1166" s="10">
        <v>10000033</v>
      </c>
      <c r="D1166" t="b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0.29115074155274961</v>
      </c>
      <c r="Q1166">
        <v>0.29115074155274961</v>
      </c>
      <c r="R1166">
        <v>0.12524930988140931</v>
      </c>
      <c r="S1166">
        <v>0</v>
      </c>
      <c r="T1166">
        <v>0.12524930988140931</v>
      </c>
      <c r="U1166">
        <v>0</v>
      </c>
      <c r="V1166">
        <v>0.53846153846153832</v>
      </c>
      <c r="W1166">
        <v>5.6285236357997919</v>
      </c>
      <c r="X1166">
        <v>0.29115074155274961</v>
      </c>
      <c r="Y1166">
        <v>0.53846153846153832</v>
      </c>
      <c r="Z1166" t="s">
        <v>24</v>
      </c>
    </row>
    <row r="1167" spans="1:26" hidden="1" x14ac:dyDescent="0.2">
      <c r="A1167">
        <v>75</v>
      </c>
      <c r="B1167" t="s">
        <v>34</v>
      </c>
      <c r="C1167" s="10">
        <v>10000073</v>
      </c>
      <c r="D1167" t="b">
        <v>1</v>
      </c>
      <c r="E1167">
        <v>0</v>
      </c>
      <c r="F1167">
        <v>0</v>
      </c>
      <c r="G1167">
        <v>0</v>
      </c>
      <c r="H1167">
        <v>0</v>
      </c>
      <c r="I1167">
        <v>0.58735261165949537</v>
      </c>
      <c r="J1167">
        <v>0.26633448781621122</v>
      </c>
      <c r="W1167">
        <v>5.7797433956827406</v>
      </c>
      <c r="X1167">
        <v>0.26633448781621122</v>
      </c>
      <c r="Y1167">
        <v>0.58735261165949537</v>
      </c>
      <c r="Z1167" t="s">
        <v>24</v>
      </c>
    </row>
    <row r="1168" spans="1:26" hidden="1" x14ac:dyDescent="0.2">
      <c r="A1168">
        <v>75</v>
      </c>
      <c r="B1168" t="s">
        <v>28</v>
      </c>
      <c r="C1168" s="10">
        <v>10000033</v>
      </c>
      <c r="D1168" t="b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0.27366105656796691</v>
      </c>
      <c r="Q1168">
        <v>0.27366105656796691</v>
      </c>
      <c r="R1168">
        <v>0.17457736640616811</v>
      </c>
      <c r="S1168">
        <v>0</v>
      </c>
      <c r="T1168">
        <v>0.17457736640616811</v>
      </c>
      <c r="U1168">
        <v>0</v>
      </c>
      <c r="V1168">
        <v>0.57142857142857162</v>
      </c>
      <c r="W1168">
        <v>5.7340255449854336</v>
      </c>
      <c r="X1168">
        <v>0.27366105656796691</v>
      </c>
      <c r="Y1168">
        <v>0.57142857142857162</v>
      </c>
      <c r="Z1168" t="s">
        <v>24</v>
      </c>
    </row>
    <row r="1169" spans="1:26" hidden="1" x14ac:dyDescent="0.2">
      <c r="A1169">
        <v>75</v>
      </c>
      <c r="B1169" t="s">
        <v>31</v>
      </c>
      <c r="C1169" s="10">
        <v>10000073</v>
      </c>
      <c r="D1169" t="b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0.40124524524489003</v>
      </c>
      <c r="P1169">
        <v>0</v>
      </c>
      <c r="Q1169">
        <v>0.33244010199006607</v>
      </c>
      <c r="R1169">
        <v>0</v>
      </c>
      <c r="S1169">
        <v>0.33244010199006607</v>
      </c>
      <c r="T1169">
        <v>0</v>
      </c>
      <c r="U1169">
        <v>0.59875475475511009</v>
      </c>
      <c r="V1169">
        <v>0</v>
      </c>
      <c r="W1169">
        <v>5.6184379079408586</v>
      </c>
      <c r="X1169">
        <v>0.33244010199006607</v>
      </c>
      <c r="Y1169">
        <v>0.59875475475511009</v>
      </c>
      <c r="Z1169" t="s">
        <v>24</v>
      </c>
    </row>
    <row r="1170" spans="1:26" hidden="1" x14ac:dyDescent="0.2">
      <c r="A1170">
        <v>75</v>
      </c>
      <c r="B1170" t="s">
        <v>31</v>
      </c>
      <c r="C1170" s="10">
        <v>10000082</v>
      </c>
      <c r="D1170" t="b">
        <v>1</v>
      </c>
      <c r="F1170">
        <v>0</v>
      </c>
      <c r="G1170">
        <v>0</v>
      </c>
      <c r="H1170">
        <v>0</v>
      </c>
      <c r="I1170">
        <v>1</v>
      </c>
      <c r="J1170">
        <v>0</v>
      </c>
      <c r="W1170">
        <v>5.0025004164584352</v>
      </c>
      <c r="X1170">
        <v>1</v>
      </c>
      <c r="Y1170">
        <v>1</v>
      </c>
      <c r="Z1170" t="s">
        <v>23</v>
      </c>
    </row>
    <row r="1171" spans="1:26" hidden="1" x14ac:dyDescent="0.2">
      <c r="A1171">
        <v>75</v>
      </c>
      <c r="B1171" t="s">
        <v>32</v>
      </c>
      <c r="C1171" s="10">
        <v>10000073</v>
      </c>
      <c r="D1171" t="b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0.23333333333333331</v>
      </c>
      <c r="L1171">
        <v>0</v>
      </c>
      <c r="M1171">
        <v>0</v>
      </c>
      <c r="N1171">
        <v>0</v>
      </c>
      <c r="O1171">
        <v>0.38158202969160598</v>
      </c>
      <c r="P1171">
        <v>0</v>
      </c>
      <c r="Q1171">
        <v>0.33296777061028998</v>
      </c>
      <c r="R1171">
        <v>0</v>
      </c>
      <c r="S1171">
        <v>0.33296777061028998</v>
      </c>
      <c r="T1171">
        <v>0</v>
      </c>
      <c r="U1171">
        <v>0.61841797030839407</v>
      </c>
      <c r="V1171">
        <v>0</v>
      </c>
      <c r="W1171">
        <v>5.6490467463737311</v>
      </c>
      <c r="X1171">
        <v>0.33296777061028998</v>
      </c>
      <c r="Y1171">
        <v>0.61841797030839407</v>
      </c>
      <c r="Z1171" t="s">
        <v>24</v>
      </c>
    </row>
    <row r="1172" spans="1:26" hidden="1" x14ac:dyDescent="0.2">
      <c r="A1172">
        <v>75</v>
      </c>
      <c r="B1172" t="s">
        <v>29</v>
      </c>
      <c r="C1172" s="10">
        <v>10000082</v>
      </c>
      <c r="D1172" t="b">
        <v>1</v>
      </c>
      <c r="F1172">
        <v>0</v>
      </c>
      <c r="G1172">
        <v>1</v>
      </c>
      <c r="H1172">
        <v>0</v>
      </c>
      <c r="I1172">
        <v>0</v>
      </c>
      <c r="J1172">
        <v>0</v>
      </c>
      <c r="W1172">
        <v>5.0025004164584352</v>
      </c>
      <c r="X1172">
        <v>1</v>
      </c>
      <c r="Y1172">
        <v>1</v>
      </c>
      <c r="Z1172" t="s">
        <v>23</v>
      </c>
    </row>
    <row r="1173" spans="1:26" hidden="1" x14ac:dyDescent="0.2">
      <c r="A1173">
        <v>75</v>
      </c>
      <c r="B1173" t="s">
        <v>29</v>
      </c>
      <c r="C1173" s="10">
        <v>10000047</v>
      </c>
      <c r="D1173" t="b">
        <v>0</v>
      </c>
      <c r="E1173">
        <v>0</v>
      </c>
      <c r="F1173">
        <v>0</v>
      </c>
      <c r="G1173">
        <v>0</v>
      </c>
      <c r="H1173">
        <v>0</v>
      </c>
      <c r="I1173">
        <v>0.53846153846153832</v>
      </c>
      <c r="J1173">
        <v>0.46153846153846168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6.5779907325703064</v>
      </c>
      <c r="X1173">
        <v>0</v>
      </c>
      <c r="Y1173">
        <v>0.53846153846153832</v>
      </c>
      <c r="Z1173" t="s">
        <v>24</v>
      </c>
    </row>
    <row r="1174" spans="1:26" hidden="1" x14ac:dyDescent="0.2">
      <c r="A1174">
        <v>76</v>
      </c>
      <c r="B1174" t="s">
        <v>26</v>
      </c>
      <c r="C1174" s="10">
        <v>10000073</v>
      </c>
      <c r="D1174" t="b">
        <v>1</v>
      </c>
      <c r="E1174">
        <v>0</v>
      </c>
      <c r="F1174">
        <v>0</v>
      </c>
      <c r="G1174">
        <v>0</v>
      </c>
      <c r="H1174">
        <v>0</v>
      </c>
      <c r="I1174">
        <v>0.56863916504108691</v>
      </c>
      <c r="J1174">
        <v>0.24453925911721</v>
      </c>
      <c r="W1174">
        <v>5.8132590121421046</v>
      </c>
      <c r="X1174">
        <v>0.24453925911721</v>
      </c>
      <c r="Y1174">
        <v>0.56863916504108691</v>
      </c>
      <c r="Z1174" t="s">
        <v>24</v>
      </c>
    </row>
    <row r="1175" spans="1:26" hidden="1" x14ac:dyDescent="0.2">
      <c r="A1175">
        <v>76</v>
      </c>
      <c r="B1175" t="s">
        <v>33</v>
      </c>
      <c r="C1175" s="10">
        <v>10000033</v>
      </c>
      <c r="D1175" t="b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0.31560735354681402</v>
      </c>
      <c r="Q1175">
        <v>0</v>
      </c>
      <c r="R1175">
        <v>7.8218717893396711E-2</v>
      </c>
      <c r="S1175">
        <v>0</v>
      </c>
      <c r="T1175">
        <v>7.8218717893396711E-2</v>
      </c>
      <c r="U1175">
        <v>0</v>
      </c>
      <c r="V1175">
        <v>0.68439264645318598</v>
      </c>
      <c r="W1175">
        <v>6.4327038028405443</v>
      </c>
      <c r="X1175">
        <v>7.8218717893396711E-2</v>
      </c>
      <c r="Y1175">
        <v>0.68439264645318598</v>
      </c>
      <c r="Z1175" t="s">
        <v>24</v>
      </c>
    </row>
    <row r="1176" spans="1:26" hidden="1" x14ac:dyDescent="0.2">
      <c r="A1176">
        <v>76</v>
      </c>
      <c r="B1176" t="s">
        <v>28</v>
      </c>
      <c r="C1176" s="10">
        <v>10000033</v>
      </c>
      <c r="D1176" t="b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0.31029239306306261</v>
      </c>
      <c r="Q1176">
        <v>0</v>
      </c>
      <c r="R1176">
        <v>8.2508828085591013E-2</v>
      </c>
      <c r="S1176">
        <v>0</v>
      </c>
      <c r="T1176">
        <v>8.2508828085591013E-2</v>
      </c>
      <c r="U1176">
        <v>0</v>
      </c>
      <c r="V1176">
        <v>0.68970760693693745</v>
      </c>
      <c r="W1176">
        <v>6.4247796916372026</v>
      </c>
      <c r="X1176">
        <v>8.2508828085591013E-2</v>
      </c>
      <c r="Y1176">
        <v>0.68970760693693745</v>
      </c>
      <c r="Z1176" t="s">
        <v>24</v>
      </c>
    </row>
    <row r="1177" spans="1:26" hidden="1" x14ac:dyDescent="0.2">
      <c r="A1177">
        <v>76</v>
      </c>
      <c r="B1177" t="s">
        <v>34</v>
      </c>
      <c r="C1177" s="10">
        <v>10000033</v>
      </c>
      <c r="D1177" t="b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0.3196936879440706</v>
      </c>
      <c r="Q1177">
        <v>0</v>
      </c>
      <c r="R1177">
        <v>8.5914532028099566E-2</v>
      </c>
      <c r="S1177">
        <v>0</v>
      </c>
      <c r="T1177">
        <v>8.5914532028099566E-2</v>
      </c>
      <c r="U1177">
        <v>0</v>
      </c>
      <c r="V1177">
        <v>0.6803063120559294</v>
      </c>
      <c r="W1177">
        <v>6.40708858207591</v>
      </c>
      <c r="X1177">
        <v>8.5914532028099566E-2</v>
      </c>
      <c r="Y1177">
        <v>0.6803063120559294</v>
      </c>
      <c r="Z1177" t="s">
        <v>24</v>
      </c>
    </row>
    <row r="1178" spans="1:26" hidden="1" x14ac:dyDescent="0.2">
      <c r="A1178">
        <v>76</v>
      </c>
      <c r="B1178" t="s">
        <v>29</v>
      </c>
      <c r="C1178" s="10">
        <v>10000033</v>
      </c>
      <c r="D1178" t="b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0.31793076942031701</v>
      </c>
      <c r="Q1178">
        <v>0</v>
      </c>
      <c r="R1178">
        <v>8.5914532028099566E-2</v>
      </c>
      <c r="S1178">
        <v>0</v>
      </c>
      <c r="T1178">
        <v>8.5914532028099566E-2</v>
      </c>
      <c r="U1178">
        <v>0</v>
      </c>
      <c r="V1178">
        <v>0.68206923057968294</v>
      </c>
      <c r="W1178">
        <v>6.408587314464091</v>
      </c>
      <c r="X1178">
        <v>8.5914532028099566E-2</v>
      </c>
      <c r="Y1178">
        <v>0.68206923057968294</v>
      </c>
      <c r="Z1178" t="s">
        <v>24</v>
      </c>
    </row>
    <row r="1179" spans="1:26" hidden="1" x14ac:dyDescent="0.2">
      <c r="A1179">
        <v>76</v>
      </c>
      <c r="B1179" t="s">
        <v>31</v>
      </c>
      <c r="C1179" s="10">
        <v>10000073</v>
      </c>
      <c r="D1179" t="b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0.44128504103390398</v>
      </c>
      <c r="P1179">
        <v>0</v>
      </c>
      <c r="Q1179">
        <v>0.32697464430917622</v>
      </c>
      <c r="R1179">
        <v>0</v>
      </c>
      <c r="S1179">
        <v>0.32697464430917622</v>
      </c>
      <c r="T1179">
        <v>0</v>
      </c>
      <c r="U1179">
        <v>0.55871495896609602</v>
      </c>
      <c r="V1179">
        <v>0</v>
      </c>
      <c r="W1179">
        <v>5.5642970172454396</v>
      </c>
      <c r="X1179">
        <v>0.32697464430917622</v>
      </c>
      <c r="Y1179">
        <v>0.55871495896609602</v>
      </c>
      <c r="Z1179" t="s">
        <v>24</v>
      </c>
    </row>
    <row r="1180" spans="1:26" hidden="1" x14ac:dyDescent="0.2">
      <c r="A1180">
        <v>76</v>
      </c>
      <c r="B1180" t="s">
        <v>35</v>
      </c>
      <c r="C1180" s="10">
        <v>10000033</v>
      </c>
      <c r="D1180" t="b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0.32089164163885092</v>
      </c>
      <c r="Q1180">
        <v>0</v>
      </c>
      <c r="R1180">
        <v>0.19747998960077551</v>
      </c>
      <c r="S1180">
        <v>0</v>
      </c>
      <c r="T1180">
        <v>0.19747998960077551</v>
      </c>
      <c r="U1180">
        <v>0</v>
      </c>
      <c r="V1180">
        <v>0.67910835836114913</v>
      </c>
      <c r="W1180">
        <v>6.0929736585107444</v>
      </c>
      <c r="X1180">
        <v>0.19747998960077551</v>
      </c>
      <c r="Y1180">
        <v>0.67910835836114913</v>
      </c>
      <c r="Z1180" t="s">
        <v>24</v>
      </c>
    </row>
    <row r="1181" spans="1:26" hidden="1" x14ac:dyDescent="0.2">
      <c r="A1181">
        <v>76</v>
      </c>
      <c r="B1181" t="s">
        <v>32</v>
      </c>
      <c r="C1181" s="10">
        <v>10000047</v>
      </c>
      <c r="D1181" t="b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0.7</v>
      </c>
      <c r="L1181">
        <v>0.14285714285714279</v>
      </c>
      <c r="M1181">
        <v>0</v>
      </c>
      <c r="N1181">
        <v>0</v>
      </c>
      <c r="O1181">
        <v>0.3</v>
      </c>
      <c r="P1181">
        <v>0</v>
      </c>
      <c r="Q1181">
        <v>0.28767350607135822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4.1523532975855098</v>
      </c>
      <c r="X1181">
        <v>0.7</v>
      </c>
      <c r="Y1181">
        <v>0.3</v>
      </c>
      <c r="Z1181" t="s">
        <v>23</v>
      </c>
    </row>
    <row r="1182" spans="1:26" hidden="1" x14ac:dyDescent="0.2">
      <c r="A1182">
        <v>76</v>
      </c>
      <c r="B1182" t="s">
        <v>32</v>
      </c>
      <c r="C1182" s="10">
        <v>10000082</v>
      </c>
      <c r="D1182" t="b">
        <v>1</v>
      </c>
      <c r="F1182">
        <v>0</v>
      </c>
      <c r="G1182">
        <v>0.83333333333333337</v>
      </c>
      <c r="H1182">
        <v>0</v>
      </c>
      <c r="I1182">
        <v>0.1196425874767738</v>
      </c>
      <c r="J1182">
        <v>0.16666666666666671</v>
      </c>
      <c r="W1182">
        <v>4.7764762020634493</v>
      </c>
      <c r="X1182">
        <v>1</v>
      </c>
      <c r="Y1182">
        <v>0.83333333333333337</v>
      </c>
      <c r="Z1182" t="s">
        <v>23</v>
      </c>
    </row>
    <row r="1183" spans="1:26" hidden="1" x14ac:dyDescent="0.2">
      <c r="A1183">
        <v>76</v>
      </c>
      <c r="B1183" t="s">
        <v>32</v>
      </c>
      <c r="C1183" s="10">
        <v>10000073</v>
      </c>
      <c r="D1183" t="b">
        <v>0</v>
      </c>
      <c r="E1183">
        <v>0.26666666666666672</v>
      </c>
      <c r="F1183">
        <v>0</v>
      </c>
      <c r="G1183">
        <v>0.26666666666666672</v>
      </c>
      <c r="H1183">
        <v>0</v>
      </c>
      <c r="I1183">
        <v>0</v>
      </c>
      <c r="J1183">
        <v>0</v>
      </c>
      <c r="K1183">
        <v>0.58243496097043801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3.39902011694761</v>
      </c>
      <c r="X1183">
        <v>0.58243496097043801</v>
      </c>
      <c r="Y1183">
        <v>0</v>
      </c>
      <c r="Z1183" t="s">
        <v>23</v>
      </c>
    </row>
    <row r="1184" spans="1:26" hidden="1" x14ac:dyDescent="0.2">
      <c r="A1184">
        <v>76</v>
      </c>
      <c r="B1184" t="s">
        <v>32</v>
      </c>
      <c r="C1184" s="10">
        <v>10000033</v>
      </c>
      <c r="D1184" t="b">
        <v>0</v>
      </c>
      <c r="E1184">
        <v>0</v>
      </c>
      <c r="F1184">
        <v>0</v>
      </c>
      <c r="G1184">
        <v>0</v>
      </c>
      <c r="H1184">
        <v>0.3</v>
      </c>
      <c r="I1184">
        <v>0</v>
      </c>
      <c r="J1184">
        <v>0.29460836670937901</v>
      </c>
      <c r="K1184">
        <v>0</v>
      </c>
      <c r="L1184">
        <v>0.7</v>
      </c>
      <c r="M1184">
        <v>0.20246258794695329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6.1034975166064687</v>
      </c>
      <c r="X1184">
        <v>0.20246258794695329</v>
      </c>
      <c r="Y1184">
        <v>0.7</v>
      </c>
      <c r="Z1184" t="s">
        <v>24</v>
      </c>
    </row>
    <row r="1185" spans="1:26" hidden="1" x14ac:dyDescent="0.2">
      <c r="A1185">
        <v>76</v>
      </c>
      <c r="B1185" t="s">
        <v>30</v>
      </c>
      <c r="C1185" s="10">
        <v>10000047</v>
      </c>
      <c r="D1185" t="b">
        <v>0</v>
      </c>
      <c r="E1185">
        <v>0.85714285714285721</v>
      </c>
      <c r="F1185">
        <v>0</v>
      </c>
      <c r="G1185">
        <v>0</v>
      </c>
      <c r="H1185">
        <v>0</v>
      </c>
      <c r="I1185">
        <v>0.14285714285714279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3.596428214761783</v>
      </c>
      <c r="X1185">
        <v>0.85714285714285721</v>
      </c>
      <c r="Y1185">
        <v>0.14285714285714279</v>
      </c>
      <c r="Z1185" t="s">
        <v>23</v>
      </c>
    </row>
    <row r="1186" spans="1:26" hidden="1" x14ac:dyDescent="0.2">
      <c r="A1186">
        <v>76</v>
      </c>
      <c r="B1186" t="s">
        <v>27</v>
      </c>
      <c r="C1186" s="10">
        <v>10000033</v>
      </c>
      <c r="D1186" t="b">
        <v>0</v>
      </c>
      <c r="E1186">
        <v>0</v>
      </c>
      <c r="F1186">
        <v>0</v>
      </c>
      <c r="G1186">
        <v>0</v>
      </c>
      <c r="H1186">
        <v>0.71081008062011453</v>
      </c>
      <c r="I1186">
        <v>0</v>
      </c>
      <c r="J1186">
        <v>0.28918991937988547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6.6768730179942652</v>
      </c>
      <c r="X1186">
        <v>0</v>
      </c>
      <c r="Y1186">
        <v>0.71081008062011453</v>
      </c>
      <c r="Z1186" t="s">
        <v>24</v>
      </c>
    </row>
    <row r="1187" spans="1:26" hidden="1" x14ac:dyDescent="0.2">
      <c r="A1187">
        <v>76</v>
      </c>
      <c r="B1187" t="s">
        <v>30</v>
      </c>
      <c r="C1187" s="10">
        <v>10000082</v>
      </c>
      <c r="D1187" t="b">
        <v>1</v>
      </c>
      <c r="F1187">
        <v>0</v>
      </c>
      <c r="G1187">
        <v>0.92793781044271839</v>
      </c>
      <c r="H1187">
        <v>0</v>
      </c>
      <c r="I1187">
        <v>0</v>
      </c>
      <c r="J1187">
        <v>0</v>
      </c>
      <c r="W1187">
        <v>4.9091089076671519</v>
      </c>
      <c r="X1187">
        <v>1</v>
      </c>
      <c r="Y1187">
        <v>0.92793781044271839</v>
      </c>
      <c r="Z1187" t="s">
        <v>23</v>
      </c>
    </row>
    <row r="1188" spans="1:26" hidden="1" x14ac:dyDescent="0.2">
      <c r="A1188">
        <v>76</v>
      </c>
      <c r="B1188" t="s">
        <v>30</v>
      </c>
      <c r="C1188" s="10">
        <v>10000033</v>
      </c>
      <c r="D1188" t="b">
        <v>0</v>
      </c>
      <c r="E1188">
        <v>0</v>
      </c>
      <c r="F1188">
        <v>0</v>
      </c>
      <c r="G1188">
        <v>0</v>
      </c>
      <c r="H1188">
        <v>0.75014462992428199</v>
      </c>
      <c r="I1188">
        <v>0</v>
      </c>
      <c r="J1188">
        <v>0.24985537007571801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6.6990297222759034</v>
      </c>
      <c r="X1188">
        <v>0</v>
      </c>
      <c r="Y1188">
        <v>0.75014462992428199</v>
      </c>
      <c r="Z1188" t="s">
        <v>24</v>
      </c>
    </row>
    <row r="1189" spans="1:26" hidden="1" x14ac:dyDescent="0.2">
      <c r="A1189">
        <v>77</v>
      </c>
      <c r="B1189" t="s">
        <v>32</v>
      </c>
      <c r="C1189" s="10">
        <v>10000082</v>
      </c>
      <c r="D1189" t="b">
        <v>1</v>
      </c>
      <c r="F1189">
        <v>0</v>
      </c>
      <c r="G1189">
        <v>0</v>
      </c>
      <c r="H1189">
        <v>0</v>
      </c>
      <c r="I1189">
        <v>0</v>
      </c>
      <c r="J1189">
        <v>0.62934649075746552</v>
      </c>
      <c r="W1189">
        <v>3.1666666666666679</v>
      </c>
      <c r="X1189">
        <v>1</v>
      </c>
      <c r="Y1189">
        <v>0</v>
      </c>
      <c r="Z1189" t="s">
        <v>23</v>
      </c>
    </row>
    <row r="1190" spans="1:26" hidden="1" x14ac:dyDescent="0.2">
      <c r="A1190">
        <v>77</v>
      </c>
      <c r="B1190" t="s">
        <v>32</v>
      </c>
      <c r="C1190" s="10">
        <v>10000047</v>
      </c>
      <c r="D1190" t="b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0.83220391141015548</v>
      </c>
      <c r="P1190">
        <v>0</v>
      </c>
      <c r="Q1190">
        <v>0.1677960885898446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6.3249192574100537</v>
      </c>
      <c r="X1190">
        <v>0.1677960885898446</v>
      </c>
      <c r="Y1190">
        <v>0.83220391141015548</v>
      </c>
      <c r="Z1190" t="s">
        <v>24</v>
      </c>
    </row>
    <row r="1191" spans="1:26" hidden="1" x14ac:dyDescent="0.2">
      <c r="A1191">
        <v>77</v>
      </c>
      <c r="B1191" t="s">
        <v>31</v>
      </c>
      <c r="C1191" s="10">
        <v>10000033</v>
      </c>
      <c r="D1191" t="b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0.31245616051760222</v>
      </c>
      <c r="Q1191">
        <v>0</v>
      </c>
      <c r="R1191">
        <v>0.14319768047200651</v>
      </c>
      <c r="S1191">
        <v>0</v>
      </c>
      <c r="T1191">
        <v>0.14319768047200651</v>
      </c>
      <c r="U1191">
        <v>0</v>
      </c>
      <c r="V1191">
        <v>0.68754383948239772</v>
      </c>
      <c r="W1191">
        <v>6.2514470989613393</v>
      </c>
      <c r="X1191">
        <v>0.14319768047200651</v>
      </c>
      <c r="Y1191">
        <v>0.68754383948239772</v>
      </c>
      <c r="Z1191" t="s">
        <v>24</v>
      </c>
    </row>
    <row r="1192" spans="1:26" hidden="1" x14ac:dyDescent="0.2">
      <c r="A1192">
        <v>77</v>
      </c>
      <c r="B1192" t="s">
        <v>27</v>
      </c>
      <c r="C1192" s="10">
        <v>10000082</v>
      </c>
      <c r="D1192" t="b">
        <v>1</v>
      </c>
      <c r="F1192">
        <v>0</v>
      </c>
      <c r="G1192">
        <v>0</v>
      </c>
      <c r="H1192">
        <v>0</v>
      </c>
      <c r="I1192">
        <v>0</v>
      </c>
      <c r="J1192">
        <v>0.93306077833997647</v>
      </c>
      <c r="W1192">
        <v>3.1666666666666679</v>
      </c>
      <c r="X1192">
        <v>1</v>
      </c>
      <c r="Y1192">
        <v>0</v>
      </c>
      <c r="Z1192" t="s">
        <v>23</v>
      </c>
    </row>
    <row r="1193" spans="1:26" hidden="1" x14ac:dyDescent="0.2">
      <c r="A1193">
        <v>77</v>
      </c>
      <c r="B1193" t="s">
        <v>30</v>
      </c>
      <c r="C1193" s="10">
        <v>10000033</v>
      </c>
      <c r="D1193" t="b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0.33946810100040747</v>
      </c>
      <c r="Q1193">
        <v>0</v>
      </c>
      <c r="R1193">
        <v>0.16329698096606601</v>
      </c>
      <c r="S1193">
        <v>0</v>
      </c>
      <c r="T1193">
        <v>0.16329698096606601</v>
      </c>
      <c r="U1193">
        <v>0</v>
      </c>
      <c r="V1193">
        <v>0.66053189899959253</v>
      </c>
      <c r="W1193">
        <v>6.1666962541705823</v>
      </c>
      <c r="X1193">
        <v>0.16329698096606601</v>
      </c>
      <c r="Y1193">
        <v>0.66053189899959253</v>
      </c>
      <c r="Z1193" t="s">
        <v>24</v>
      </c>
    </row>
    <row r="1194" spans="1:26" hidden="1" x14ac:dyDescent="0.2">
      <c r="A1194">
        <v>77</v>
      </c>
      <c r="B1194" t="s">
        <v>27</v>
      </c>
      <c r="C1194" s="10">
        <v>10000033</v>
      </c>
      <c r="D1194" t="b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0.3499274463022381</v>
      </c>
      <c r="Q1194">
        <v>0</v>
      </c>
      <c r="R1194">
        <v>0.20412151959664321</v>
      </c>
      <c r="S1194">
        <v>0</v>
      </c>
      <c r="T1194">
        <v>0.20412151959664321</v>
      </c>
      <c r="U1194">
        <v>0</v>
      </c>
      <c r="V1194">
        <v>0.65007255369776196</v>
      </c>
      <c r="W1194">
        <v>6.0401433883006996</v>
      </c>
      <c r="X1194">
        <v>0.20412151959664321</v>
      </c>
      <c r="Y1194">
        <v>0.65007255369776196</v>
      </c>
      <c r="Z1194" t="s">
        <v>24</v>
      </c>
    </row>
    <row r="1195" spans="1:26" hidden="1" x14ac:dyDescent="0.2">
      <c r="A1195">
        <v>77</v>
      </c>
      <c r="B1195" t="s">
        <v>33</v>
      </c>
      <c r="C1195" s="10">
        <v>10000047</v>
      </c>
      <c r="D1195" t="b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0.68642452506583373</v>
      </c>
      <c r="P1195">
        <v>0</v>
      </c>
      <c r="Q1195">
        <v>0.31357547493416632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5.7995245839552014</v>
      </c>
      <c r="X1195">
        <v>0.31357547493416632</v>
      </c>
      <c r="Y1195">
        <v>0.68642452506583373</v>
      </c>
      <c r="Z1195" t="s">
        <v>24</v>
      </c>
    </row>
    <row r="1196" spans="1:26" hidden="1" x14ac:dyDescent="0.2">
      <c r="A1196">
        <v>77</v>
      </c>
      <c r="B1196" t="s">
        <v>34</v>
      </c>
      <c r="C1196" s="10">
        <v>10000073</v>
      </c>
      <c r="D1196" t="b">
        <v>1</v>
      </c>
      <c r="E1196">
        <v>0</v>
      </c>
      <c r="F1196">
        <v>0</v>
      </c>
      <c r="G1196">
        <v>0</v>
      </c>
      <c r="H1196">
        <v>0</v>
      </c>
      <c r="I1196">
        <v>0.53453347749424163</v>
      </c>
      <c r="J1196">
        <v>0.35332463411968201</v>
      </c>
      <c r="W1196">
        <v>5.4477813761951444</v>
      </c>
      <c r="X1196">
        <v>0.35332463411968201</v>
      </c>
      <c r="Y1196">
        <v>0.53453347749424163</v>
      </c>
      <c r="Z1196" t="s">
        <v>24</v>
      </c>
    </row>
    <row r="1197" spans="1:26" hidden="1" x14ac:dyDescent="0.2">
      <c r="A1197">
        <v>77</v>
      </c>
      <c r="B1197" t="s">
        <v>28</v>
      </c>
      <c r="C1197" s="10">
        <v>10000082</v>
      </c>
      <c r="D1197" t="b">
        <v>1</v>
      </c>
      <c r="F1197">
        <v>0</v>
      </c>
      <c r="G1197">
        <v>0</v>
      </c>
      <c r="H1197">
        <v>0</v>
      </c>
      <c r="I1197">
        <v>1</v>
      </c>
      <c r="J1197">
        <v>0</v>
      </c>
      <c r="W1197">
        <v>5.0025004164584352</v>
      </c>
      <c r="X1197">
        <v>1</v>
      </c>
      <c r="Y1197">
        <v>1</v>
      </c>
      <c r="Z1197" t="s">
        <v>23</v>
      </c>
    </row>
    <row r="1198" spans="1:26" hidden="1" x14ac:dyDescent="0.2">
      <c r="A1198">
        <v>77</v>
      </c>
      <c r="B1198" t="s">
        <v>35</v>
      </c>
      <c r="C1198" s="10">
        <v>10000033</v>
      </c>
      <c r="D1198" t="b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0.35791926721848399</v>
      </c>
      <c r="Q1198">
        <v>0</v>
      </c>
      <c r="R1198">
        <v>0.21174399651208989</v>
      </c>
      <c r="S1198">
        <v>0</v>
      </c>
      <c r="T1198">
        <v>0.21174399651208989</v>
      </c>
      <c r="U1198">
        <v>0</v>
      </c>
      <c r="V1198">
        <v>0.64208073278151601</v>
      </c>
      <c r="W1198">
        <v>6.0089930216348577</v>
      </c>
      <c r="X1198">
        <v>0.21174399651208989</v>
      </c>
      <c r="Y1198">
        <v>0.64208073278151601</v>
      </c>
      <c r="Z1198" t="s">
        <v>24</v>
      </c>
    </row>
    <row r="1199" spans="1:26" hidden="1" x14ac:dyDescent="0.2">
      <c r="A1199">
        <v>77</v>
      </c>
      <c r="B1199" t="s">
        <v>28</v>
      </c>
      <c r="C1199" s="10">
        <v>10000033</v>
      </c>
      <c r="D1199" t="b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0.36040973948665539</v>
      </c>
      <c r="Q1199">
        <v>0</v>
      </c>
      <c r="R1199">
        <v>0.21174399651208989</v>
      </c>
      <c r="S1199">
        <v>0</v>
      </c>
      <c r="T1199">
        <v>0.21174399651208989</v>
      </c>
      <c r="U1199">
        <v>0</v>
      </c>
      <c r="V1199">
        <v>0.63959026051334467</v>
      </c>
      <c r="W1199">
        <v>6.0058413184770867</v>
      </c>
      <c r="X1199">
        <v>0.21174399651208989</v>
      </c>
      <c r="Y1199">
        <v>0.63959026051334467</v>
      </c>
      <c r="Z1199" t="s">
        <v>24</v>
      </c>
    </row>
    <row r="1200" spans="1:26" hidden="1" x14ac:dyDescent="0.2">
      <c r="A1200">
        <v>77</v>
      </c>
      <c r="B1200" t="s">
        <v>26</v>
      </c>
      <c r="C1200" s="10">
        <v>10000082</v>
      </c>
      <c r="D1200" t="b">
        <v>1</v>
      </c>
      <c r="F1200">
        <v>0</v>
      </c>
      <c r="G1200">
        <v>0.6</v>
      </c>
      <c r="H1200">
        <v>0</v>
      </c>
      <c r="I1200">
        <v>0</v>
      </c>
      <c r="J1200">
        <v>0</v>
      </c>
      <c r="W1200">
        <v>4.4004238286805073</v>
      </c>
      <c r="X1200">
        <v>1</v>
      </c>
      <c r="Y1200">
        <v>0.6</v>
      </c>
      <c r="Z1200" t="s">
        <v>23</v>
      </c>
    </row>
    <row r="1201" spans="1:26" hidden="1" x14ac:dyDescent="0.2">
      <c r="A1201">
        <v>77</v>
      </c>
      <c r="B1201" t="s">
        <v>26</v>
      </c>
      <c r="C1201" s="10">
        <v>10000073</v>
      </c>
      <c r="D1201" t="b">
        <v>0</v>
      </c>
      <c r="E1201">
        <v>0.4785485030837896</v>
      </c>
      <c r="F1201">
        <v>0</v>
      </c>
      <c r="G1201">
        <v>0.5214514969162104</v>
      </c>
      <c r="H1201">
        <v>0</v>
      </c>
      <c r="I1201">
        <v>0</v>
      </c>
      <c r="J1201">
        <v>0</v>
      </c>
      <c r="K1201">
        <v>0.43333333333333329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3.4344292523847031</v>
      </c>
      <c r="X1201">
        <v>0.5214514969162104</v>
      </c>
      <c r="Y1201">
        <v>0</v>
      </c>
      <c r="Z1201" t="s">
        <v>23</v>
      </c>
    </row>
    <row r="1202" spans="1:26" hidden="1" x14ac:dyDescent="0.2">
      <c r="A1202">
        <v>77</v>
      </c>
      <c r="B1202" t="s">
        <v>26</v>
      </c>
      <c r="C1202" s="10">
        <v>10000047</v>
      </c>
      <c r="D1202" t="b">
        <v>0</v>
      </c>
      <c r="E1202">
        <v>0.76923076923076916</v>
      </c>
      <c r="F1202">
        <v>0</v>
      </c>
      <c r="G1202">
        <v>0</v>
      </c>
      <c r="H1202">
        <v>0</v>
      </c>
      <c r="I1202">
        <v>0.23076923076923081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3.8961216385368149</v>
      </c>
      <c r="X1202">
        <v>0.76923076923076916</v>
      </c>
      <c r="Y1202">
        <v>0.23076923076923081</v>
      </c>
      <c r="Z1202" t="s">
        <v>23</v>
      </c>
    </row>
    <row r="1203" spans="1:26" hidden="1" x14ac:dyDescent="0.2">
      <c r="A1203">
        <v>77</v>
      </c>
      <c r="B1203" t="s">
        <v>26</v>
      </c>
      <c r="C1203" s="10">
        <v>10000033</v>
      </c>
      <c r="D1203" t="b">
        <v>0</v>
      </c>
      <c r="E1203">
        <v>0</v>
      </c>
      <c r="F1203">
        <v>0</v>
      </c>
      <c r="G1203">
        <v>0</v>
      </c>
      <c r="H1203">
        <v>0.64072945237310686</v>
      </c>
      <c r="I1203">
        <v>0</v>
      </c>
      <c r="J1203">
        <v>0.35927054762689309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6.6370113084390168</v>
      </c>
      <c r="X1203">
        <v>0</v>
      </c>
      <c r="Y1203">
        <v>0.64072945237310686</v>
      </c>
      <c r="Z1203" t="s">
        <v>24</v>
      </c>
    </row>
    <row r="1204" spans="1:26" hidden="1" x14ac:dyDescent="0.2">
      <c r="A1204">
        <v>77</v>
      </c>
      <c r="B1204" t="s">
        <v>29</v>
      </c>
      <c r="C1204" s="10">
        <v>10000033</v>
      </c>
      <c r="D1204" t="b">
        <v>0</v>
      </c>
      <c r="E1204">
        <v>0</v>
      </c>
      <c r="F1204">
        <v>0.33333333333333348</v>
      </c>
      <c r="G1204">
        <v>0.33333333333333348</v>
      </c>
      <c r="H1204">
        <v>0.63773849404667682</v>
      </c>
      <c r="I1204">
        <v>0.33333333333333348</v>
      </c>
      <c r="J1204">
        <v>0.36226150595332318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5.6784483521038807</v>
      </c>
      <c r="X1204">
        <v>0.33333333333333348</v>
      </c>
      <c r="Y1204">
        <v>0.63773849404667682</v>
      </c>
      <c r="Z1204" t="s">
        <v>24</v>
      </c>
    </row>
    <row r="1205" spans="1:26" hidden="1" x14ac:dyDescent="0.2">
      <c r="A1205">
        <v>78</v>
      </c>
      <c r="B1205" t="s">
        <v>35</v>
      </c>
      <c r="C1205" s="10">
        <v>10000073</v>
      </c>
      <c r="D1205" t="b">
        <v>1</v>
      </c>
      <c r="E1205">
        <v>0</v>
      </c>
      <c r="F1205">
        <v>0</v>
      </c>
      <c r="G1205">
        <v>0</v>
      </c>
      <c r="H1205">
        <v>0</v>
      </c>
      <c r="I1205">
        <v>0.56863916504108691</v>
      </c>
      <c r="J1205">
        <v>0.20351384158446709</v>
      </c>
      <c r="W1205">
        <v>5.9348006040200314</v>
      </c>
      <c r="X1205">
        <v>0.20351384158446709</v>
      </c>
      <c r="Y1205">
        <v>0.56863916504108691</v>
      </c>
      <c r="Z1205" t="s">
        <v>24</v>
      </c>
    </row>
    <row r="1206" spans="1:26" hidden="1" x14ac:dyDescent="0.2">
      <c r="A1206">
        <v>78</v>
      </c>
      <c r="B1206" t="s">
        <v>27</v>
      </c>
      <c r="C1206" s="10">
        <v>10000033</v>
      </c>
      <c r="D1206" t="b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0.2986794872610366</v>
      </c>
      <c r="Q1206">
        <v>0</v>
      </c>
      <c r="R1206">
        <v>5.586685949128746E-2</v>
      </c>
      <c r="S1206">
        <v>0</v>
      </c>
      <c r="T1206">
        <v>5.586685949128746E-2</v>
      </c>
      <c r="U1206">
        <v>0</v>
      </c>
      <c r="V1206">
        <v>0.70132051273896334</v>
      </c>
      <c r="W1206">
        <v>6.510136268502082</v>
      </c>
      <c r="X1206">
        <v>5.586685949128746E-2</v>
      </c>
      <c r="Y1206">
        <v>0.70132051273896334</v>
      </c>
      <c r="Z1206" t="s">
        <v>24</v>
      </c>
    </row>
    <row r="1207" spans="1:26" hidden="1" x14ac:dyDescent="0.2">
      <c r="A1207">
        <v>78</v>
      </c>
      <c r="B1207" t="s">
        <v>33</v>
      </c>
      <c r="C1207" s="10">
        <v>10000082</v>
      </c>
      <c r="D1207" t="b">
        <v>1</v>
      </c>
      <c r="F1207">
        <v>0</v>
      </c>
      <c r="G1207">
        <v>0</v>
      </c>
      <c r="H1207">
        <v>0</v>
      </c>
      <c r="I1207">
        <v>0</v>
      </c>
      <c r="J1207">
        <v>0.84468340026853894</v>
      </c>
      <c r="W1207">
        <v>3.1666666666666679</v>
      </c>
      <c r="X1207">
        <v>1</v>
      </c>
      <c r="Y1207">
        <v>0</v>
      </c>
      <c r="Z1207" t="s">
        <v>23</v>
      </c>
    </row>
    <row r="1208" spans="1:26" hidden="1" x14ac:dyDescent="0.2">
      <c r="A1208">
        <v>78</v>
      </c>
      <c r="B1208" t="s">
        <v>30</v>
      </c>
      <c r="C1208" s="10">
        <v>10000033</v>
      </c>
      <c r="D1208" t="b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0.28509474740065699</v>
      </c>
      <c r="Q1208">
        <v>0</v>
      </c>
      <c r="R1208">
        <v>0.1415020665327292</v>
      </c>
      <c r="S1208">
        <v>0</v>
      </c>
      <c r="T1208">
        <v>0.1415020665327292</v>
      </c>
      <c r="U1208">
        <v>0</v>
      </c>
      <c r="V1208">
        <v>0.71490525259934301</v>
      </c>
      <c r="W1208">
        <v>6.2830743598445489</v>
      </c>
      <c r="X1208">
        <v>0.1415020665327292</v>
      </c>
      <c r="Y1208">
        <v>0.71490525259934301</v>
      </c>
      <c r="Z1208" t="s">
        <v>24</v>
      </c>
    </row>
    <row r="1209" spans="1:26" hidden="1" x14ac:dyDescent="0.2">
      <c r="A1209">
        <v>78</v>
      </c>
      <c r="B1209" t="s">
        <v>33</v>
      </c>
      <c r="C1209" s="10">
        <v>10000033</v>
      </c>
      <c r="D1209" t="b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0.28138693927209069</v>
      </c>
      <c r="Q1209">
        <v>0</v>
      </c>
      <c r="R1209">
        <v>0.16632705442700749</v>
      </c>
      <c r="S1209">
        <v>0</v>
      </c>
      <c r="T1209">
        <v>0.16632705442700749</v>
      </c>
      <c r="U1209">
        <v>0</v>
      </c>
      <c r="V1209">
        <v>0.71861306072790931</v>
      </c>
      <c r="W1209">
        <v>6.2199110268325564</v>
      </c>
      <c r="X1209">
        <v>0.16632705442700749</v>
      </c>
      <c r="Y1209">
        <v>0.71861306072790931</v>
      </c>
      <c r="Z1209" t="s">
        <v>24</v>
      </c>
    </row>
    <row r="1210" spans="1:26" hidden="1" x14ac:dyDescent="0.2">
      <c r="A1210">
        <v>78</v>
      </c>
      <c r="B1210" t="s">
        <v>28</v>
      </c>
      <c r="C1210" s="10">
        <v>10000073</v>
      </c>
      <c r="D1210" t="b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0.40049122612911497</v>
      </c>
      <c r="P1210">
        <v>0</v>
      </c>
      <c r="Q1210">
        <v>0.32036555872728473</v>
      </c>
      <c r="R1210">
        <v>0</v>
      </c>
      <c r="S1210">
        <v>0.32036555872728473</v>
      </c>
      <c r="T1210">
        <v>0</v>
      </c>
      <c r="U1210">
        <v>0.59950877387088508</v>
      </c>
      <c r="V1210">
        <v>0</v>
      </c>
      <c r="W1210">
        <v>5.6515420186996126</v>
      </c>
      <c r="X1210">
        <v>0.32036555872728473</v>
      </c>
      <c r="Y1210">
        <v>0.59950877387088508</v>
      </c>
      <c r="Z1210" t="s">
        <v>24</v>
      </c>
    </row>
    <row r="1211" spans="1:26" hidden="1" x14ac:dyDescent="0.2">
      <c r="A1211">
        <v>78</v>
      </c>
      <c r="B1211" t="s">
        <v>34</v>
      </c>
      <c r="C1211" s="10">
        <v>10000082</v>
      </c>
      <c r="D1211" t="b">
        <v>1</v>
      </c>
      <c r="F1211">
        <v>0</v>
      </c>
      <c r="G1211">
        <v>0</v>
      </c>
      <c r="H1211">
        <v>0</v>
      </c>
      <c r="I1211">
        <v>0</v>
      </c>
      <c r="J1211">
        <v>0.59685492724032119</v>
      </c>
      <c r="W1211">
        <v>3.1666666666666679</v>
      </c>
      <c r="X1211">
        <v>1</v>
      </c>
      <c r="Y1211">
        <v>0</v>
      </c>
      <c r="Z1211" t="s">
        <v>23</v>
      </c>
    </row>
    <row r="1212" spans="1:26" hidden="1" x14ac:dyDescent="0.2">
      <c r="A1212">
        <v>78</v>
      </c>
      <c r="B1212" t="s">
        <v>34</v>
      </c>
      <c r="C1212" s="10">
        <v>10000047</v>
      </c>
      <c r="D1212" t="b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0.71817646458405626</v>
      </c>
      <c r="P1212">
        <v>0</v>
      </c>
      <c r="Q1212">
        <v>0.28182353541594368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5.9208516993708917</v>
      </c>
      <c r="X1212">
        <v>0.28182353541594368</v>
      </c>
      <c r="Y1212">
        <v>0.71817646458405626</v>
      </c>
      <c r="Z1212" t="s">
        <v>24</v>
      </c>
    </row>
    <row r="1213" spans="1:26" hidden="1" x14ac:dyDescent="0.2">
      <c r="A1213">
        <v>78</v>
      </c>
      <c r="B1213" t="s">
        <v>26</v>
      </c>
      <c r="C1213" s="10">
        <v>10000033</v>
      </c>
      <c r="D1213" t="b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0.2930497050993966</v>
      </c>
      <c r="Q1213">
        <v>0.2930497050993966</v>
      </c>
      <c r="R1213">
        <v>0.1982668938709205</v>
      </c>
      <c r="S1213">
        <v>0</v>
      </c>
      <c r="T1213">
        <v>0.1982668938709205</v>
      </c>
      <c r="U1213">
        <v>0</v>
      </c>
      <c r="V1213">
        <v>0.57142857142857162</v>
      </c>
      <c r="W1213">
        <v>5.6796026153109826</v>
      </c>
      <c r="X1213">
        <v>0.2930497050993966</v>
      </c>
      <c r="Y1213">
        <v>0.57142857142857162</v>
      </c>
      <c r="Z1213" t="s">
        <v>24</v>
      </c>
    </row>
    <row r="1214" spans="1:26" hidden="1" x14ac:dyDescent="0.2">
      <c r="A1214">
        <v>78</v>
      </c>
      <c r="B1214" t="s">
        <v>29</v>
      </c>
      <c r="C1214" s="10">
        <v>10000073</v>
      </c>
      <c r="D1214" t="b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0.41359353113776431</v>
      </c>
      <c r="P1214">
        <v>0</v>
      </c>
      <c r="Q1214">
        <v>0.36789678594712749</v>
      </c>
      <c r="R1214">
        <v>0</v>
      </c>
      <c r="S1214">
        <v>0.36789678594712749</v>
      </c>
      <c r="T1214">
        <v>0</v>
      </c>
      <c r="U1214">
        <v>0.58640646886223569</v>
      </c>
      <c r="V1214">
        <v>0</v>
      </c>
      <c r="W1214">
        <v>5.5052623617604022</v>
      </c>
      <c r="X1214">
        <v>0.36789678594712749</v>
      </c>
      <c r="Y1214">
        <v>0.58640646886223569</v>
      </c>
      <c r="Z1214" t="s">
        <v>24</v>
      </c>
    </row>
    <row r="1215" spans="1:26" hidden="1" x14ac:dyDescent="0.2">
      <c r="A1215">
        <v>78</v>
      </c>
      <c r="B1215" t="s">
        <v>31</v>
      </c>
      <c r="C1215" s="10">
        <v>10000073</v>
      </c>
      <c r="D1215" t="b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0.42039696236642299</v>
      </c>
      <c r="P1215">
        <v>0</v>
      </c>
      <c r="Q1215">
        <v>0.36789678594712749</v>
      </c>
      <c r="R1215">
        <v>0</v>
      </c>
      <c r="S1215">
        <v>0</v>
      </c>
      <c r="T1215">
        <v>0</v>
      </c>
      <c r="U1215">
        <v>0</v>
      </c>
      <c r="V1215">
        <v>0.57960303763357701</v>
      </c>
      <c r="W1215">
        <v>5.4931616888090042</v>
      </c>
      <c r="X1215">
        <v>0.36789678594712749</v>
      </c>
      <c r="Y1215">
        <v>0.57960303763357701</v>
      </c>
      <c r="Z1215" t="s">
        <v>24</v>
      </c>
    </row>
    <row r="1216" spans="1:26" hidden="1" x14ac:dyDescent="0.2">
      <c r="A1216">
        <v>78</v>
      </c>
      <c r="B1216" t="s">
        <v>32</v>
      </c>
      <c r="C1216" s="10">
        <v>10000073</v>
      </c>
      <c r="D1216" t="b">
        <v>0</v>
      </c>
      <c r="E1216">
        <v>0.42749458833388149</v>
      </c>
      <c r="F1216">
        <v>0</v>
      </c>
      <c r="G1216">
        <v>0.5</v>
      </c>
      <c r="H1216">
        <v>0</v>
      </c>
      <c r="I1216">
        <v>0.42749458833388149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4.8246999604866243</v>
      </c>
      <c r="X1216">
        <v>0.5</v>
      </c>
      <c r="Y1216">
        <v>0.42749458833388149</v>
      </c>
      <c r="Z1216" t="s">
        <v>23</v>
      </c>
    </row>
    <row r="1217" spans="1:26" hidden="1" x14ac:dyDescent="0.2">
      <c r="A1217">
        <v>78</v>
      </c>
      <c r="B1217" t="s">
        <v>32</v>
      </c>
      <c r="C1217" s="10">
        <v>10000082</v>
      </c>
      <c r="D1217" t="b">
        <v>1</v>
      </c>
      <c r="F1217">
        <v>0</v>
      </c>
      <c r="G1217">
        <v>0.5787441478800216</v>
      </c>
      <c r="H1217">
        <v>0</v>
      </c>
      <c r="I1217">
        <v>0</v>
      </c>
      <c r="J1217">
        <v>0</v>
      </c>
      <c r="W1217">
        <v>4.3627659511079768</v>
      </c>
      <c r="X1217">
        <v>1</v>
      </c>
      <c r="Y1217">
        <v>0.5787441478800216</v>
      </c>
      <c r="Z1217" t="s">
        <v>23</v>
      </c>
    </row>
    <row r="1218" spans="1:26" hidden="1" x14ac:dyDescent="0.2">
      <c r="A1218">
        <v>79</v>
      </c>
      <c r="B1218" t="s">
        <v>30</v>
      </c>
      <c r="C1218" s="10">
        <v>10000033</v>
      </c>
      <c r="D1218" t="b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0.30882977802696898</v>
      </c>
      <c r="Q1218">
        <v>0</v>
      </c>
      <c r="R1218">
        <v>0.12527838426541299</v>
      </c>
      <c r="S1218">
        <v>0</v>
      </c>
      <c r="T1218">
        <v>0.12527838426541299</v>
      </c>
      <c r="U1218">
        <v>0</v>
      </c>
      <c r="V1218">
        <v>0.69117022197303091</v>
      </c>
      <c r="W1218">
        <v>6.3050115217578764</v>
      </c>
      <c r="X1218">
        <v>0.12527838426541299</v>
      </c>
      <c r="Y1218">
        <v>0.69117022197303091</v>
      </c>
      <c r="Z1218" t="s">
        <v>24</v>
      </c>
    </row>
    <row r="1219" spans="1:26" hidden="1" x14ac:dyDescent="0.2">
      <c r="A1219">
        <v>79</v>
      </c>
      <c r="B1219" t="s">
        <v>27</v>
      </c>
      <c r="C1219" s="10">
        <v>10000033</v>
      </c>
      <c r="D1219" t="b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0.30519601542896768</v>
      </c>
      <c r="Q1219">
        <v>0</v>
      </c>
      <c r="R1219">
        <v>0.12527838426541299</v>
      </c>
      <c r="S1219">
        <v>0</v>
      </c>
      <c r="T1219">
        <v>0.12527838426541299</v>
      </c>
      <c r="U1219">
        <v>0</v>
      </c>
      <c r="V1219">
        <v>0.69480398457103221</v>
      </c>
      <c r="W1219">
        <v>6.3084643763741486</v>
      </c>
      <c r="X1219">
        <v>0.12527838426541299</v>
      </c>
      <c r="Y1219">
        <v>0.69480398457103221</v>
      </c>
      <c r="Z1219" t="s">
        <v>24</v>
      </c>
    </row>
    <row r="1220" spans="1:26" hidden="1" x14ac:dyDescent="0.2">
      <c r="A1220">
        <v>79</v>
      </c>
      <c r="B1220" t="s">
        <v>31</v>
      </c>
      <c r="C1220" s="10">
        <v>10000033</v>
      </c>
      <c r="D1220" t="b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0.30751938590118127</v>
      </c>
      <c r="Q1220">
        <v>0</v>
      </c>
      <c r="R1220">
        <v>0.14335439070711381</v>
      </c>
      <c r="S1220">
        <v>0</v>
      </c>
      <c r="T1220">
        <v>0.14335439070711381</v>
      </c>
      <c r="U1220">
        <v>0</v>
      </c>
      <c r="V1220">
        <v>0.69248061409881878</v>
      </c>
      <c r="W1220">
        <v>6.2559602456426671</v>
      </c>
      <c r="X1220">
        <v>0.14335439070711381</v>
      </c>
      <c r="Y1220">
        <v>0.69248061409881878</v>
      </c>
      <c r="Z1220" t="s">
        <v>24</v>
      </c>
    </row>
    <row r="1221" spans="1:26" hidden="1" x14ac:dyDescent="0.2">
      <c r="A1221">
        <v>79</v>
      </c>
      <c r="B1221" t="s">
        <v>33</v>
      </c>
      <c r="C1221" s="10">
        <v>10000082</v>
      </c>
      <c r="D1221" t="b">
        <v>1</v>
      </c>
      <c r="F1221">
        <v>0</v>
      </c>
      <c r="G1221">
        <v>0</v>
      </c>
      <c r="H1221">
        <v>0</v>
      </c>
      <c r="I1221">
        <v>0.11593834918320579</v>
      </c>
      <c r="J1221">
        <v>0.88406165081679422</v>
      </c>
      <c r="W1221">
        <v>3.424924635334095</v>
      </c>
      <c r="X1221">
        <v>1</v>
      </c>
      <c r="Y1221">
        <v>0.11593834918320579</v>
      </c>
      <c r="Z1221" t="s">
        <v>23</v>
      </c>
    </row>
    <row r="1222" spans="1:26" hidden="1" x14ac:dyDescent="0.2">
      <c r="A1222">
        <v>79</v>
      </c>
      <c r="B1222" t="s">
        <v>33</v>
      </c>
      <c r="C1222" s="10">
        <v>10000033</v>
      </c>
      <c r="D1222" t="b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0.32138816154435812</v>
      </c>
      <c r="Q1222">
        <v>0</v>
      </c>
      <c r="R1222">
        <v>0.16650031804827739</v>
      </c>
      <c r="S1222">
        <v>0</v>
      </c>
      <c r="T1222">
        <v>0.16650031804827739</v>
      </c>
      <c r="U1222">
        <v>0</v>
      </c>
      <c r="V1222">
        <v>0.67861183845564188</v>
      </c>
      <c r="W1222">
        <v>6.1774315962744817</v>
      </c>
      <c r="X1222">
        <v>0.16650031804827739</v>
      </c>
      <c r="Y1222">
        <v>0.67861183845564188</v>
      </c>
      <c r="Z1222" t="s">
        <v>24</v>
      </c>
    </row>
    <row r="1223" spans="1:26" hidden="1" x14ac:dyDescent="0.2">
      <c r="A1223">
        <v>79</v>
      </c>
      <c r="B1223" t="s">
        <v>35</v>
      </c>
      <c r="C1223" s="10">
        <v>10000073</v>
      </c>
      <c r="D1223" t="b">
        <v>1</v>
      </c>
      <c r="E1223">
        <v>0</v>
      </c>
      <c r="F1223">
        <v>0</v>
      </c>
      <c r="G1223">
        <v>0</v>
      </c>
      <c r="H1223">
        <v>0</v>
      </c>
      <c r="I1223">
        <v>0.56420190916002955</v>
      </c>
      <c r="J1223">
        <v>0.37832610822498408</v>
      </c>
      <c r="W1223">
        <v>5.4381021658558693</v>
      </c>
      <c r="X1223">
        <v>0.37832610822498408</v>
      </c>
      <c r="Y1223">
        <v>0.56420190916002955</v>
      </c>
      <c r="Z1223" t="s">
        <v>24</v>
      </c>
    </row>
    <row r="1224" spans="1:26" hidden="1" x14ac:dyDescent="0.2">
      <c r="A1224">
        <v>79</v>
      </c>
      <c r="B1224" t="s">
        <v>26</v>
      </c>
      <c r="C1224" s="10">
        <v>10000047</v>
      </c>
      <c r="D1224" t="b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0.661929655754391</v>
      </c>
      <c r="P1224">
        <v>0</v>
      </c>
      <c r="Q1224">
        <v>0.338070344245609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5.7031881732981127</v>
      </c>
      <c r="X1224">
        <v>0.338070344245609</v>
      </c>
      <c r="Y1224">
        <v>0.661929655754391</v>
      </c>
      <c r="Z1224" t="s">
        <v>24</v>
      </c>
    </row>
    <row r="1225" spans="1:26" hidden="1" x14ac:dyDescent="0.2">
      <c r="A1225">
        <v>79</v>
      </c>
      <c r="B1225" t="s">
        <v>32</v>
      </c>
      <c r="C1225" s="10">
        <v>10000073</v>
      </c>
      <c r="D1225" t="b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0.43975861534779581</v>
      </c>
      <c r="P1225">
        <v>0</v>
      </c>
      <c r="Q1225">
        <v>0.39968713569452707</v>
      </c>
      <c r="R1225">
        <v>0</v>
      </c>
      <c r="S1225">
        <v>0.39968713569452707</v>
      </c>
      <c r="T1225">
        <v>0</v>
      </c>
      <c r="U1225">
        <v>0.5602413846522043</v>
      </c>
      <c r="V1225">
        <v>0</v>
      </c>
      <c r="W1225">
        <v>5.3759949074892432</v>
      </c>
      <c r="X1225">
        <v>0.39968713569452707</v>
      </c>
      <c r="Y1225">
        <v>0.5602413846522043</v>
      </c>
      <c r="Z1225" t="s">
        <v>24</v>
      </c>
    </row>
    <row r="1226" spans="1:26" hidden="1" x14ac:dyDescent="0.2">
      <c r="A1226">
        <v>79</v>
      </c>
      <c r="B1226" t="s">
        <v>28</v>
      </c>
      <c r="C1226" s="10">
        <v>10000033</v>
      </c>
      <c r="D1226" t="b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0.16666666666666671</v>
      </c>
      <c r="M1226">
        <v>0.16666666666666671</v>
      </c>
      <c r="N1226">
        <v>0</v>
      </c>
      <c r="O1226">
        <v>0</v>
      </c>
      <c r="P1226">
        <v>0.35352310984285468</v>
      </c>
      <c r="Q1226">
        <v>0.35352310984285468</v>
      </c>
      <c r="R1226">
        <v>0.33732432750109209</v>
      </c>
      <c r="S1226">
        <v>0</v>
      </c>
      <c r="T1226">
        <v>0.33732432750109209</v>
      </c>
      <c r="U1226">
        <v>0</v>
      </c>
      <c r="V1226">
        <v>0.52380952380952372</v>
      </c>
      <c r="W1226">
        <v>5.4262330594185357</v>
      </c>
      <c r="X1226">
        <v>0.35352310984285468</v>
      </c>
      <c r="Y1226">
        <v>0.52380952380952372</v>
      </c>
      <c r="Z1226" t="s">
        <v>24</v>
      </c>
    </row>
    <row r="1227" spans="1:26" hidden="1" x14ac:dyDescent="0.2">
      <c r="A1227">
        <v>79</v>
      </c>
      <c r="B1227" t="s">
        <v>29</v>
      </c>
      <c r="C1227" s="10">
        <v>10000082</v>
      </c>
      <c r="D1227" t="b">
        <v>1</v>
      </c>
      <c r="F1227">
        <v>0</v>
      </c>
      <c r="G1227">
        <v>0.33333333333333331</v>
      </c>
      <c r="H1227">
        <v>0</v>
      </c>
      <c r="I1227">
        <v>8.8860436797474809E-2</v>
      </c>
      <c r="J1227">
        <v>0.66666666666666663</v>
      </c>
      <c r="W1227">
        <v>3.890301296438524</v>
      </c>
      <c r="X1227">
        <v>1</v>
      </c>
      <c r="Y1227">
        <v>0.33333333333333331</v>
      </c>
      <c r="Z1227" t="s">
        <v>23</v>
      </c>
    </row>
    <row r="1228" spans="1:26" hidden="1" x14ac:dyDescent="0.2">
      <c r="A1228">
        <v>79</v>
      </c>
      <c r="B1228" t="s">
        <v>34</v>
      </c>
      <c r="C1228" s="10">
        <v>10000033</v>
      </c>
      <c r="D1228" t="b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0.66241094726611038</v>
      </c>
      <c r="M1228">
        <v>0.33758905273388973</v>
      </c>
      <c r="N1228">
        <v>0</v>
      </c>
      <c r="O1228">
        <v>0</v>
      </c>
      <c r="P1228">
        <v>0.3</v>
      </c>
      <c r="Q1228">
        <v>0.2799999999999998</v>
      </c>
      <c r="R1228">
        <v>0.3</v>
      </c>
      <c r="S1228">
        <v>0</v>
      </c>
      <c r="T1228">
        <v>0.3</v>
      </c>
      <c r="U1228">
        <v>0</v>
      </c>
      <c r="V1228">
        <v>0.3</v>
      </c>
      <c r="W1228">
        <v>5.7051044098315851</v>
      </c>
      <c r="X1228">
        <v>0.33758905273388973</v>
      </c>
      <c r="Y1228">
        <v>0.66241094726611038</v>
      </c>
      <c r="Z1228" t="s">
        <v>24</v>
      </c>
    </row>
    <row r="1229" spans="1:26" hidden="1" x14ac:dyDescent="0.2">
      <c r="A1229">
        <v>79</v>
      </c>
      <c r="B1229" t="s">
        <v>29</v>
      </c>
      <c r="C1229" s="10">
        <v>10000047</v>
      </c>
      <c r="D1229" t="b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0.96666666666666667</v>
      </c>
      <c r="L1229">
        <v>0</v>
      </c>
      <c r="M1229">
        <v>0</v>
      </c>
      <c r="N1229">
        <v>0</v>
      </c>
      <c r="O1229">
        <v>3.3333333333333333E-2</v>
      </c>
      <c r="P1229">
        <v>0</v>
      </c>
      <c r="Q1229">
        <v>3.3333333333333333E-2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3.2608695945154209</v>
      </c>
      <c r="X1229">
        <v>0.96666666666666667</v>
      </c>
      <c r="Y1229">
        <v>3.3333333333333333E-2</v>
      </c>
      <c r="Z1229" t="s">
        <v>23</v>
      </c>
    </row>
    <row r="1230" spans="1:26" hidden="1" x14ac:dyDescent="0.2">
      <c r="A1230">
        <v>79</v>
      </c>
      <c r="B1230" t="s">
        <v>29</v>
      </c>
      <c r="C1230" s="10">
        <v>10000073</v>
      </c>
      <c r="D1230" t="b">
        <v>0</v>
      </c>
      <c r="E1230">
        <v>0.4511249872438155</v>
      </c>
      <c r="F1230">
        <v>0</v>
      </c>
      <c r="G1230">
        <v>0.54887501275618455</v>
      </c>
      <c r="H1230">
        <v>0</v>
      </c>
      <c r="I1230">
        <v>0</v>
      </c>
      <c r="J1230">
        <v>0</v>
      </c>
      <c r="K1230">
        <v>0.43333333333333329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3.4184644654904708</v>
      </c>
      <c r="X1230">
        <v>0.54887501275618455</v>
      </c>
      <c r="Y1230">
        <v>0</v>
      </c>
      <c r="Z1230" t="s">
        <v>23</v>
      </c>
    </row>
    <row r="1231" spans="1:26" hidden="1" x14ac:dyDescent="0.2">
      <c r="A1231">
        <v>79</v>
      </c>
      <c r="B1231" t="s">
        <v>29</v>
      </c>
      <c r="C1231" s="10">
        <v>10000033</v>
      </c>
      <c r="D1231" t="b">
        <v>0</v>
      </c>
      <c r="E1231">
        <v>0</v>
      </c>
      <c r="F1231">
        <v>0.23076923076923081</v>
      </c>
      <c r="G1231">
        <v>0.23076923076923081</v>
      </c>
      <c r="H1231">
        <v>0.66376306659844908</v>
      </c>
      <c r="I1231">
        <v>0.23076923076923081</v>
      </c>
      <c r="J1231">
        <v>0.33623693340155092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5.9842692606148384</v>
      </c>
      <c r="X1231">
        <v>0.23076923076923081</v>
      </c>
      <c r="Y1231">
        <v>0.66376306659844908</v>
      </c>
      <c r="Z1231" t="s">
        <v>24</v>
      </c>
    </row>
    <row r="1232" spans="1:26" hidden="1" x14ac:dyDescent="0.2">
      <c r="A1232">
        <v>80</v>
      </c>
      <c r="B1232" t="s">
        <v>32</v>
      </c>
      <c r="C1232" s="10">
        <v>10000073</v>
      </c>
      <c r="D1232" t="b">
        <v>1</v>
      </c>
      <c r="E1232">
        <v>0</v>
      </c>
      <c r="F1232">
        <v>0</v>
      </c>
      <c r="G1232">
        <v>0</v>
      </c>
      <c r="H1232">
        <v>0</v>
      </c>
      <c r="I1232">
        <v>0.56863916504108691</v>
      </c>
      <c r="J1232">
        <v>0.20633637974658051</v>
      </c>
      <c r="W1232">
        <v>5.9263038641235601</v>
      </c>
      <c r="X1232">
        <v>0.20633637974658051</v>
      </c>
      <c r="Y1232">
        <v>0.56863916504108691</v>
      </c>
      <c r="Z1232" t="s">
        <v>24</v>
      </c>
    </row>
    <row r="1233" spans="1:26" hidden="1" x14ac:dyDescent="0.2">
      <c r="A1233">
        <v>80</v>
      </c>
      <c r="B1233" t="s">
        <v>31</v>
      </c>
      <c r="C1233" s="10">
        <v>10000047</v>
      </c>
      <c r="D1233" t="b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0.82611420065747354</v>
      </c>
      <c r="P1233">
        <v>0</v>
      </c>
      <c r="Q1233">
        <v>0.17388579934252649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6.3045475670023174</v>
      </c>
      <c r="X1233">
        <v>0.17388579934252649</v>
      </c>
      <c r="Y1233">
        <v>0.82611420065747354</v>
      </c>
      <c r="Z1233" t="s">
        <v>24</v>
      </c>
    </row>
    <row r="1234" spans="1:26" hidden="1" x14ac:dyDescent="0.2">
      <c r="A1234">
        <v>80</v>
      </c>
      <c r="B1234" t="s">
        <v>27</v>
      </c>
      <c r="C1234" s="10">
        <v>10000082</v>
      </c>
      <c r="D1234" t="b">
        <v>1</v>
      </c>
      <c r="F1234">
        <v>0</v>
      </c>
      <c r="G1234">
        <v>0</v>
      </c>
      <c r="H1234">
        <v>0</v>
      </c>
      <c r="I1234">
        <v>5.6165853566551658E-3</v>
      </c>
      <c r="J1234">
        <v>0.9943834146433449</v>
      </c>
      <c r="W1234">
        <v>3.179243330539085</v>
      </c>
      <c r="X1234">
        <v>1</v>
      </c>
      <c r="Y1234">
        <v>5.6165853566551658E-3</v>
      </c>
      <c r="Z1234" t="s">
        <v>23</v>
      </c>
    </row>
    <row r="1235" spans="1:26" hidden="1" x14ac:dyDescent="0.2">
      <c r="A1235">
        <v>80</v>
      </c>
      <c r="B1235" t="s">
        <v>35</v>
      </c>
      <c r="C1235" s="10">
        <v>10000073</v>
      </c>
      <c r="D1235" t="b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0.44025909770191152</v>
      </c>
      <c r="P1235">
        <v>0</v>
      </c>
      <c r="Q1235">
        <v>0.33463156080812823</v>
      </c>
      <c r="R1235">
        <v>0</v>
      </c>
      <c r="S1235">
        <v>0.33463156080812823</v>
      </c>
      <c r="T1235">
        <v>0</v>
      </c>
      <c r="U1235">
        <v>0.55974090229808848</v>
      </c>
      <c r="V1235">
        <v>0</v>
      </c>
      <c r="W1235">
        <v>5.5453478805108789</v>
      </c>
      <c r="X1235">
        <v>0.33463156080812823</v>
      </c>
      <c r="Y1235">
        <v>0.55974090229808848</v>
      </c>
      <c r="Z1235" t="s">
        <v>24</v>
      </c>
    </row>
    <row r="1236" spans="1:26" hidden="1" x14ac:dyDescent="0.2">
      <c r="A1236">
        <v>80</v>
      </c>
      <c r="B1236" t="s">
        <v>27</v>
      </c>
      <c r="C1236" s="10">
        <v>10000073</v>
      </c>
      <c r="D1236" t="b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0.45302539610542403</v>
      </c>
      <c r="P1236">
        <v>0</v>
      </c>
      <c r="Q1236">
        <v>0.33463156080812823</v>
      </c>
      <c r="R1236">
        <v>0</v>
      </c>
      <c r="S1236">
        <v>0.33463156080812823</v>
      </c>
      <c r="T1236">
        <v>0</v>
      </c>
      <c r="U1236">
        <v>0.54697460389457608</v>
      </c>
      <c r="V1236">
        <v>0</v>
      </c>
      <c r="W1236">
        <v>5.5221269083279427</v>
      </c>
      <c r="X1236">
        <v>0.33463156080812823</v>
      </c>
      <c r="Y1236">
        <v>0.54697460389457608</v>
      </c>
      <c r="Z1236" t="s">
        <v>24</v>
      </c>
    </row>
    <row r="1237" spans="1:26" hidden="1" x14ac:dyDescent="0.2">
      <c r="A1237">
        <v>80</v>
      </c>
      <c r="B1237" t="s">
        <v>30</v>
      </c>
      <c r="C1237" s="10">
        <v>10000082</v>
      </c>
      <c r="D1237" t="b">
        <v>1</v>
      </c>
      <c r="F1237">
        <v>0</v>
      </c>
      <c r="G1237">
        <v>0</v>
      </c>
      <c r="H1237">
        <v>0</v>
      </c>
      <c r="I1237">
        <v>0.49535024943173989</v>
      </c>
      <c r="J1237">
        <v>0.50464975056826011</v>
      </c>
      <c r="W1237">
        <v>4.2097728334832629</v>
      </c>
      <c r="X1237">
        <v>1</v>
      </c>
      <c r="Y1237">
        <v>0.49535024943173989</v>
      </c>
      <c r="Z1237" t="s">
        <v>23</v>
      </c>
    </row>
    <row r="1238" spans="1:26" hidden="1" x14ac:dyDescent="0.2">
      <c r="A1238">
        <v>80</v>
      </c>
      <c r="B1238" t="s">
        <v>30</v>
      </c>
      <c r="C1238" s="10">
        <v>10000047</v>
      </c>
      <c r="D1238" t="b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0.70040425347294144</v>
      </c>
      <c r="P1238">
        <v>0</v>
      </c>
      <c r="Q1238">
        <v>0.2995957465270585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5.8534319021888166</v>
      </c>
      <c r="X1238">
        <v>0.2995957465270585</v>
      </c>
      <c r="Y1238">
        <v>0.70040425347294144</v>
      </c>
      <c r="Z1238" t="s">
        <v>24</v>
      </c>
    </row>
    <row r="1239" spans="1:26" hidden="1" x14ac:dyDescent="0.2">
      <c r="A1239">
        <v>80</v>
      </c>
      <c r="B1239" t="s">
        <v>33</v>
      </c>
      <c r="C1239" s="10">
        <v>10000082</v>
      </c>
      <c r="D1239" t="b">
        <v>1</v>
      </c>
      <c r="F1239">
        <v>0</v>
      </c>
      <c r="G1239">
        <v>0</v>
      </c>
      <c r="H1239">
        <v>0</v>
      </c>
      <c r="I1239">
        <v>0.49535024943173989</v>
      </c>
      <c r="J1239">
        <v>0.50464975056826011</v>
      </c>
      <c r="W1239">
        <v>4.2097728334832629</v>
      </c>
      <c r="X1239">
        <v>1</v>
      </c>
      <c r="Y1239">
        <v>0.49535024943173989</v>
      </c>
      <c r="Z1239" t="s">
        <v>23</v>
      </c>
    </row>
    <row r="1240" spans="1:26" hidden="1" x14ac:dyDescent="0.2">
      <c r="A1240">
        <v>80</v>
      </c>
      <c r="B1240" t="s">
        <v>33</v>
      </c>
      <c r="C1240" s="10">
        <v>10000073</v>
      </c>
      <c r="D1240" t="b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0.48141252318781041</v>
      </c>
      <c r="P1240">
        <v>0</v>
      </c>
      <c r="Q1240">
        <v>0.40048283664344381</v>
      </c>
      <c r="R1240">
        <v>0</v>
      </c>
      <c r="S1240">
        <v>0.40048283664344381</v>
      </c>
      <c r="T1240">
        <v>0</v>
      </c>
      <c r="U1240">
        <v>0.51858747681218964</v>
      </c>
      <c r="V1240">
        <v>0</v>
      </c>
      <c r="W1240">
        <v>5.2902870106830244</v>
      </c>
      <c r="X1240">
        <v>0.40048283664344381</v>
      </c>
      <c r="Y1240">
        <v>0.51858747681218964</v>
      </c>
      <c r="Z1240" t="s">
        <v>24</v>
      </c>
    </row>
    <row r="1241" spans="1:26" hidden="1" x14ac:dyDescent="0.2">
      <c r="A1241">
        <v>80</v>
      </c>
      <c r="B1241" t="s">
        <v>26</v>
      </c>
      <c r="C1241" s="10">
        <v>10000047</v>
      </c>
      <c r="D1241" t="b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6.6666666666666666E-2</v>
      </c>
      <c r="L1241">
        <v>0</v>
      </c>
      <c r="M1241">
        <v>0</v>
      </c>
      <c r="N1241">
        <v>0</v>
      </c>
      <c r="O1241">
        <v>0.66121541790386917</v>
      </c>
      <c r="P1241">
        <v>0</v>
      </c>
      <c r="Q1241">
        <v>0.33878458209613088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5.7003428980721766</v>
      </c>
      <c r="X1241">
        <v>0.33878458209613088</v>
      </c>
      <c r="Y1241">
        <v>0.66121541790386917</v>
      </c>
      <c r="Z1241" t="s">
        <v>24</v>
      </c>
    </row>
    <row r="1242" spans="1:26" hidden="1" x14ac:dyDescent="0.2">
      <c r="A1242">
        <v>80</v>
      </c>
      <c r="B1242" t="s">
        <v>29</v>
      </c>
      <c r="C1242" s="10">
        <v>10000082</v>
      </c>
      <c r="D1242" t="b">
        <v>1</v>
      </c>
      <c r="F1242">
        <v>0</v>
      </c>
      <c r="G1242">
        <v>0.36666666666666659</v>
      </c>
      <c r="H1242">
        <v>0</v>
      </c>
      <c r="I1242">
        <v>0.6333333333333333</v>
      </c>
      <c r="J1242">
        <v>4.0090341288260327E-2</v>
      </c>
      <c r="W1242">
        <v>4.4583601773109693</v>
      </c>
      <c r="X1242">
        <v>1</v>
      </c>
      <c r="Y1242">
        <v>0.6333333333333333</v>
      </c>
      <c r="Z1242" t="s">
        <v>23</v>
      </c>
    </row>
    <row r="1243" spans="1:26" hidden="1" x14ac:dyDescent="0.2">
      <c r="A1243">
        <v>80</v>
      </c>
      <c r="B1243" t="s">
        <v>29</v>
      </c>
      <c r="C1243" s="10">
        <v>10000033</v>
      </c>
      <c r="D1243" t="b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0.4</v>
      </c>
      <c r="M1243">
        <v>0.30213391292528458</v>
      </c>
      <c r="N1243">
        <v>0</v>
      </c>
      <c r="O1243">
        <v>0</v>
      </c>
      <c r="P1243">
        <v>0.36975211214981851</v>
      </c>
      <c r="Q1243">
        <v>0</v>
      </c>
      <c r="R1243">
        <v>0.30213391292528458</v>
      </c>
      <c r="S1243">
        <v>0</v>
      </c>
      <c r="T1243">
        <v>0.30213391292528458</v>
      </c>
      <c r="U1243">
        <v>0</v>
      </c>
      <c r="V1243">
        <v>0.6</v>
      </c>
      <c r="W1243">
        <v>5.7010661134623968</v>
      </c>
      <c r="X1243">
        <v>0.30213391292528458</v>
      </c>
      <c r="Y1243">
        <v>0.6</v>
      </c>
      <c r="Z1243" t="s">
        <v>24</v>
      </c>
    </row>
    <row r="1244" spans="1:26" hidden="1" x14ac:dyDescent="0.2">
      <c r="A1244">
        <v>80</v>
      </c>
      <c r="B1244" t="s">
        <v>34</v>
      </c>
      <c r="C1244" s="10">
        <v>10000082</v>
      </c>
      <c r="D1244" t="b">
        <v>1</v>
      </c>
      <c r="F1244">
        <v>0</v>
      </c>
      <c r="G1244">
        <v>0.53333333333333333</v>
      </c>
      <c r="H1244">
        <v>0</v>
      </c>
      <c r="I1244">
        <v>0.46666666666666667</v>
      </c>
      <c r="J1244">
        <v>4.0090341288260327E-2</v>
      </c>
      <c r="W1244">
        <v>4.2804786800913277</v>
      </c>
      <c r="X1244">
        <v>1</v>
      </c>
      <c r="Y1244">
        <v>0.53333333333333333</v>
      </c>
      <c r="Z1244" t="s">
        <v>23</v>
      </c>
    </row>
    <row r="1245" spans="1:26" hidden="1" x14ac:dyDescent="0.2">
      <c r="A1245">
        <v>80</v>
      </c>
      <c r="B1245" t="s">
        <v>34</v>
      </c>
      <c r="C1245" s="10">
        <v>10000033</v>
      </c>
      <c r="D1245" t="b">
        <v>0</v>
      </c>
      <c r="E1245">
        <v>0</v>
      </c>
      <c r="F1245">
        <v>3.3333333333333333E-2</v>
      </c>
      <c r="G1245">
        <v>3.3333333333333333E-2</v>
      </c>
      <c r="H1245">
        <v>3.3333333333333333E-2</v>
      </c>
      <c r="I1245">
        <v>3.3333333333333333E-2</v>
      </c>
      <c r="J1245">
        <v>3.3333333333333333E-2</v>
      </c>
      <c r="K1245">
        <v>0</v>
      </c>
      <c r="L1245">
        <v>0.60000000000000009</v>
      </c>
      <c r="M1245">
        <v>0.30213391292528458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5.7010661134623977</v>
      </c>
      <c r="X1245">
        <v>0.30213391292528458</v>
      </c>
      <c r="Y1245">
        <v>0.60000000000000009</v>
      </c>
      <c r="Z1245" t="s">
        <v>24</v>
      </c>
    </row>
    <row r="1246" spans="1:26" hidden="1" x14ac:dyDescent="0.2">
      <c r="A1246">
        <v>80</v>
      </c>
      <c r="B1246" t="s">
        <v>28</v>
      </c>
      <c r="C1246" s="10">
        <v>10000073</v>
      </c>
      <c r="D1246" t="b">
        <v>0</v>
      </c>
      <c r="E1246">
        <v>0.46292236917555402</v>
      </c>
      <c r="F1246">
        <v>0</v>
      </c>
      <c r="G1246">
        <v>0.53707763082444593</v>
      </c>
      <c r="H1246">
        <v>0</v>
      </c>
      <c r="I1246">
        <v>0.17647058823529421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4.0298374925720646</v>
      </c>
      <c r="X1246">
        <v>0.53707763082444593</v>
      </c>
      <c r="Y1246">
        <v>0.17647058823529421</v>
      </c>
      <c r="Z1246" t="s">
        <v>23</v>
      </c>
    </row>
    <row r="1247" spans="1:26" hidden="1" x14ac:dyDescent="0.2">
      <c r="A1247">
        <v>80</v>
      </c>
      <c r="B1247" t="s">
        <v>28</v>
      </c>
      <c r="C1247" s="10">
        <v>10000033</v>
      </c>
      <c r="D1247" t="b">
        <v>0</v>
      </c>
      <c r="E1247">
        <v>0</v>
      </c>
      <c r="F1247">
        <v>0.14285714285714279</v>
      </c>
      <c r="G1247">
        <v>0.14285714285714279</v>
      </c>
      <c r="H1247">
        <v>0.649149060324547</v>
      </c>
      <c r="I1247">
        <v>0.14285714285714279</v>
      </c>
      <c r="J1247">
        <v>0.35085093967545289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6.2128107512064634</v>
      </c>
      <c r="X1247">
        <v>0.14285714285714279</v>
      </c>
      <c r="Y1247">
        <v>0.649149060324547</v>
      </c>
      <c r="Z1247" t="s">
        <v>24</v>
      </c>
    </row>
    <row r="1248" spans="1:26" hidden="1" x14ac:dyDescent="0.2">
      <c r="A1248">
        <v>81</v>
      </c>
      <c r="B1248" t="s">
        <v>34</v>
      </c>
      <c r="C1248" s="10">
        <v>10000033</v>
      </c>
      <c r="D1248" t="b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0.30882977802696898</v>
      </c>
      <c r="Q1248">
        <v>0</v>
      </c>
      <c r="R1248">
        <v>6.3021793062998141E-2</v>
      </c>
      <c r="S1248">
        <v>0</v>
      </c>
      <c r="T1248">
        <v>6.3021793062998141E-2</v>
      </c>
      <c r="U1248">
        <v>0</v>
      </c>
      <c r="V1248">
        <v>0.69117022197303091</v>
      </c>
      <c r="W1248">
        <v>6.4819125691728514</v>
      </c>
      <c r="X1248">
        <v>6.3021793062998141E-2</v>
      </c>
      <c r="Y1248">
        <v>0.69117022197303091</v>
      </c>
      <c r="Z1248" t="s">
        <v>24</v>
      </c>
    </row>
    <row r="1249" spans="1:26" hidden="1" x14ac:dyDescent="0.2">
      <c r="A1249">
        <v>81</v>
      </c>
      <c r="B1249" t="s">
        <v>27</v>
      </c>
      <c r="C1249" s="10">
        <v>10000082</v>
      </c>
      <c r="D1249" t="b">
        <v>1</v>
      </c>
      <c r="F1249">
        <v>0</v>
      </c>
      <c r="G1249">
        <v>0</v>
      </c>
      <c r="H1249">
        <v>0</v>
      </c>
      <c r="I1249">
        <v>0</v>
      </c>
      <c r="J1249">
        <v>0.89447108236400286</v>
      </c>
      <c r="W1249">
        <v>3.1666666666666679</v>
      </c>
      <c r="X1249">
        <v>1</v>
      </c>
      <c r="Y1249">
        <v>0</v>
      </c>
      <c r="Z1249" t="s">
        <v>23</v>
      </c>
    </row>
    <row r="1250" spans="1:26" hidden="1" x14ac:dyDescent="0.2">
      <c r="A1250">
        <v>81</v>
      </c>
      <c r="B1250" t="s">
        <v>27</v>
      </c>
      <c r="C1250" s="10">
        <v>10000073</v>
      </c>
      <c r="D1250" t="b">
        <v>1</v>
      </c>
      <c r="E1250">
        <v>0</v>
      </c>
      <c r="F1250">
        <v>0</v>
      </c>
      <c r="G1250">
        <v>0</v>
      </c>
      <c r="H1250">
        <v>0</v>
      </c>
      <c r="I1250">
        <v>0.55950013530184028</v>
      </c>
      <c r="J1250">
        <v>0.22029498004348841</v>
      </c>
      <c r="W1250">
        <v>5.8710578638643822</v>
      </c>
      <c r="X1250">
        <v>0.22029498004348841</v>
      </c>
      <c r="Y1250">
        <v>0.55950013530184028</v>
      </c>
      <c r="Z1250" t="s">
        <v>24</v>
      </c>
    </row>
    <row r="1251" spans="1:26" hidden="1" x14ac:dyDescent="0.2">
      <c r="A1251">
        <v>81</v>
      </c>
      <c r="B1251" t="s">
        <v>28</v>
      </c>
      <c r="C1251" s="10">
        <v>10000082</v>
      </c>
      <c r="D1251" t="b">
        <v>1</v>
      </c>
      <c r="F1251">
        <v>0</v>
      </c>
      <c r="G1251">
        <v>0</v>
      </c>
      <c r="H1251">
        <v>0</v>
      </c>
      <c r="I1251">
        <v>0</v>
      </c>
      <c r="J1251">
        <v>0.89447108236400286</v>
      </c>
      <c r="W1251">
        <v>3.1666666666666679</v>
      </c>
      <c r="X1251">
        <v>1</v>
      </c>
      <c r="Y1251">
        <v>0</v>
      </c>
      <c r="Z1251" t="s">
        <v>23</v>
      </c>
    </row>
    <row r="1252" spans="1:26" hidden="1" x14ac:dyDescent="0.2">
      <c r="A1252">
        <v>81</v>
      </c>
      <c r="B1252" t="s">
        <v>28</v>
      </c>
      <c r="C1252" s="10">
        <v>10000033</v>
      </c>
      <c r="D1252" t="b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0.31687165855349791</v>
      </c>
      <c r="Q1252">
        <v>0.31687165855349791</v>
      </c>
      <c r="R1252">
        <v>7.2941695558156661E-2</v>
      </c>
      <c r="S1252">
        <v>0</v>
      </c>
      <c r="T1252">
        <v>7.2941695558156661E-2</v>
      </c>
      <c r="U1252">
        <v>0</v>
      </c>
      <c r="V1252">
        <v>0.66666666666666652</v>
      </c>
      <c r="W1252">
        <v>5.7633296578781783</v>
      </c>
      <c r="X1252">
        <v>0.31687165855349791</v>
      </c>
      <c r="Y1252">
        <v>0.66666666666666652</v>
      </c>
      <c r="Z1252" t="s">
        <v>24</v>
      </c>
    </row>
    <row r="1253" spans="1:26" hidden="1" x14ac:dyDescent="0.2">
      <c r="A1253">
        <v>81</v>
      </c>
      <c r="B1253" t="s">
        <v>26</v>
      </c>
      <c r="C1253" s="10">
        <v>10000033</v>
      </c>
      <c r="D1253" t="b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0.33140456322316081</v>
      </c>
      <c r="Q1253">
        <v>0</v>
      </c>
      <c r="R1253">
        <v>0.1447419119339694</v>
      </c>
      <c r="S1253">
        <v>0</v>
      </c>
      <c r="T1253">
        <v>0.1447419119339694</v>
      </c>
      <c r="U1253">
        <v>0</v>
      </c>
      <c r="V1253">
        <v>0.66859543677683919</v>
      </c>
      <c r="W1253">
        <v>6.2277804241553678</v>
      </c>
      <c r="X1253">
        <v>0.1447419119339694</v>
      </c>
      <c r="Y1253">
        <v>0.66859543677683919</v>
      </c>
      <c r="Z1253" t="s">
        <v>24</v>
      </c>
    </row>
    <row r="1254" spans="1:26" hidden="1" x14ac:dyDescent="0.2">
      <c r="A1254">
        <v>81</v>
      </c>
      <c r="B1254" t="s">
        <v>35</v>
      </c>
      <c r="C1254" s="10">
        <v>10000047</v>
      </c>
      <c r="D1254" t="b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0.76224312801320893</v>
      </c>
      <c r="P1254">
        <v>0</v>
      </c>
      <c r="Q1254">
        <v>0.23775687198679099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6.0827636216864391</v>
      </c>
      <c r="X1254">
        <v>0.23775687198679099</v>
      </c>
      <c r="Y1254">
        <v>0.76224312801320893</v>
      </c>
      <c r="Z1254" t="s">
        <v>24</v>
      </c>
    </row>
    <row r="1255" spans="1:26" hidden="1" x14ac:dyDescent="0.2">
      <c r="A1255">
        <v>81</v>
      </c>
      <c r="B1255" t="s">
        <v>32</v>
      </c>
      <c r="C1255" s="10">
        <v>10000033</v>
      </c>
      <c r="D1255" t="b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0.33572099975208031</v>
      </c>
      <c r="Q1255">
        <v>0</v>
      </c>
      <c r="R1255">
        <v>0.1493927108461644</v>
      </c>
      <c r="S1255">
        <v>0</v>
      </c>
      <c r="T1255">
        <v>0.1493927108461644</v>
      </c>
      <c r="U1255">
        <v>0</v>
      </c>
      <c r="V1255">
        <v>0.66427900024791975</v>
      </c>
      <c r="W1255">
        <v>6.2100846840100452</v>
      </c>
      <c r="X1255">
        <v>0.1493927108461644</v>
      </c>
      <c r="Y1255">
        <v>0.66427900024791975</v>
      </c>
      <c r="Z1255" t="s">
        <v>24</v>
      </c>
    </row>
    <row r="1256" spans="1:26" hidden="1" x14ac:dyDescent="0.2">
      <c r="A1256">
        <v>81</v>
      </c>
      <c r="B1256" t="s">
        <v>33</v>
      </c>
      <c r="C1256" s="10">
        <v>10000033</v>
      </c>
      <c r="D1256" t="b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0.33402128162525968</v>
      </c>
      <c r="Q1256">
        <v>0</v>
      </c>
      <c r="R1256">
        <v>0.19469927830920131</v>
      </c>
      <c r="S1256">
        <v>0</v>
      </c>
      <c r="T1256">
        <v>0.19469927830920131</v>
      </c>
      <c r="U1256">
        <v>0</v>
      </c>
      <c r="V1256">
        <v>0.66597871837474021</v>
      </c>
      <c r="W1256">
        <v>6.0852911605708044</v>
      </c>
      <c r="X1256">
        <v>0.19469927830920131</v>
      </c>
      <c r="Y1256">
        <v>0.66597871837474021</v>
      </c>
      <c r="Z1256" t="s">
        <v>24</v>
      </c>
    </row>
    <row r="1257" spans="1:26" hidden="1" x14ac:dyDescent="0.2">
      <c r="A1257">
        <v>81</v>
      </c>
      <c r="B1257" t="s">
        <v>31</v>
      </c>
      <c r="C1257" s="10">
        <v>10000033</v>
      </c>
      <c r="D1257" t="b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0.33686898127635578</v>
      </c>
      <c r="Q1257">
        <v>0</v>
      </c>
      <c r="R1257">
        <v>0.19469927830920131</v>
      </c>
      <c r="S1257">
        <v>0</v>
      </c>
      <c r="T1257">
        <v>0.19469927830920131</v>
      </c>
      <c r="U1257">
        <v>0</v>
      </c>
      <c r="V1257">
        <v>0.66313101872364411</v>
      </c>
      <c r="W1257">
        <v>6.0819434194493551</v>
      </c>
      <c r="X1257">
        <v>0.19469927830920131</v>
      </c>
      <c r="Y1257">
        <v>0.66313101872364411</v>
      </c>
      <c r="Z1257" t="s">
        <v>24</v>
      </c>
    </row>
    <row r="1258" spans="1:26" hidden="1" x14ac:dyDescent="0.2">
      <c r="A1258">
        <v>81</v>
      </c>
      <c r="B1258" t="s">
        <v>30</v>
      </c>
      <c r="C1258" s="10">
        <v>10000033</v>
      </c>
      <c r="D1258" t="b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0.33841447553022058</v>
      </c>
      <c r="Q1258">
        <v>0</v>
      </c>
      <c r="R1258">
        <v>0.19613286846810221</v>
      </c>
      <c r="S1258">
        <v>0</v>
      </c>
      <c r="T1258">
        <v>0.19613286846810221</v>
      </c>
      <c r="U1258">
        <v>0</v>
      </c>
      <c r="V1258">
        <v>0.66158552446977936</v>
      </c>
      <c r="W1258">
        <v>6.0761596680248777</v>
      </c>
      <c r="X1258">
        <v>0.19613286846810221</v>
      </c>
      <c r="Y1258">
        <v>0.66158552446977936</v>
      </c>
      <c r="Z1258" t="s">
        <v>24</v>
      </c>
    </row>
    <row r="1259" spans="1:26" hidden="1" x14ac:dyDescent="0.2">
      <c r="A1259">
        <v>81</v>
      </c>
      <c r="B1259" t="s">
        <v>29</v>
      </c>
      <c r="C1259" s="10">
        <v>10000073</v>
      </c>
      <c r="D1259" t="b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0.53606997768452935</v>
      </c>
      <c r="L1259">
        <v>0</v>
      </c>
      <c r="M1259">
        <v>0</v>
      </c>
      <c r="N1259">
        <v>0</v>
      </c>
      <c r="O1259">
        <v>3.3333333333333333E-2</v>
      </c>
      <c r="P1259">
        <v>0</v>
      </c>
      <c r="Q1259">
        <v>3.3333333333333333E-2</v>
      </c>
      <c r="R1259">
        <v>0</v>
      </c>
      <c r="S1259">
        <v>3.3333333333333333E-2</v>
      </c>
      <c r="T1259">
        <v>0</v>
      </c>
      <c r="U1259">
        <v>3.3333333333333333E-2</v>
      </c>
      <c r="V1259">
        <v>0</v>
      </c>
      <c r="W1259">
        <v>3.546143568816809</v>
      </c>
      <c r="X1259">
        <v>0.53606997768452935</v>
      </c>
      <c r="Y1259">
        <v>3.3333333333333333E-2</v>
      </c>
      <c r="Z1259" t="s">
        <v>23</v>
      </c>
    </row>
    <row r="1260" spans="1:26" hidden="1" x14ac:dyDescent="0.2">
      <c r="A1260">
        <v>81</v>
      </c>
      <c r="B1260" t="s">
        <v>29</v>
      </c>
      <c r="C1260" s="10">
        <v>10000047</v>
      </c>
      <c r="D1260" t="b">
        <v>0</v>
      </c>
      <c r="E1260">
        <v>0.5</v>
      </c>
      <c r="F1260">
        <v>0</v>
      </c>
      <c r="G1260">
        <v>0</v>
      </c>
      <c r="H1260">
        <v>0</v>
      </c>
      <c r="I1260">
        <v>0.5</v>
      </c>
      <c r="J1260">
        <v>0</v>
      </c>
      <c r="K1260">
        <v>0.43333333333333329</v>
      </c>
      <c r="L1260">
        <v>0.43333333333333329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5.0025004164584352</v>
      </c>
      <c r="X1260">
        <v>0.5</v>
      </c>
      <c r="Y1260">
        <v>0.5</v>
      </c>
      <c r="Z1260" t="s">
        <v>23</v>
      </c>
    </row>
    <row r="1261" spans="1:26" hidden="1" x14ac:dyDescent="0.2">
      <c r="A1261">
        <v>81</v>
      </c>
      <c r="B1261" t="s">
        <v>29</v>
      </c>
      <c r="C1261" s="10">
        <v>10000082</v>
      </c>
      <c r="D1261" t="b">
        <v>1</v>
      </c>
      <c r="F1261">
        <v>0</v>
      </c>
      <c r="G1261">
        <v>0.96666666666666667</v>
      </c>
      <c r="H1261">
        <v>0</v>
      </c>
      <c r="I1261">
        <v>0</v>
      </c>
      <c r="J1261">
        <v>0</v>
      </c>
      <c r="W1261">
        <v>4.9601156013752314</v>
      </c>
      <c r="X1261">
        <v>1</v>
      </c>
      <c r="Y1261">
        <v>0.96666666666666667</v>
      </c>
      <c r="Z1261" t="s">
        <v>23</v>
      </c>
    </row>
    <row r="1262" spans="1:26" hidden="1" x14ac:dyDescent="0.2">
      <c r="A1262">
        <v>81</v>
      </c>
      <c r="B1262" t="s">
        <v>29</v>
      </c>
      <c r="C1262" s="10">
        <v>10000033</v>
      </c>
      <c r="D1262" t="b">
        <v>0</v>
      </c>
      <c r="E1262">
        <v>0</v>
      </c>
      <c r="F1262">
        <v>0</v>
      </c>
      <c r="G1262">
        <v>0</v>
      </c>
      <c r="H1262">
        <v>0.65866146571888018</v>
      </c>
      <c r="I1262">
        <v>0</v>
      </c>
      <c r="J1262">
        <v>0.34133853428111988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6.6472579550650739</v>
      </c>
      <c r="X1262">
        <v>0</v>
      </c>
      <c r="Y1262">
        <v>0.65866146571888018</v>
      </c>
      <c r="Z1262" t="s">
        <v>24</v>
      </c>
    </row>
    <row r="1263" spans="1:26" hidden="1" x14ac:dyDescent="0.2">
      <c r="A1263">
        <v>82</v>
      </c>
      <c r="B1263" t="s">
        <v>30</v>
      </c>
      <c r="C1263" s="10">
        <v>10000033</v>
      </c>
      <c r="D1263" t="b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0.30882977802696898</v>
      </c>
      <c r="Q1263">
        <v>0</v>
      </c>
      <c r="R1263">
        <v>0.105005569954956</v>
      </c>
      <c r="S1263">
        <v>0</v>
      </c>
      <c r="T1263">
        <v>0.105005569954956</v>
      </c>
      <c r="U1263">
        <v>0</v>
      </c>
      <c r="V1263">
        <v>0.69117022197303091</v>
      </c>
      <c r="W1263">
        <v>6.3620482606805107</v>
      </c>
      <c r="X1263">
        <v>0.105005569954956</v>
      </c>
      <c r="Y1263">
        <v>0.69117022197303091</v>
      </c>
      <c r="Z1263" t="s">
        <v>24</v>
      </c>
    </row>
    <row r="1264" spans="1:26" hidden="1" x14ac:dyDescent="0.2">
      <c r="A1264">
        <v>82</v>
      </c>
      <c r="B1264" t="s">
        <v>27</v>
      </c>
      <c r="C1264" s="10">
        <v>10000033</v>
      </c>
      <c r="D1264" t="b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0.301786818452352</v>
      </c>
      <c r="Q1264">
        <v>0.301786818452352</v>
      </c>
      <c r="R1264">
        <v>0.11896186607342681</v>
      </c>
      <c r="S1264">
        <v>0</v>
      </c>
      <c r="T1264">
        <v>0.11896186607342681</v>
      </c>
      <c r="U1264">
        <v>0</v>
      </c>
      <c r="V1264">
        <v>0.60000000000000009</v>
      </c>
      <c r="W1264">
        <v>5.7020012866858467</v>
      </c>
      <c r="X1264">
        <v>0.301786818452352</v>
      </c>
      <c r="Y1264">
        <v>0.60000000000000009</v>
      </c>
      <c r="Z1264" t="s">
        <v>24</v>
      </c>
    </row>
    <row r="1265" spans="1:26" hidden="1" x14ac:dyDescent="0.2">
      <c r="A1265">
        <v>82</v>
      </c>
      <c r="B1265" t="s">
        <v>28</v>
      </c>
      <c r="C1265" s="10">
        <v>10000047</v>
      </c>
      <c r="D1265" t="b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0.77169722763046389</v>
      </c>
      <c r="P1265">
        <v>0</v>
      </c>
      <c r="Q1265">
        <v>0.22830277236953611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6.1165422067103048</v>
      </c>
      <c r="X1265">
        <v>0.22830277236953611</v>
      </c>
      <c r="Y1265">
        <v>0.77169722763046389</v>
      </c>
      <c r="Z1265" t="s">
        <v>24</v>
      </c>
    </row>
    <row r="1266" spans="1:26" hidden="1" x14ac:dyDescent="0.2">
      <c r="A1266">
        <v>82</v>
      </c>
      <c r="B1266" t="s">
        <v>29</v>
      </c>
      <c r="C1266" s="10">
        <v>10000047</v>
      </c>
      <c r="D1266" t="b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0.77169722763046389</v>
      </c>
      <c r="P1266">
        <v>0</v>
      </c>
      <c r="Q1266">
        <v>0.22830277236953611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6.1165422067103048</v>
      </c>
      <c r="X1266">
        <v>0.22830277236953611</v>
      </c>
      <c r="Y1266">
        <v>0.77169722763046389</v>
      </c>
      <c r="Z1266" t="s">
        <v>24</v>
      </c>
    </row>
    <row r="1267" spans="1:26" hidden="1" x14ac:dyDescent="0.2">
      <c r="A1267">
        <v>82</v>
      </c>
      <c r="B1267" t="s">
        <v>34</v>
      </c>
      <c r="C1267" s="10">
        <v>10000073</v>
      </c>
      <c r="D1267" t="b">
        <v>1</v>
      </c>
      <c r="E1267">
        <v>0</v>
      </c>
      <c r="F1267">
        <v>0</v>
      </c>
      <c r="G1267">
        <v>0</v>
      </c>
      <c r="H1267">
        <v>0</v>
      </c>
      <c r="I1267">
        <v>0.57491047112274796</v>
      </c>
      <c r="J1267">
        <v>0.31945875971348892</v>
      </c>
      <c r="W1267">
        <v>5.612960402520172</v>
      </c>
      <c r="X1267">
        <v>0.31945875971348892</v>
      </c>
      <c r="Y1267">
        <v>0.57491047112274796</v>
      </c>
      <c r="Z1267" t="s">
        <v>24</v>
      </c>
    </row>
    <row r="1268" spans="1:26" hidden="1" x14ac:dyDescent="0.2">
      <c r="A1268">
        <v>82</v>
      </c>
      <c r="B1268" t="s">
        <v>35</v>
      </c>
      <c r="C1268" s="10">
        <v>10000073</v>
      </c>
      <c r="D1268" t="b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0.41826870845086178</v>
      </c>
      <c r="P1268">
        <v>0</v>
      </c>
      <c r="Q1268">
        <v>0.37179844829949982</v>
      </c>
      <c r="R1268">
        <v>0</v>
      </c>
      <c r="S1268">
        <v>0.37179844829949982</v>
      </c>
      <c r="T1268">
        <v>0</v>
      </c>
      <c r="U1268">
        <v>0.58173129154913816</v>
      </c>
      <c r="V1268">
        <v>0</v>
      </c>
      <c r="W1268">
        <v>5.4869416237275832</v>
      </c>
      <c r="X1268">
        <v>0.37179844829949982</v>
      </c>
      <c r="Y1268">
        <v>0.58173129154913816</v>
      </c>
      <c r="Z1268" t="s">
        <v>24</v>
      </c>
    </row>
    <row r="1269" spans="1:26" hidden="1" x14ac:dyDescent="0.2">
      <c r="A1269">
        <v>82</v>
      </c>
      <c r="B1269" t="s">
        <v>26</v>
      </c>
      <c r="C1269" s="10">
        <v>10000033</v>
      </c>
      <c r="D1269" t="b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0.27538333716346952</v>
      </c>
      <c r="Q1269">
        <v>0.23076923076923081</v>
      </c>
      <c r="R1269">
        <v>0.23695972583383071</v>
      </c>
      <c r="S1269">
        <v>0</v>
      </c>
      <c r="T1269">
        <v>0.23695972583383071</v>
      </c>
      <c r="U1269">
        <v>0</v>
      </c>
      <c r="V1269">
        <v>0.72461666283653059</v>
      </c>
      <c r="W1269">
        <v>6.0419345585382844</v>
      </c>
      <c r="X1269">
        <v>0.23695972583383071</v>
      </c>
      <c r="Y1269">
        <v>0.72461666283653059</v>
      </c>
      <c r="Z1269" t="s">
        <v>24</v>
      </c>
    </row>
    <row r="1270" spans="1:26" hidden="1" x14ac:dyDescent="0.2">
      <c r="A1270">
        <v>82</v>
      </c>
      <c r="B1270" t="s">
        <v>32</v>
      </c>
      <c r="C1270" s="10">
        <v>10000073</v>
      </c>
      <c r="D1270" t="b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0.40871622166753813</v>
      </c>
      <c r="P1270">
        <v>0</v>
      </c>
      <c r="Q1270">
        <v>0.37179844829949982</v>
      </c>
      <c r="R1270">
        <v>0</v>
      </c>
      <c r="S1270">
        <v>0.37179844829949982</v>
      </c>
      <c r="T1270">
        <v>0</v>
      </c>
      <c r="U1270">
        <v>0.59128377833246193</v>
      </c>
      <c r="V1270">
        <v>0</v>
      </c>
      <c r="W1270">
        <v>5.5038828743584958</v>
      </c>
      <c r="X1270">
        <v>0.37179844829949982</v>
      </c>
      <c r="Y1270">
        <v>0.59128377833246193</v>
      </c>
      <c r="Z1270" t="s">
        <v>24</v>
      </c>
    </row>
    <row r="1271" spans="1:26" hidden="1" x14ac:dyDescent="0.2">
      <c r="A1271">
        <v>82</v>
      </c>
      <c r="B1271" t="s">
        <v>31</v>
      </c>
      <c r="C1271" s="10">
        <v>10000033</v>
      </c>
      <c r="D1271" t="b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0.28266171512722049</v>
      </c>
      <c r="R1271">
        <v>0</v>
      </c>
      <c r="S1271">
        <v>0.10526315789473691</v>
      </c>
      <c r="T1271">
        <v>0.2750089320592497</v>
      </c>
      <c r="U1271">
        <v>0</v>
      </c>
      <c r="V1271">
        <v>0.7173382848727794</v>
      </c>
      <c r="W1271">
        <v>5.9176997985299638</v>
      </c>
      <c r="X1271">
        <v>0.28266171512722049</v>
      </c>
      <c r="Y1271">
        <v>0.7173382848727794</v>
      </c>
      <c r="Z1271" t="s">
        <v>24</v>
      </c>
    </row>
    <row r="1272" spans="1:26" hidden="1" x14ac:dyDescent="0.2">
      <c r="A1272">
        <v>82</v>
      </c>
      <c r="B1272" t="s">
        <v>33</v>
      </c>
      <c r="C1272" s="10">
        <v>10000033</v>
      </c>
      <c r="D1272" t="b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9.5238095238095344E-2</v>
      </c>
      <c r="Q1272">
        <v>0.28667271570428982</v>
      </c>
      <c r="R1272">
        <v>9.5238095238095344E-2</v>
      </c>
      <c r="S1272">
        <v>0</v>
      </c>
      <c r="T1272">
        <v>0.27527647115411308</v>
      </c>
      <c r="U1272">
        <v>0</v>
      </c>
      <c r="V1272">
        <v>0.71332728429571013</v>
      </c>
      <c r="W1272">
        <v>5.9025784813755688</v>
      </c>
      <c r="X1272">
        <v>0.28667271570428982</v>
      </c>
      <c r="Y1272">
        <v>0.71332728429571013</v>
      </c>
      <c r="Z1272" t="s">
        <v>24</v>
      </c>
    </row>
    <row r="1273" spans="1:26" hidden="1" x14ac:dyDescent="0.2">
      <c r="A1273">
        <v>83</v>
      </c>
      <c r="B1273" t="s">
        <v>29</v>
      </c>
      <c r="C1273" s="10">
        <v>10000047</v>
      </c>
      <c r="D1273" t="b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0.78548069286931699</v>
      </c>
      <c r="P1273">
        <v>0</v>
      </c>
      <c r="Q1273">
        <v>0.21451930713068301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6.1651901939650493</v>
      </c>
      <c r="X1273">
        <v>0.21451930713068301</v>
      </c>
      <c r="Y1273">
        <v>0.78548069286931699</v>
      </c>
      <c r="Z1273" t="s">
        <v>24</v>
      </c>
    </row>
    <row r="1274" spans="1:26" hidden="1" x14ac:dyDescent="0.2">
      <c r="A1274">
        <v>83</v>
      </c>
      <c r="B1274" t="s">
        <v>35</v>
      </c>
      <c r="C1274" s="10">
        <v>10000033</v>
      </c>
      <c r="D1274" t="b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0.32551212672553181</v>
      </c>
      <c r="Q1274">
        <v>0</v>
      </c>
      <c r="R1274">
        <v>0.1018887276331754</v>
      </c>
      <c r="S1274">
        <v>0</v>
      </c>
      <c r="T1274">
        <v>0.1018887276331754</v>
      </c>
      <c r="U1274">
        <v>0</v>
      </c>
      <c r="V1274">
        <v>0.67448787327446824</v>
      </c>
      <c r="W1274">
        <v>6.355932313148517</v>
      </c>
      <c r="X1274">
        <v>0.1018887276331754</v>
      </c>
      <c r="Y1274">
        <v>0.67448787327446824</v>
      </c>
      <c r="Z1274" t="s">
        <v>24</v>
      </c>
    </row>
    <row r="1275" spans="1:26" hidden="1" x14ac:dyDescent="0.2">
      <c r="A1275">
        <v>83</v>
      </c>
      <c r="B1275" t="s">
        <v>28</v>
      </c>
      <c r="C1275" s="10">
        <v>10000047</v>
      </c>
      <c r="D1275" t="b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0.77997057916297552</v>
      </c>
      <c r="P1275">
        <v>0</v>
      </c>
      <c r="Q1275">
        <v>0.22002942083702451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6.1458279488826486</v>
      </c>
      <c r="X1275">
        <v>0.22002942083702451</v>
      </c>
      <c r="Y1275">
        <v>0.77997057916297552</v>
      </c>
      <c r="Z1275" t="s">
        <v>24</v>
      </c>
    </row>
    <row r="1276" spans="1:26" hidden="1" x14ac:dyDescent="0.2">
      <c r="A1276">
        <v>83</v>
      </c>
      <c r="B1276" t="s">
        <v>32</v>
      </c>
      <c r="C1276" s="10">
        <v>10000033</v>
      </c>
      <c r="D1276" t="b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0.32933573231479057</v>
      </c>
      <c r="Q1276">
        <v>0</v>
      </c>
      <c r="R1276">
        <v>0.10339951232510849</v>
      </c>
      <c r="S1276">
        <v>0</v>
      </c>
      <c r="T1276">
        <v>0.10339951232510849</v>
      </c>
      <c r="U1276">
        <v>0</v>
      </c>
      <c r="V1276">
        <v>0.67066426768520937</v>
      </c>
      <c r="W1276">
        <v>6.3481019731553037</v>
      </c>
      <c r="X1276">
        <v>0.10339951232510849</v>
      </c>
      <c r="Y1276">
        <v>0.67066426768520937</v>
      </c>
      <c r="Z1276" t="s">
        <v>24</v>
      </c>
    </row>
    <row r="1277" spans="1:26" hidden="1" x14ac:dyDescent="0.2">
      <c r="A1277">
        <v>83</v>
      </c>
      <c r="B1277" t="s">
        <v>26</v>
      </c>
      <c r="C1277" s="10">
        <v>10000082</v>
      </c>
      <c r="D1277" t="b">
        <v>1</v>
      </c>
      <c r="F1277">
        <v>0</v>
      </c>
      <c r="G1277">
        <v>0</v>
      </c>
      <c r="H1277">
        <v>0</v>
      </c>
      <c r="I1277">
        <v>1</v>
      </c>
      <c r="J1277">
        <v>0</v>
      </c>
      <c r="W1277">
        <v>5.0025004164584352</v>
      </c>
      <c r="X1277">
        <v>1</v>
      </c>
      <c r="Y1277">
        <v>1</v>
      </c>
      <c r="Z1277" t="s">
        <v>23</v>
      </c>
    </row>
    <row r="1278" spans="1:26" hidden="1" x14ac:dyDescent="0.2">
      <c r="A1278">
        <v>83</v>
      </c>
      <c r="B1278" t="s">
        <v>31</v>
      </c>
      <c r="C1278" s="10">
        <v>10000082</v>
      </c>
      <c r="D1278" t="b">
        <v>1</v>
      </c>
      <c r="F1278">
        <v>0</v>
      </c>
      <c r="G1278">
        <v>0</v>
      </c>
      <c r="H1278">
        <v>0</v>
      </c>
      <c r="I1278">
        <v>1</v>
      </c>
      <c r="J1278">
        <v>0</v>
      </c>
      <c r="W1278">
        <v>5.0025004164584352</v>
      </c>
      <c r="X1278">
        <v>1</v>
      </c>
      <c r="Y1278">
        <v>1</v>
      </c>
      <c r="Z1278" t="s">
        <v>23</v>
      </c>
    </row>
    <row r="1279" spans="1:26" hidden="1" x14ac:dyDescent="0.2">
      <c r="A1279">
        <v>83</v>
      </c>
      <c r="B1279" t="s">
        <v>31</v>
      </c>
      <c r="C1279" s="10">
        <v>10000033</v>
      </c>
      <c r="D1279" t="b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0.33820458720846791</v>
      </c>
      <c r="Q1279">
        <v>0</v>
      </c>
      <c r="R1279">
        <v>0.1106312715950292</v>
      </c>
      <c r="S1279">
        <v>0</v>
      </c>
      <c r="T1279">
        <v>0.1106312715950292</v>
      </c>
      <c r="U1279">
        <v>0</v>
      </c>
      <c r="V1279">
        <v>0.66179541279153209</v>
      </c>
      <c r="W1279">
        <v>6.3189074920328698</v>
      </c>
      <c r="X1279">
        <v>0.1106312715950292</v>
      </c>
      <c r="Y1279">
        <v>0.66179541279153209</v>
      </c>
      <c r="Z1279" t="s">
        <v>24</v>
      </c>
    </row>
    <row r="1280" spans="1:26" hidden="1" x14ac:dyDescent="0.2">
      <c r="A1280">
        <v>83</v>
      </c>
      <c r="B1280" t="s">
        <v>26</v>
      </c>
      <c r="C1280" s="10">
        <v>10000033</v>
      </c>
      <c r="D1280" t="b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0.35670969192008961</v>
      </c>
      <c r="Q1280">
        <v>0</v>
      </c>
      <c r="R1280">
        <v>0.1106312715950292</v>
      </c>
      <c r="S1280">
        <v>0</v>
      </c>
      <c r="T1280">
        <v>0.1106312715950292</v>
      </c>
      <c r="U1280">
        <v>0</v>
      </c>
      <c r="V1280">
        <v>0.64329030807991039</v>
      </c>
      <c r="W1280">
        <v>6.3012121471176679</v>
      </c>
      <c r="X1280">
        <v>0.1106312715950292</v>
      </c>
      <c r="Y1280">
        <v>0.64329030807991039</v>
      </c>
      <c r="Z1280" t="s">
        <v>24</v>
      </c>
    </row>
    <row r="1281" spans="1:26" hidden="1" x14ac:dyDescent="0.2">
      <c r="A1281">
        <v>83</v>
      </c>
      <c r="B1281" t="s">
        <v>34</v>
      </c>
      <c r="C1281" s="10">
        <v>10000033</v>
      </c>
      <c r="D1281" t="b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0.64040139432180521</v>
      </c>
      <c r="M1281">
        <v>0.11397101262653669</v>
      </c>
      <c r="N1281">
        <v>0</v>
      </c>
      <c r="O1281">
        <v>0</v>
      </c>
      <c r="P1281">
        <v>0.33333333333333331</v>
      </c>
      <c r="Q1281">
        <v>0</v>
      </c>
      <c r="R1281">
        <v>0.11397101262653669</v>
      </c>
      <c r="S1281">
        <v>0</v>
      </c>
      <c r="T1281">
        <v>0.11397101262653669</v>
      </c>
      <c r="U1281">
        <v>0</v>
      </c>
      <c r="V1281">
        <v>0.33333333333333331</v>
      </c>
      <c r="W1281">
        <v>6.2884896346119561</v>
      </c>
      <c r="X1281">
        <v>0.11397101262653669</v>
      </c>
      <c r="Y1281">
        <v>0.64040139432180521</v>
      </c>
      <c r="Z1281" t="s">
        <v>24</v>
      </c>
    </row>
    <row r="1282" spans="1:26" hidden="1" x14ac:dyDescent="0.2">
      <c r="A1282">
        <v>83</v>
      </c>
      <c r="B1282" t="s">
        <v>27</v>
      </c>
      <c r="C1282" s="10">
        <v>10000073</v>
      </c>
      <c r="D1282" t="b">
        <v>1</v>
      </c>
      <c r="E1282">
        <v>0</v>
      </c>
      <c r="F1282">
        <v>0</v>
      </c>
      <c r="G1282">
        <v>0.52133465135018209</v>
      </c>
      <c r="H1282">
        <v>0</v>
      </c>
      <c r="I1282">
        <v>0</v>
      </c>
      <c r="J1282">
        <v>0</v>
      </c>
      <c r="W1282">
        <v>6.5680105854619866</v>
      </c>
      <c r="X1282">
        <v>0</v>
      </c>
      <c r="Y1282">
        <v>0.52133465135018209</v>
      </c>
      <c r="Z1282" t="s">
        <v>24</v>
      </c>
    </row>
    <row r="1283" spans="1:26" hidden="1" x14ac:dyDescent="0.2">
      <c r="A1283">
        <v>83</v>
      </c>
      <c r="B1283" t="s">
        <v>30</v>
      </c>
      <c r="C1283" s="10">
        <v>10000033</v>
      </c>
      <c r="D1283" t="b">
        <v>0</v>
      </c>
      <c r="E1283">
        <v>0</v>
      </c>
      <c r="F1283">
        <v>0</v>
      </c>
      <c r="G1283">
        <v>0</v>
      </c>
      <c r="H1283">
        <v>0.62142828252797411</v>
      </c>
      <c r="I1283">
        <v>0</v>
      </c>
      <c r="J1283">
        <v>0.37857171747202589</v>
      </c>
      <c r="K1283">
        <v>0</v>
      </c>
      <c r="L1283">
        <v>0.1</v>
      </c>
      <c r="M1283">
        <v>0.1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6.3121224756200034</v>
      </c>
      <c r="X1283">
        <v>0.1</v>
      </c>
      <c r="Y1283">
        <v>0.62142828252797411</v>
      </c>
      <c r="Z1283" t="s">
        <v>24</v>
      </c>
    </row>
    <row r="1284" spans="1:26" hidden="1" x14ac:dyDescent="0.2">
      <c r="A1284">
        <v>83</v>
      </c>
      <c r="B1284" t="s">
        <v>33</v>
      </c>
      <c r="C1284" s="10">
        <v>10000047</v>
      </c>
      <c r="D1284" t="b">
        <v>0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3.1666666666666679</v>
      </c>
      <c r="X1284">
        <v>1</v>
      </c>
      <c r="Y1284">
        <v>0</v>
      </c>
      <c r="Z1284" t="s">
        <v>23</v>
      </c>
    </row>
    <row r="1285" spans="1:26" hidden="1" x14ac:dyDescent="0.2">
      <c r="A1285">
        <v>83</v>
      </c>
      <c r="B1285" t="s">
        <v>33</v>
      </c>
      <c r="C1285" s="10">
        <v>10000082</v>
      </c>
      <c r="D1285" t="b">
        <v>1</v>
      </c>
      <c r="F1285">
        <v>0</v>
      </c>
      <c r="G1285">
        <v>1</v>
      </c>
      <c r="H1285">
        <v>0</v>
      </c>
      <c r="I1285">
        <v>0</v>
      </c>
      <c r="J1285">
        <v>0</v>
      </c>
      <c r="W1285">
        <v>5.0025004164584352</v>
      </c>
      <c r="X1285">
        <v>1</v>
      </c>
      <c r="Y1285">
        <v>1</v>
      </c>
      <c r="Z1285" t="s">
        <v>23</v>
      </c>
    </row>
    <row r="1286" spans="1:26" hidden="1" x14ac:dyDescent="0.2">
      <c r="A1286">
        <v>83</v>
      </c>
      <c r="B1286" t="s">
        <v>33</v>
      </c>
      <c r="C1286" s="10">
        <v>10000033</v>
      </c>
      <c r="D1286" t="b">
        <v>0</v>
      </c>
      <c r="E1286">
        <v>0</v>
      </c>
      <c r="F1286">
        <v>0</v>
      </c>
      <c r="G1286">
        <v>0</v>
      </c>
      <c r="H1286">
        <v>0.61120953824955393</v>
      </c>
      <c r="I1286">
        <v>0</v>
      </c>
      <c r="J1286">
        <v>0.38879046175044613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6.6200766113044844</v>
      </c>
      <c r="X1286">
        <v>0</v>
      </c>
      <c r="Y1286">
        <v>0.61120953824955393</v>
      </c>
      <c r="Z1286" t="s">
        <v>24</v>
      </c>
    </row>
    <row r="1287" spans="1:26" hidden="1" x14ac:dyDescent="0.2">
      <c r="A1287">
        <v>84</v>
      </c>
      <c r="B1287" t="s">
        <v>35</v>
      </c>
      <c r="C1287" s="10">
        <v>10000033</v>
      </c>
      <c r="D1287" t="b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0.30882977802696898</v>
      </c>
      <c r="Q1287">
        <v>0</v>
      </c>
      <c r="R1287">
        <v>3.9404571075313637E-2</v>
      </c>
      <c r="S1287">
        <v>0</v>
      </c>
      <c r="T1287">
        <v>3.9404571075313637E-2</v>
      </c>
      <c r="U1287">
        <v>0</v>
      </c>
      <c r="V1287">
        <v>0.69117022197303091</v>
      </c>
      <c r="W1287">
        <v>6.5502961484419089</v>
      </c>
      <c r="X1287">
        <v>3.9404571075313637E-2</v>
      </c>
      <c r="Y1287">
        <v>0.69117022197303091</v>
      </c>
      <c r="Z1287" t="s">
        <v>24</v>
      </c>
    </row>
    <row r="1288" spans="1:26" hidden="1" x14ac:dyDescent="0.2">
      <c r="A1288">
        <v>84</v>
      </c>
      <c r="B1288" t="s">
        <v>30</v>
      </c>
      <c r="C1288" s="10">
        <v>10000033</v>
      </c>
      <c r="D1288" t="b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0.32054071721606597</v>
      </c>
      <c r="Q1288">
        <v>0</v>
      </c>
      <c r="R1288">
        <v>0.13212745997343789</v>
      </c>
      <c r="S1288">
        <v>0</v>
      </c>
      <c r="T1288">
        <v>0.13212745997343789</v>
      </c>
      <c r="U1288">
        <v>0</v>
      </c>
      <c r="V1288">
        <v>0.67945928278393397</v>
      </c>
      <c r="W1288">
        <v>6.2744198782868184</v>
      </c>
      <c r="X1288">
        <v>0.13212745997343789</v>
      </c>
      <c r="Y1288">
        <v>0.67945928278393397</v>
      </c>
      <c r="Z1288" t="s">
        <v>24</v>
      </c>
    </row>
    <row r="1289" spans="1:26" hidden="1" x14ac:dyDescent="0.2">
      <c r="A1289">
        <v>84</v>
      </c>
      <c r="B1289" t="s">
        <v>26</v>
      </c>
      <c r="C1289" s="10">
        <v>10000033</v>
      </c>
      <c r="D1289" t="b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0.32830288566918647</v>
      </c>
      <c r="Q1289">
        <v>0</v>
      </c>
      <c r="R1289">
        <v>0.13212745997343789</v>
      </c>
      <c r="S1289">
        <v>0</v>
      </c>
      <c r="T1289">
        <v>0.13212745997343789</v>
      </c>
      <c r="U1289">
        <v>0</v>
      </c>
      <c r="V1289">
        <v>0.67169711433081347</v>
      </c>
      <c r="W1289">
        <v>6.2667300506760277</v>
      </c>
      <c r="X1289">
        <v>0.13212745997343789</v>
      </c>
      <c r="Y1289">
        <v>0.67169711433081347</v>
      </c>
      <c r="Z1289" t="s">
        <v>24</v>
      </c>
    </row>
    <row r="1290" spans="1:26" hidden="1" x14ac:dyDescent="0.2">
      <c r="A1290">
        <v>84</v>
      </c>
      <c r="B1290" t="s">
        <v>34</v>
      </c>
      <c r="C1290" s="10">
        <v>10000073</v>
      </c>
      <c r="D1290" t="b">
        <v>1</v>
      </c>
      <c r="E1290">
        <v>0</v>
      </c>
      <c r="F1290">
        <v>0</v>
      </c>
      <c r="G1290">
        <v>0</v>
      </c>
      <c r="H1290">
        <v>0</v>
      </c>
      <c r="I1290">
        <v>0.55301182697106432</v>
      </c>
      <c r="J1290">
        <v>0.30824915523800711</v>
      </c>
      <c r="W1290">
        <v>5.6058206198172362</v>
      </c>
      <c r="X1290">
        <v>0.30824915523800711</v>
      </c>
      <c r="Y1290">
        <v>0.55301182697106432</v>
      </c>
      <c r="Z1290" t="s">
        <v>24</v>
      </c>
    </row>
    <row r="1291" spans="1:26" hidden="1" x14ac:dyDescent="0.2">
      <c r="A1291">
        <v>84</v>
      </c>
      <c r="B1291" t="s">
        <v>33</v>
      </c>
      <c r="C1291" s="10">
        <v>10000082</v>
      </c>
      <c r="D1291" t="b">
        <v>1</v>
      </c>
      <c r="F1291">
        <v>0</v>
      </c>
      <c r="G1291">
        <v>0</v>
      </c>
      <c r="H1291">
        <v>0</v>
      </c>
      <c r="I1291">
        <v>0</v>
      </c>
      <c r="J1291">
        <v>0.87338179901350399</v>
      </c>
      <c r="W1291">
        <v>3.1666666666666679</v>
      </c>
      <c r="X1291">
        <v>1</v>
      </c>
      <c r="Y1291">
        <v>0</v>
      </c>
      <c r="Z1291" t="s">
        <v>23</v>
      </c>
    </row>
    <row r="1292" spans="1:26" hidden="1" x14ac:dyDescent="0.2">
      <c r="A1292">
        <v>84</v>
      </c>
      <c r="B1292" t="s">
        <v>33</v>
      </c>
      <c r="C1292" s="10">
        <v>10000047</v>
      </c>
      <c r="D1292" t="b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0.73449846816920061</v>
      </c>
      <c r="P1292">
        <v>0</v>
      </c>
      <c r="Q1292">
        <v>0.26550153183079928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5.9816891603794673</v>
      </c>
      <c r="X1292">
        <v>0.26550153183079928</v>
      </c>
      <c r="Y1292">
        <v>0.73449846816920061</v>
      </c>
      <c r="Z1292" t="s">
        <v>24</v>
      </c>
    </row>
    <row r="1293" spans="1:26" hidden="1" x14ac:dyDescent="0.2">
      <c r="A1293">
        <v>84</v>
      </c>
      <c r="B1293" t="s">
        <v>32</v>
      </c>
      <c r="C1293" s="10">
        <v>10000082</v>
      </c>
      <c r="D1293" t="b">
        <v>1</v>
      </c>
      <c r="F1293">
        <v>0</v>
      </c>
      <c r="G1293">
        <v>0</v>
      </c>
      <c r="H1293">
        <v>0</v>
      </c>
      <c r="I1293">
        <v>0</v>
      </c>
      <c r="J1293">
        <v>0.87338179901350399</v>
      </c>
      <c r="W1293">
        <v>3.1666666666666679</v>
      </c>
      <c r="X1293">
        <v>1</v>
      </c>
      <c r="Y1293">
        <v>0</v>
      </c>
      <c r="Z1293" t="s">
        <v>23</v>
      </c>
    </row>
    <row r="1294" spans="1:26" hidden="1" x14ac:dyDescent="0.2">
      <c r="A1294">
        <v>84</v>
      </c>
      <c r="B1294" t="s">
        <v>32</v>
      </c>
      <c r="C1294" s="10">
        <v>10000047</v>
      </c>
      <c r="D1294" t="b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0.69632535647569782</v>
      </c>
      <c r="P1294">
        <v>0</v>
      </c>
      <c r="Q1294">
        <v>0.30367464352430218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5.8377833753306341</v>
      </c>
      <c r="X1294">
        <v>0.30367464352430218</v>
      </c>
      <c r="Y1294">
        <v>0.69632535647569782</v>
      </c>
      <c r="Z1294" t="s">
        <v>24</v>
      </c>
    </row>
    <row r="1295" spans="1:26" hidden="1" x14ac:dyDescent="0.2">
      <c r="A1295">
        <v>84</v>
      </c>
      <c r="B1295" t="s">
        <v>28</v>
      </c>
      <c r="C1295" s="10">
        <v>10000082</v>
      </c>
      <c r="D1295" t="b">
        <v>1</v>
      </c>
      <c r="F1295">
        <v>0</v>
      </c>
      <c r="G1295">
        <v>0</v>
      </c>
      <c r="H1295">
        <v>0</v>
      </c>
      <c r="I1295">
        <v>0.72292251958125509</v>
      </c>
      <c r="J1295">
        <v>0.40644206382384468</v>
      </c>
      <c r="W1295">
        <v>4.6071671396047114</v>
      </c>
      <c r="X1295">
        <v>1</v>
      </c>
      <c r="Y1295">
        <v>0.72292251958125509</v>
      </c>
      <c r="Z1295" t="s">
        <v>23</v>
      </c>
    </row>
    <row r="1296" spans="1:26" hidden="1" x14ac:dyDescent="0.2">
      <c r="A1296">
        <v>84</v>
      </c>
      <c r="B1296" t="s">
        <v>28</v>
      </c>
      <c r="C1296" s="10">
        <v>10000047</v>
      </c>
      <c r="D1296" t="b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0.69632535647569782</v>
      </c>
      <c r="P1296">
        <v>0.30367464352430218</v>
      </c>
      <c r="Q1296">
        <v>0.30367464352430218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5.8377833753306341</v>
      </c>
      <c r="X1296">
        <v>0.30367464352430218</v>
      </c>
      <c r="Y1296">
        <v>0.69632535647569782</v>
      </c>
      <c r="Z1296" t="s">
        <v>24</v>
      </c>
    </row>
    <row r="1297" spans="1:26" hidden="1" x14ac:dyDescent="0.2">
      <c r="A1297">
        <v>84</v>
      </c>
      <c r="B1297" t="s">
        <v>31</v>
      </c>
      <c r="C1297" s="10">
        <v>10000047</v>
      </c>
      <c r="D1297" t="b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0.66482706247110146</v>
      </c>
      <c r="P1297">
        <v>0.33517293752889848</v>
      </c>
      <c r="Q1297">
        <v>0.25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5.934160175609307</v>
      </c>
      <c r="X1297">
        <v>0.25</v>
      </c>
      <c r="Y1297">
        <v>0.66482706247110146</v>
      </c>
      <c r="Z1297" t="s">
        <v>24</v>
      </c>
    </row>
    <row r="1298" spans="1:26" hidden="1" x14ac:dyDescent="0.2">
      <c r="A1298">
        <v>84</v>
      </c>
      <c r="B1298" t="s">
        <v>29</v>
      </c>
      <c r="C1298" s="10">
        <v>10000033</v>
      </c>
      <c r="D1298" t="b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0.33021267157054901</v>
      </c>
      <c r="Q1298">
        <v>0</v>
      </c>
      <c r="R1298">
        <v>0.25840612329089763</v>
      </c>
      <c r="S1298">
        <v>0</v>
      </c>
      <c r="T1298">
        <v>0.25840612329089763</v>
      </c>
      <c r="U1298">
        <v>0</v>
      </c>
      <c r="V1298">
        <v>0.66978732842945099</v>
      </c>
      <c r="W1298">
        <v>5.9184315500752263</v>
      </c>
      <c r="X1298">
        <v>0.25840612329089763</v>
      </c>
      <c r="Y1298">
        <v>0.66978732842945099</v>
      </c>
      <c r="Z1298" t="s">
        <v>24</v>
      </c>
    </row>
    <row r="1299" spans="1:26" hidden="1" x14ac:dyDescent="0.2">
      <c r="A1299">
        <v>84</v>
      </c>
      <c r="B1299" t="s">
        <v>27</v>
      </c>
      <c r="C1299" s="10">
        <v>10000082</v>
      </c>
      <c r="D1299" t="b">
        <v>1</v>
      </c>
      <c r="F1299">
        <v>0</v>
      </c>
      <c r="G1299">
        <v>0.82884686682737074</v>
      </c>
      <c r="H1299">
        <v>0</v>
      </c>
      <c r="I1299">
        <v>0</v>
      </c>
      <c r="J1299">
        <v>0</v>
      </c>
      <c r="W1299">
        <v>4.7699014143699099</v>
      </c>
      <c r="X1299">
        <v>1</v>
      </c>
      <c r="Y1299">
        <v>0.82884686682737074</v>
      </c>
      <c r="Z1299" t="s">
        <v>23</v>
      </c>
    </row>
    <row r="1300" spans="1:26" hidden="1" x14ac:dyDescent="0.2">
      <c r="A1300">
        <v>84</v>
      </c>
      <c r="B1300" t="s">
        <v>27</v>
      </c>
      <c r="C1300" s="10">
        <v>10000033</v>
      </c>
      <c r="D1300" t="b">
        <v>0</v>
      </c>
      <c r="E1300">
        <v>0</v>
      </c>
      <c r="F1300">
        <v>0</v>
      </c>
      <c r="G1300">
        <v>0</v>
      </c>
      <c r="H1300">
        <v>0.66211094525006342</v>
      </c>
      <c r="I1300">
        <v>0</v>
      </c>
      <c r="J1300">
        <v>0.33788905474993658</v>
      </c>
      <c r="K1300">
        <v>0</v>
      </c>
      <c r="L1300">
        <v>0.3</v>
      </c>
      <c r="M1300">
        <v>0.26282653151235341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5.896592049460561</v>
      </c>
      <c r="X1300">
        <v>0.26282653151235341</v>
      </c>
      <c r="Y1300">
        <v>0.66211094525006342</v>
      </c>
      <c r="Z1300" t="s">
        <v>24</v>
      </c>
    </row>
    <row r="1301" spans="1:26" hidden="1" x14ac:dyDescent="0.2">
      <c r="A1301">
        <v>85</v>
      </c>
      <c r="B1301" t="s">
        <v>27</v>
      </c>
      <c r="C1301" s="10">
        <v>10000047</v>
      </c>
      <c r="D1301" t="b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0.80485339298805958</v>
      </c>
      <c r="P1301">
        <v>0</v>
      </c>
      <c r="Q1301">
        <v>0.19514660701194039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6.2323815768906874</v>
      </c>
      <c r="X1301">
        <v>0.19514660701194039</v>
      </c>
      <c r="Y1301">
        <v>0.80485339298805958</v>
      </c>
      <c r="Z1301" t="s">
        <v>24</v>
      </c>
    </row>
    <row r="1302" spans="1:26" hidden="1" x14ac:dyDescent="0.2">
      <c r="A1302">
        <v>85</v>
      </c>
      <c r="B1302" t="s">
        <v>26</v>
      </c>
      <c r="C1302" s="10">
        <v>10000033</v>
      </c>
      <c r="D1302" t="b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0.31707366821794342</v>
      </c>
      <c r="Q1302">
        <v>0</v>
      </c>
      <c r="R1302">
        <v>0.19726728745568139</v>
      </c>
      <c r="S1302">
        <v>0</v>
      </c>
      <c r="T1302">
        <v>0.19726728745568139</v>
      </c>
      <c r="U1302">
        <v>0</v>
      </c>
      <c r="V1302">
        <v>0.68292633178205664</v>
      </c>
      <c r="W1302">
        <v>6.0979540395289158</v>
      </c>
      <c r="X1302">
        <v>0.19726728745568139</v>
      </c>
      <c r="Y1302">
        <v>0.68292633178205664</v>
      </c>
      <c r="Z1302" t="s">
        <v>24</v>
      </c>
    </row>
    <row r="1303" spans="1:26" hidden="1" x14ac:dyDescent="0.2">
      <c r="A1303">
        <v>85</v>
      </c>
      <c r="B1303" t="s">
        <v>30</v>
      </c>
      <c r="C1303" s="10">
        <v>10000047</v>
      </c>
      <c r="D1303" t="b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0.76702334289120866</v>
      </c>
      <c r="P1303">
        <v>0.23297665710879131</v>
      </c>
      <c r="Q1303">
        <v>0.23297665710879131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6.09988456487162</v>
      </c>
      <c r="X1303">
        <v>0.23297665710879131</v>
      </c>
      <c r="Y1303">
        <v>0.76702334289120866</v>
      </c>
      <c r="Z1303" t="s">
        <v>24</v>
      </c>
    </row>
    <row r="1304" spans="1:26" hidden="1" x14ac:dyDescent="0.2">
      <c r="A1304">
        <v>85</v>
      </c>
      <c r="B1304" t="s">
        <v>30</v>
      </c>
      <c r="C1304" s="10">
        <v>10000073</v>
      </c>
      <c r="D1304" t="b">
        <v>1</v>
      </c>
      <c r="E1304">
        <v>0</v>
      </c>
      <c r="F1304">
        <v>0</v>
      </c>
      <c r="G1304">
        <v>0</v>
      </c>
      <c r="H1304">
        <v>0</v>
      </c>
      <c r="I1304">
        <v>0.56422127000310907</v>
      </c>
      <c r="J1304">
        <v>0.3046227631740927</v>
      </c>
      <c r="W1304">
        <v>5.6353357972017646</v>
      </c>
      <c r="X1304">
        <v>0.3046227631740927</v>
      </c>
      <c r="Y1304">
        <v>0.56422127000310907</v>
      </c>
      <c r="Z1304" t="s">
        <v>24</v>
      </c>
    </row>
    <row r="1305" spans="1:26" hidden="1" x14ac:dyDescent="0.2">
      <c r="A1305">
        <v>85</v>
      </c>
      <c r="B1305" t="s">
        <v>34</v>
      </c>
      <c r="C1305" s="10">
        <v>10000082</v>
      </c>
      <c r="D1305" t="b">
        <v>1</v>
      </c>
      <c r="F1305">
        <v>0</v>
      </c>
      <c r="G1305">
        <v>0</v>
      </c>
      <c r="H1305">
        <v>0</v>
      </c>
      <c r="I1305">
        <v>0.131202270005042</v>
      </c>
      <c r="J1305">
        <v>0.86879772999495808</v>
      </c>
      <c r="W1305">
        <v>3.4585908423389942</v>
      </c>
      <c r="X1305">
        <v>1</v>
      </c>
      <c r="Y1305">
        <v>0.131202270005042</v>
      </c>
      <c r="Z1305" t="s">
        <v>23</v>
      </c>
    </row>
    <row r="1306" spans="1:26" hidden="1" x14ac:dyDescent="0.2">
      <c r="A1306">
        <v>85</v>
      </c>
      <c r="B1306" t="s">
        <v>34</v>
      </c>
      <c r="C1306" s="10">
        <v>10000033</v>
      </c>
      <c r="D1306" t="b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0.3125380759781165</v>
      </c>
      <c r="Q1306">
        <v>0</v>
      </c>
      <c r="R1306">
        <v>0.2311684289730413</v>
      </c>
      <c r="S1306">
        <v>0</v>
      </c>
      <c r="T1306">
        <v>0.2311684289730413</v>
      </c>
      <c r="U1306">
        <v>0</v>
      </c>
      <c r="V1306">
        <v>0.68746192402188344</v>
      </c>
      <c r="W1306">
        <v>6.0126409421099778</v>
      </c>
      <c r="X1306">
        <v>0.2311684289730413</v>
      </c>
      <c r="Y1306">
        <v>0.68746192402188344</v>
      </c>
      <c r="Z1306" t="s">
        <v>24</v>
      </c>
    </row>
    <row r="1307" spans="1:26" hidden="1" x14ac:dyDescent="0.2">
      <c r="A1307">
        <v>85</v>
      </c>
      <c r="B1307" t="s">
        <v>29</v>
      </c>
      <c r="C1307" s="10">
        <v>10000082</v>
      </c>
      <c r="D1307" t="b">
        <v>1</v>
      </c>
      <c r="F1307">
        <v>0</v>
      </c>
      <c r="G1307">
        <v>0</v>
      </c>
      <c r="H1307">
        <v>0</v>
      </c>
      <c r="I1307">
        <v>0.131202270005042</v>
      </c>
      <c r="J1307">
        <v>0.86879772999495808</v>
      </c>
      <c r="W1307">
        <v>3.4585908423389942</v>
      </c>
      <c r="X1307">
        <v>1</v>
      </c>
      <c r="Y1307">
        <v>0.131202270005042</v>
      </c>
      <c r="Z1307" t="s">
        <v>23</v>
      </c>
    </row>
    <row r="1308" spans="1:26" hidden="1" x14ac:dyDescent="0.2">
      <c r="A1308">
        <v>85</v>
      </c>
      <c r="B1308" t="s">
        <v>29</v>
      </c>
      <c r="C1308" s="10">
        <v>10000033</v>
      </c>
      <c r="D1308" t="b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0.15384615384615369</v>
      </c>
      <c r="Q1308">
        <v>0.31628637804603821</v>
      </c>
      <c r="R1308">
        <v>0.15384615384615369</v>
      </c>
      <c r="S1308">
        <v>0</v>
      </c>
      <c r="T1308">
        <v>0.2336602409386217</v>
      </c>
      <c r="U1308">
        <v>0</v>
      </c>
      <c r="V1308">
        <v>0.68371362195396179</v>
      </c>
      <c r="W1308">
        <v>5.7889818839208456</v>
      </c>
      <c r="X1308">
        <v>0.31628637804603821</v>
      </c>
      <c r="Y1308">
        <v>0.68371362195396179</v>
      </c>
      <c r="Z1308" t="s">
        <v>24</v>
      </c>
    </row>
    <row r="1309" spans="1:26" hidden="1" x14ac:dyDescent="0.2">
      <c r="A1309">
        <v>85</v>
      </c>
      <c r="B1309" t="s">
        <v>31</v>
      </c>
      <c r="C1309" s="10">
        <v>10000033</v>
      </c>
      <c r="D1309" t="b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0.2973507581510641</v>
      </c>
      <c r="R1309">
        <v>0</v>
      </c>
      <c r="S1309">
        <v>0.44444444444444442</v>
      </c>
      <c r="T1309">
        <v>0.2336602409386217</v>
      </c>
      <c r="U1309">
        <v>0</v>
      </c>
      <c r="V1309">
        <v>0.55555555555555558</v>
      </c>
      <c r="W1309">
        <v>5.2558749533585019</v>
      </c>
      <c r="X1309">
        <v>0.44444444444444442</v>
      </c>
      <c r="Y1309">
        <v>0.55555555555555558</v>
      </c>
      <c r="Z1309" t="s">
        <v>24</v>
      </c>
    </row>
    <row r="1310" spans="1:26" hidden="1" x14ac:dyDescent="0.2">
      <c r="A1310">
        <v>85</v>
      </c>
      <c r="B1310" t="s">
        <v>35</v>
      </c>
      <c r="C1310" s="10">
        <v>10000082</v>
      </c>
      <c r="D1310" t="b">
        <v>1</v>
      </c>
      <c r="F1310">
        <v>0</v>
      </c>
      <c r="G1310">
        <v>0</v>
      </c>
      <c r="H1310">
        <v>0</v>
      </c>
      <c r="I1310">
        <v>0.30372422358586743</v>
      </c>
      <c r="J1310">
        <v>0.69627577641413263</v>
      </c>
      <c r="W1310">
        <v>3.829067850361386</v>
      </c>
      <c r="X1310">
        <v>1</v>
      </c>
      <c r="Y1310">
        <v>0.30372422358586743</v>
      </c>
      <c r="Z1310" t="s">
        <v>23</v>
      </c>
    </row>
    <row r="1311" spans="1:26" hidden="1" x14ac:dyDescent="0.2">
      <c r="A1311">
        <v>85</v>
      </c>
      <c r="B1311" t="s">
        <v>35</v>
      </c>
      <c r="C1311" s="10">
        <v>10000047</v>
      </c>
      <c r="D1311" t="b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0.72688934508073688</v>
      </c>
      <c r="P1311">
        <v>0.15384615384615369</v>
      </c>
      <c r="Q1311">
        <v>0.27311065491926301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5.953455592218206</v>
      </c>
      <c r="X1311">
        <v>0.27311065491926301</v>
      </c>
      <c r="Y1311">
        <v>0.72688934508073688</v>
      </c>
      <c r="Z1311" t="s">
        <v>24</v>
      </c>
    </row>
    <row r="1312" spans="1:26" hidden="1" x14ac:dyDescent="0.2">
      <c r="A1312">
        <v>85</v>
      </c>
      <c r="B1312" t="s">
        <v>32</v>
      </c>
      <c r="C1312" s="10">
        <v>10000047</v>
      </c>
      <c r="D1312" t="b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0.69541680902674219</v>
      </c>
      <c r="P1312">
        <v>0.30458319097325781</v>
      </c>
      <c r="Q1312">
        <v>0.30458319097325781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5.834288635153638</v>
      </c>
      <c r="X1312">
        <v>0.30458319097325781</v>
      </c>
      <c r="Y1312">
        <v>0.69541680902674219</v>
      </c>
      <c r="Z1312" t="s">
        <v>24</v>
      </c>
    </row>
    <row r="1313" spans="1:26" hidden="1" x14ac:dyDescent="0.2">
      <c r="A1313">
        <v>85</v>
      </c>
      <c r="B1313" t="s">
        <v>33</v>
      </c>
      <c r="C1313" s="10">
        <v>10000073</v>
      </c>
      <c r="D1313" t="b">
        <v>1</v>
      </c>
      <c r="E1313">
        <v>0</v>
      </c>
      <c r="F1313">
        <v>0</v>
      </c>
      <c r="G1313">
        <v>0.53333333333333333</v>
      </c>
      <c r="H1313">
        <v>0</v>
      </c>
      <c r="I1313">
        <v>0.46666666666666667</v>
      </c>
      <c r="J1313">
        <v>0.39193680676504661</v>
      </c>
      <c r="W1313">
        <v>5.3429104500112494</v>
      </c>
      <c r="X1313">
        <v>0.39193680676504661</v>
      </c>
      <c r="Y1313">
        <v>0.53333333333333333</v>
      </c>
      <c r="Z1313" t="s">
        <v>24</v>
      </c>
    </row>
    <row r="1314" spans="1:26" hidden="1" x14ac:dyDescent="0.2">
      <c r="A1314">
        <v>85</v>
      </c>
      <c r="B1314" t="s">
        <v>28</v>
      </c>
      <c r="C1314" s="10">
        <v>10000033</v>
      </c>
      <c r="D1314" t="b">
        <v>0</v>
      </c>
      <c r="E1314">
        <v>0.2</v>
      </c>
      <c r="F1314">
        <v>0.2998005919230522</v>
      </c>
      <c r="G1314">
        <v>0.7001994080769478</v>
      </c>
      <c r="H1314">
        <v>0</v>
      </c>
      <c r="I1314">
        <v>0.2998005919230522</v>
      </c>
      <c r="J1314">
        <v>0</v>
      </c>
      <c r="K1314">
        <v>0.16666666666666671</v>
      </c>
      <c r="L1314">
        <v>0.16666666666666671</v>
      </c>
      <c r="M1314">
        <v>0.16666666666666671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4.1515888414501756</v>
      </c>
      <c r="X1314">
        <v>0.7001994080769478</v>
      </c>
      <c r="Y1314">
        <v>0.2998005919230522</v>
      </c>
      <c r="Z1314" t="s">
        <v>23</v>
      </c>
    </row>
    <row r="1315" spans="1:26" hidden="1" x14ac:dyDescent="0.2">
      <c r="A1315">
        <v>85</v>
      </c>
      <c r="B1315" t="s">
        <v>28</v>
      </c>
      <c r="C1315" s="10">
        <v>10000073</v>
      </c>
      <c r="D1315" t="b">
        <v>0</v>
      </c>
      <c r="E1315">
        <v>0.42470296816936037</v>
      </c>
      <c r="F1315">
        <v>0</v>
      </c>
      <c r="G1315">
        <v>0.57529703183063952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3.4031480087414732</v>
      </c>
      <c r="X1315">
        <v>0.57529703183063952</v>
      </c>
      <c r="Y1315">
        <v>0</v>
      </c>
      <c r="Z1315" t="s">
        <v>23</v>
      </c>
    </row>
    <row r="1316" spans="1:26" hidden="1" x14ac:dyDescent="0.2">
      <c r="A1316">
        <v>85</v>
      </c>
      <c r="B1316" t="s">
        <v>28</v>
      </c>
      <c r="C1316" s="10">
        <v>10000047</v>
      </c>
      <c r="D1316" t="b">
        <v>0</v>
      </c>
      <c r="E1316">
        <v>0</v>
      </c>
      <c r="F1316">
        <v>0</v>
      </c>
      <c r="G1316">
        <v>0</v>
      </c>
      <c r="H1316">
        <v>0</v>
      </c>
      <c r="I1316">
        <v>0.5</v>
      </c>
      <c r="J1316">
        <v>0.5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6.5555377906976746</v>
      </c>
      <c r="X1316">
        <v>0</v>
      </c>
      <c r="Y1316">
        <v>0.5</v>
      </c>
      <c r="Z1316" t="s">
        <v>24</v>
      </c>
    </row>
    <row r="1317" spans="1:26" hidden="1" x14ac:dyDescent="0.2">
      <c r="A1317">
        <v>86</v>
      </c>
      <c r="B1317" t="s">
        <v>32</v>
      </c>
      <c r="C1317" s="10">
        <v>10000082</v>
      </c>
      <c r="D1317" t="b">
        <v>1</v>
      </c>
      <c r="F1317">
        <v>0</v>
      </c>
      <c r="G1317">
        <v>0</v>
      </c>
      <c r="H1317">
        <v>0</v>
      </c>
      <c r="I1317">
        <v>0</v>
      </c>
      <c r="J1317">
        <v>0.63512761798436757</v>
      </c>
      <c r="W1317">
        <v>3.1666666666666679</v>
      </c>
      <c r="X1317">
        <v>1</v>
      </c>
      <c r="Y1317">
        <v>0</v>
      </c>
      <c r="Z1317" t="s">
        <v>23</v>
      </c>
    </row>
    <row r="1318" spans="1:26" hidden="1" x14ac:dyDescent="0.2">
      <c r="A1318">
        <v>86</v>
      </c>
      <c r="B1318" t="s">
        <v>32</v>
      </c>
      <c r="C1318" s="10">
        <v>10000033</v>
      </c>
      <c r="D1318" t="b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0.30882977802696898</v>
      </c>
      <c r="Q1318">
        <v>0</v>
      </c>
      <c r="R1318">
        <v>5.9305347576562008E-2</v>
      </c>
      <c r="S1318">
        <v>0</v>
      </c>
      <c r="T1318">
        <v>5.9305347576562008E-2</v>
      </c>
      <c r="U1318">
        <v>0</v>
      </c>
      <c r="V1318">
        <v>0.69117022197303091</v>
      </c>
      <c r="W1318">
        <v>6.4926305768786978</v>
      </c>
      <c r="X1318">
        <v>5.9305347576562008E-2</v>
      </c>
      <c r="Y1318">
        <v>0.69117022197303091</v>
      </c>
      <c r="Z1318" t="s">
        <v>24</v>
      </c>
    </row>
    <row r="1319" spans="1:26" hidden="1" x14ac:dyDescent="0.2">
      <c r="A1319">
        <v>86</v>
      </c>
      <c r="B1319" t="s">
        <v>35</v>
      </c>
      <c r="C1319" s="10">
        <v>10000033</v>
      </c>
      <c r="D1319" t="b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0.31182037728472378</v>
      </c>
      <c r="Q1319">
        <v>0</v>
      </c>
      <c r="R1319">
        <v>8.2992035458814617E-2</v>
      </c>
      <c r="S1319">
        <v>0</v>
      </c>
      <c r="T1319">
        <v>8.2992035458814617E-2</v>
      </c>
      <c r="U1319">
        <v>0</v>
      </c>
      <c r="V1319">
        <v>0.68817962271527622</v>
      </c>
      <c r="W1319">
        <v>6.4221223533636627</v>
      </c>
      <c r="X1319">
        <v>8.2992035458814617E-2</v>
      </c>
      <c r="Y1319">
        <v>0.68817962271527622</v>
      </c>
      <c r="Z1319" t="s">
        <v>24</v>
      </c>
    </row>
    <row r="1320" spans="1:26" hidden="1" x14ac:dyDescent="0.2">
      <c r="A1320">
        <v>86</v>
      </c>
      <c r="B1320" t="s">
        <v>35</v>
      </c>
      <c r="C1320" s="10">
        <v>10000082</v>
      </c>
      <c r="D1320" t="b">
        <v>1</v>
      </c>
      <c r="F1320">
        <v>0</v>
      </c>
      <c r="G1320">
        <v>0</v>
      </c>
      <c r="H1320">
        <v>0</v>
      </c>
      <c r="I1320">
        <v>0</v>
      </c>
      <c r="J1320">
        <v>1</v>
      </c>
      <c r="W1320">
        <v>3.1666666666666679</v>
      </c>
      <c r="X1320">
        <v>1</v>
      </c>
      <c r="Y1320">
        <v>0</v>
      </c>
      <c r="Z1320" t="s">
        <v>23</v>
      </c>
    </row>
    <row r="1321" spans="1:26" hidden="1" x14ac:dyDescent="0.2">
      <c r="A1321">
        <v>86</v>
      </c>
      <c r="B1321" t="s">
        <v>31</v>
      </c>
      <c r="C1321" s="10">
        <v>10000047</v>
      </c>
      <c r="D1321" t="b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0.80474473756263232</v>
      </c>
      <c r="P1321">
        <v>0</v>
      </c>
      <c r="Q1321">
        <v>0.19525526243736771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6.2320086404108181</v>
      </c>
      <c r="X1321">
        <v>0.19525526243736771</v>
      </c>
      <c r="Y1321">
        <v>0.80474473756263232</v>
      </c>
      <c r="Z1321" t="s">
        <v>24</v>
      </c>
    </row>
    <row r="1322" spans="1:26" hidden="1" x14ac:dyDescent="0.2">
      <c r="A1322">
        <v>86</v>
      </c>
      <c r="B1322" t="s">
        <v>28</v>
      </c>
      <c r="C1322" s="10">
        <v>10000033</v>
      </c>
      <c r="D1322" t="b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0.31231593792574031</v>
      </c>
      <c r="Q1322">
        <v>0</v>
      </c>
      <c r="R1322">
        <v>9.5776294502464818E-2</v>
      </c>
      <c r="S1322">
        <v>0</v>
      </c>
      <c r="T1322">
        <v>9.5776294502464818E-2</v>
      </c>
      <c r="U1322">
        <v>0</v>
      </c>
      <c r="V1322">
        <v>0.68768406207425969</v>
      </c>
      <c r="W1322">
        <v>6.3851667864126576</v>
      </c>
      <c r="X1322">
        <v>9.5776294502464818E-2</v>
      </c>
      <c r="Y1322">
        <v>0.68768406207425969</v>
      </c>
      <c r="Z1322" t="s">
        <v>24</v>
      </c>
    </row>
    <row r="1323" spans="1:26" hidden="1" x14ac:dyDescent="0.2">
      <c r="A1323">
        <v>86</v>
      </c>
      <c r="B1323" t="s">
        <v>34</v>
      </c>
      <c r="C1323" s="10">
        <v>10000047</v>
      </c>
      <c r="D1323" t="b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0.74610294628135165</v>
      </c>
      <c r="P1323">
        <v>0</v>
      </c>
      <c r="Q1323">
        <v>0.25389705371864829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6.0243202863100862</v>
      </c>
      <c r="X1323">
        <v>0.25389705371864829</v>
      </c>
      <c r="Y1323">
        <v>0.74610294628135165</v>
      </c>
      <c r="Z1323" t="s">
        <v>24</v>
      </c>
    </row>
    <row r="1324" spans="1:26" hidden="1" x14ac:dyDescent="0.2">
      <c r="A1324">
        <v>86</v>
      </c>
      <c r="B1324" t="s">
        <v>33</v>
      </c>
      <c r="C1324" s="10">
        <v>10000047</v>
      </c>
      <c r="D1324" t="b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0.74610294628135165</v>
      </c>
      <c r="P1324">
        <v>0</v>
      </c>
      <c r="Q1324">
        <v>0.25389705371864829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6.0243202863100862</v>
      </c>
      <c r="X1324">
        <v>0.25389705371864829</v>
      </c>
      <c r="Y1324">
        <v>0.74610294628135165</v>
      </c>
      <c r="Z1324" t="s">
        <v>24</v>
      </c>
    </row>
    <row r="1325" spans="1:26" hidden="1" x14ac:dyDescent="0.2">
      <c r="A1325">
        <v>86</v>
      </c>
      <c r="B1325" t="s">
        <v>26</v>
      </c>
      <c r="C1325" s="10">
        <v>10000033</v>
      </c>
      <c r="D1325" t="b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0.3103525492657585</v>
      </c>
      <c r="Q1325">
        <v>0</v>
      </c>
      <c r="R1325">
        <v>0.14358084029564619</v>
      </c>
      <c r="S1325">
        <v>0</v>
      </c>
      <c r="T1325">
        <v>0.14358084029564619</v>
      </c>
      <c r="U1325">
        <v>0</v>
      </c>
      <c r="V1325">
        <v>0.6896474507342415</v>
      </c>
      <c r="W1325">
        <v>6.2524969460644337</v>
      </c>
      <c r="X1325">
        <v>0.14358084029564619</v>
      </c>
      <c r="Y1325">
        <v>0.6896474507342415</v>
      </c>
      <c r="Z1325" t="s">
        <v>24</v>
      </c>
    </row>
    <row r="1326" spans="1:26" hidden="1" x14ac:dyDescent="0.2">
      <c r="A1326">
        <v>86</v>
      </c>
      <c r="B1326" t="s">
        <v>30</v>
      </c>
      <c r="C1326" s="10">
        <v>10000073</v>
      </c>
      <c r="D1326" t="b">
        <v>1</v>
      </c>
      <c r="E1326">
        <v>0</v>
      </c>
      <c r="F1326">
        <v>0</v>
      </c>
      <c r="G1326">
        <v>0</v>
      </c>
      <c r="H1326">
        <v>0</v>
      </c>
      <c r="I1326">
        <v>0.55911429721824246</v>
      </c>
      <c r="J1326">
        <v>0.305324597196512</v>
      </c>
      <c r="W1326">
        <v>5.6246059621032449</v>
      </c>
      <c r="X1326">
        <v>0.305324597196512</v>
      </c>
      <c r="Y1326">
        <v>0.55911429721824246</v>
      </c>
      <c r="Z1326" t="s">
        <v>24</v>
      </c>
    </row>
    <row r="1327" spans="1:26" hidden="1" x14ac:dyDescent="0.2">
      <c r="A1327">
        <v>86</v>
      </c>
      <c r="B1327" t="s">
        <v>27</v>
      </c>
      <c r="C1327" s="10">
        <v>10000033</v>
      </c>
      <c r="D1327" t="b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0.32037776859057282</v>
      </c>
      <c r="Q1327">
        <v>0</v>
      </c>
      <c r="R1327">
        <v>0.17542792234009319</v>
      </c>
      <c r="S1327">
        <v>0</v>
      </c>
      <c r="T1327">
        <v>0.17542792234009319</v>
      </c>
      <c r="U1327">
        <v>0</v>
      </c>
      <c r="V1327">
        <v>0.67962223140942724</v>
      </c>
      <c r="W1327">
        <v>6.153879004893505</v>
      </c>
      <c r="X1327">
        <v>0.17542792234009319</v>
      </c>
      <c r="Y1327">
        <v>0.67962223140942724</v>
      </c>
      <c r="Z1327" t="s">
        <v>24</v>
      </c>
    </row>
    <row r="1328" spans="1:26" hidden="1" x14ac:dyDescent="0.2">
      <c r="A1328">
        <v>86</v>
      </c>
      <c r="B1328" t="s">
        <v>29</v>
      </c>
      <c r="C1328" s="10">
        <v>10000082</v>
      </c>
      <c r="D1328" t="b">
        <v>1</v>
      </c>
      <c r="F1328">
        <v>0</v>
      </c>
      <c r="G1328">
        <v>0.4</v>
      </c>
      <c r="H1328">
        <v>0</v>
      </c>
      <c r="I1328">
        <v>6.0002300275100152E-2</v>
      </c>
      <c r="J1328">
        <v>0.6</v>
      </c>
      <c r="W1328">
        <v>4.0250948291287019</v>
      </c>
      <c r="X1328">
        <v>1</v>
      </c>
      <c r="Y1328">
        <v>0.4</v>
      </c>
      <c r="Z1328" t="s">
        <v>23</v>
      </c>
    </row>
    <row r="1329" spans="1:26" hidden="1" x14ac:dyDescent="0.2">
      <c r="A1329">
        <v>86</v>
      </c>
      <c r="B1329" t="s">
        <v>29</v>
      </c>
      <c r="C1329" s="10">
        <v>10000073</v>
      </c>
      <c r="D1329" t="b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0.43333333333333329</v>
      </c>
      <c r="L1329">
        <v>0</v>
      </c>
      <c r="M1329">
        <v>0</v>
      </c>
      <c r="N1329">
        <v>0</v>
      </c>
      <c r="O1329">
        <v>0.42708433761785919</v>
      </c>
      <c r="P1329">
        <v>0</v>
      </c>
      <c r="Q1329">
        <v>0.31309318302205658</v>
      </c>
      <c r="R1329">
        <v>0</v>
      </c>
      <c r="S1329">
        <v>0.31309318302205658</v>
      </c>
      <c r="T1329">
        <v>0</v>
      </c>
      <c r="U1329">
        <v>0.56666666666666665</v>
      </c>
      <c r="V1329">
        <v>0</v>
      </c>
      <c r="W1329">
        <v>5.3048761689826343</v>
      </c>
      <c r="X1329">
        <v>0.43333333333333329</v>
      </c>
      <c r="Y1329">
        <v>0.56666666666666665</v>
      </c>
      <c r="Z1329" t="s">
        <v>24</v>
      </c>
    </row>
    <row r="1330" spans="1:26" hidden="1" x14ac:dyDescent="0.2">
      <c r="A1330">
        <v>87</v>
      </c>
      <c r="B1330" t="s">
        <v>29</v>
      </c>
      <c r="C1330" s="10">
        <v>10000073</v>
      </c>
      <c r="D1330" t="b">
        <v>1</v>
      </c>
      <c r="E1330">
        <v>0</v>
      </c>
      <c r="F1330">
        <v>0</v>
      </c>
      <c r="G1330">
        <v>0</v>
      </c>
      <c r="H1330">
        <v>0</v>
      </c>
      <c r="I1330">
        <v>0.56863916504108691</v>
      </c>
      <c r="J1330">
        <v>0.21039840455135919</v>
      </c>
      <c r="W1330">
        <v>5.9141127580938671</v>
      </c>
      <c r="X1330">
        <v>0.21039840455135919</v>
      </c>
      <c r="Y1330">
        <v>0.56863916504108691</v>
      </c>
      <c r="Z1330" t="s">
        <v>24</v>
      </c>
    </row>
    <row r="1331" spans="1:26" hidden="1" x14ac:dyDescent="0.2">
      <c r="A1331">
        <v>87</v>
      </c>
      <c r="B1331" t="s">
        <v>31</v>
      </c>
      <c r="C1331" s="10">
        <v>10000082</v>
      </c>
      <c r="D1331" t="b">
        <v>1</v>
      </c>
      <c r="F1331">
        <v>0</v>
      </c>
      <c r="G1331">
        <v>0</v>
      </c>
      <c r="H1331">
        <v>0</v>
      </c>
      <c r="I1331">
        <v>0.21384052512995089</v>
      </c>
      <c r="J1331">
        <v>0.78615947487004911</v>
      </c>
      <c r="W1331">
        <v>3.638648249368289</v>
      </c>
      <c r="X1331">
        <v>1</v>
      </c>
      <c r="Y1331">
        <v>0.21384052512995089</v>
      </c>
      <c r="Z1331" t="s">
        <v>23</v>
      </c>
    </row>
    <row r="1332" spans="1:26" hidden="1" x14ac:dyDescent="0.2">
      <c r="A1332">
        <v>87</v>
      </c>
      <c r="B1332" t="s">
        <v>31</v>
      </c>
      <c r="C1332" s="10">
        <v>10000047</v>
      </c>
      <c r="D1332" t="b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0.82175163678188479</v>
      </c>
      <c r="P1332">
        <v>0</v>
      </c>
      <c r="Q1332">
        <v>0.1782483632181153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6.2898726624670802</v>
      </c>
      <c r="X1332">
        <v>0.1782483632181153</v>
      </c>
      <c r="Y1332">
        <v>0.82175163678188479</v>
      </c>
      <c r="Z1332" t="s">
        <v>24</v>
      </c>
    </row>
    <row r="1333" spans="1:26" hidden="1" x14ac:dyDescent="0.2">
      <c r="A1333">
        <v>87</v>
      </c>
      <c r="B1333" t="s">
        <v>32</v>
      </c>
      <c r="C1333" s="10">
        <v>10000082</v>
      </c>
      <c r="D1333" t="b">
        <v>1</v>
      </c>
      <c r="F1333">
        <v>0</v>
      </c>
      <c r="G1333">
        <v>0</v>
      </c>
      <c r="H1333">
        <v>0</v>
      </c>
      <c r="I1333">
        <v>0.98691637376294805</v>
      </c>
      <c r="J1333">
        <v>2.998505319016323E-2</v>
      </c>
      <c r="W1333">
        <v>4.9860304615292828</v>
      </c>
      <c r="X1333">
        <v>1</v>
      </c>
      <c r="Y1333">
        <v>0.98691637376294805</v>
      </c>
      <c r="Z1333" t="s">
        <v>23</v>
      </c>
    </row>
    <row r="1334" spans="1:26" hidden="1" x14ac:dyDescent="0.2">
      <c r="A1334">
        <v>87</v>
      </c>
      <c r="B1334" t="s">
        <v>32</v>
      </c>
      <c r="C1334" s="10">
        <v>10000033</v>
      </c>
      <c r="D1334" t="b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0.31727872563153509</v>
      </c>
      <c r="Q1334">
        <v>0</v>
      </c>
      <c r="R1334">
        <v>6.1493734412252192E-2</v>
      </c>
      <c r="S1334">
        <v>0</v>
      </c>
      <c r="T1334">
        <v>6.1493734412252192E-2</v>
      </c>
      <c r="U1334">
        <v>0</v>
      </c>
      <c r="V1334">
        <v>0.68272127436846486</v>
      </c>
      <c r="W1334">
        <v>6.4798152004846772</v>
      </c>
      <c r="X1334">
        <v>6.1493734412252192E-2</v>
      </c>
      <c r="Y1334">
        <v>0.68272127436846486</v>
      </c>
      <c r="Z1334" t="s">
        <v>24</v>
      </c>
    </row>
    <row r="1335" spans="1:26" hidden="1" x14ac:dyDescent="0.2">
      <c r="A1335">
        <v>87</v>
      </c>
      <c r="B1335" t="s">
        <v>34</v>
      </c>
      <c r="C1335" s="10">
        <v>10000047</v>
      </c>
      <c r="D1335" t="b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0.64813854310303476</v>
      </c>
      <c r="P1335">
        <v>0</v>
      </c>
      <c r="Q1335">
        <v>0.35186145689696519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5.6478797347194716</v>
      </c>
      <c r="X1335">
        <v>0.35186145689696519</v>
      </c>
      <c r="Y1335">
        <v>0.64813854310303476</v>
      </c>
      <c r="Z1335" t="s">
        <v>24</v>
      </c>
    </row>
    <row r="1336" spans="1:26" hidden="1" x14ac:dyDescent="0.2">
      <c r="A1336">
        <v>87</v>
      </c>
      <c r="B1336" t="s">
        <v>35</v>
      </c>
      <c r="C1336" s="10">
        <v>10000033</v>
      </c>
      <c r="D1336" t="b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0.31713512778747571</v>
      </c>
      <c r="Q1336">
        <v>0</v>
      </c>
      <c r="R1336">
        <v>0.29524068661500857</v>
      </c>
      <c r="S1336">
        <v>0</v>
      </c>
      <c r="T1336">
        <v>0.29524068661500857</v>
      </c>
      <c r="U1336">
        <v>0</v>
      </c>
      <c r="V1336">
        <v>0.68286487221252434</v>
      </c>
      <c r="W1336">
        <v>5.8407704018440763</v>
      </c>
      <c r="X1336">
        <v>0.29524068661500857</v>
      </c>
      <c r="Y1336">
        <v>0.68286487221252434</v>
      </c>
      <c r="Z1336" t="s">
        <v>24</v>
      </c>
    </row>
    <row r="1337" spans="1:26" hidden="1" x14ac:dyDescent="0.2">
      <c r="A1337">
        <v>87</v>
      </c>
      <c r="B1337" t="s">
        <v>26</v>
      </c>
      <c r="C1337" s="10">
        <v>10000033</v>
      </c>
      <c r="D1337" t="b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0.30991435821999008</v>
      </c>
      <c r="R1337">
        <v>0</v>
      </c>
      <c r="S1337">
        <v>0.1333333333333333</v>
      </c>
      <c r="T1337">
        <v>0.29524068661500857</v>
      </c>
      <c r="U1337">
        <v>0</v>
      </c>
      <c r="V1337">
        <v>0.69008564178000997</v>
      </c>
      <c r="W1337">
        <v>5.8137169538565612</v>
      </c>
      <c r="X1337">
        <v>0.30991435821999008</v>
      </c>
      <c r="Y1337">
        <v>0.69008564178000997</v>
      </c>
      <c r="Z1337" t="s">
        <v>24</v>
      </c>
    </row>
    <row r="1338" spans="1:26" hidden="1" x14ac:dyDescent="0.2">
      <c r="A1338">
        <v>87</v>
      </c>
      <c r="B1338" t="s">
        <v>33</v>
      </c>
      <c r="C1338" s="10">
        <v>10000033</v>
      </c>
      <c r="D1338" t="b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0.31299491592444451</v>
      </c>
      <c r="Q1338">
        <v>0.31299491592444451</v>
      </c>
      <c r="R1338">
        <v>0.29633748141286842</v>
      </c>
      <c r="S1338">
        <v>0</v>
      </c>
      <c r="T1338">
        <v>0.29633748141286842</v>
      </c>
      <c r="U1338">
        <v>0</v>
      </c>
      <c r="V1338">
        <v>0.60000000000000009</v>
      </c>
      <c r="W1338">
        <v>5.6719459925960107</v>
      </c>
      <c r="X1338">
        <v>0.31299491592444451</v>
      </c>
      <c r="Y1338">
        <v>0.60000000000000009</v>
      </c>
      <c r="Z1338" t="s">
        <v>24</v>
      </c>
    </row>
    <row r="1339" spans="1:26" hidden="1" x14ac:dyDescent="0.2">
      <c r="A1339">
        <v>87</v>
      </c>
      <c r="B1339" t="s">
        <v>27</v>
      </c>
      <c r="C1339" s="10">
        <v>10000073</v>
      </c>
      <c r="D1339" t="b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0.4403119000562617</v>
      </c>
      <c r="P1339">
        <v>0.4403119000562617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0.55710885232992047</v>
      </c>
      <c r="W1339">
        <v>6.5888254126699524</v>
      </c>
      <c r="X1339">
        <v>0</v>
      </c>
      <c r="Y1339">
        <v>0.55710885232992047</v>
      </c>
      <c r="Z1339" t="s">
        <v>24</v>
      </c>
    </row>
    <row r="1340" spans="1:26" hidden="1" x14ac:dyDescent="0.2">
      <c r="A1340">
        <v>87</v>
      </c>
      <c r="B1340" t="s">
        <v>30</v>
      </c>
      <c r="C1340" s="10">
        <v>10000082</v>
      </c>
      <c r="D1340" t="b">
        <v>1</v>
      </c>
      <c r="F1340">
        <v>0</v>
      </c>
      <c r="G1340">
        <v>6.6666666666666666E-2</v>
      </c>
      <c r="H1340">
        <v>0</v>
      </c>
      <c r="I1340">
        <v>0.14199925775002961</v>
      </c>
      <c r="J1340">
        <v>0.85800074224997036</v>
      </c>
      <c r="W1340">
        <v>3.4823371200050559</v>
      </c>
      <c r="X1340">
        <v>1</v>
      </c>
      <c r="Y1340">
        <v>0.14199925775002961</v>
      </c>
      <c r="Z1340" t="s">
        <v>23</v>
      </c>
    </row>
    <row r="1341" spans="1:26" hidden="1" x14ac:dyDescent="0.2">
      <c r="A1341">
        <v>87</v>
      </c>
      <c r="B1341" t="s">
        <v>28</v>
      </c>
      <c r="C1341" s="10">
        <v>10000047</v>
      </c>
      <c r="D1341" t="b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0.3</v>
      </c>
      <c r="L1341">
        <v>0</v>
      </c>
      <c r="M1341">
        <v>0</v>
      </c>
      <c r="N1341">
        <v>0</v>
      </c>
      <c r="O1341">
        <v>0.61885388748953629</v>
      </c>
      <c r="P1341">
        <v>0</v>
      </c>
      <c r="Q1341">
        <v>0.38114611251046371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5.5278299118200591</v>
      </c>
      <c r="X1341">
        <v>0.38114611251046371</v>
      </c>
      <c r="Y1341">
        <v>0.61885388748953629</v>
      </c>
      <c r="Z1341" t="s">
        <v>24</v>
      </c>
    </row>
    <row r="1342" spans="1:26" hidden="1" x14ac:dyDescent="0.2">
      <c r="A1342">
        <v>87</v>
      </c>
      <c r="B1342" t="s">
        <v>30</v>
      </c>
      <c r="C1342" s="10">
        <v>10000073</v>
      </c>
      <c r="D1342" t="b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0.53162001260575908</v>
      </c>
      <c r="L1342">
        <v>0</v>
      </c>
      <c r="M1342">
        <v>0</v>
      </c>
      <c r="N1342">
        <v>0</v>
      </c>
      <c r="O1342">
        <v>0.2</v>
      </c>
      <c r="P1342">
        <v>0</v>
      </c>
      <c r="Q1342">
        <v>0.2</v>
      </c>
      <c r="R1342">
        <v>0</v>
      </c>
      <c r="S1342">
        <v>0.2</v>
      </c>
      <c r="T1342">
        <v>0</v>
      </c>
      <c r="U1342">
        <v>0.2</v>
      </c>
      <c r="V1342">
        <v>0</v>
      </c>
      <c r="W1342">
        <v>4.112529940640866</v>
      </c>
      <c r="X1342">
        <v>0.53162001260575908</v>
      </c>
      <c r="Y1342">
        <v>0.2</v>
      </c>
      <c r="Z1342" t="s">
        <v>23</v>
      </c>
    </row>
    <row r="1343" spans="1:26" hidden="1" x14ac:dyDescent="0.2">
      <c r="A1343">
        <v>87</v>
      </c>
      <c r="B1343" t="s">
        <v>30</v>
      </c>
      <c r="C1343" s="10">
        <v>10000033</v>
      </c>
      <c r="D1343" t="b">
        <v>0</v>
      </c>
      <c r="E1343">
        <v>0</v>
      </c>
      <c r="F1343">
        <v>0.3345614734705234</v>
      </c>
      <c r="G1343">
        <v>0.39130434782608692</v>
      </c>
      <c r="H1343">
        <v>0.60869565217391308</v>
      </c>
      <c r="I1343">
        <v>0.34529163915409811</v>
      </c>
      <c r="J1343">
        <v>0.34529163915409811</v>
      </c>
      <c r="K1343">
        <v>0</v>
      </c>
      <c r="L1343">
        <v>0.3</v>
      </c>
      <c r="M1343">
        <v>0.3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5.4853479393340248</v>
      </c>
      <c r="X1343">
        <v>0.39130434782608692</v>
      </c>
      <c r="Y1343">
        <v>0.60869565217391308</v>
      </c>
      <c r="Z1343" t="s">
        <v>24</v>
      </c>
    </row>
    <row r="1344" spans="1:26" hidden="1" x14ac:dyDescent="0.2">
      <c r="A1344">
        <v>88</v>
      </c>
      <c r="B1344" t="s">
        <v>35</v>
      </c>
      <c r="C1344" s="10">
        <v>10000082</v>
      </c>
      <c r="D1344" t="b">
        <v>1</v>
      </c>
      <c r="F1344">
        <v>0</v>
      </c>
      <c r="G1344">
        <v>0</v>
      </c>
      <c r="H1344">
        <v>0</v>
      </c>
      <c r="I1344">
        <v>0</v>
      </c>
      <c r="J1344">
        <v>0.83554930518395609</v>
      </c>
      <c r="W1344">
        <v>3.1666666666666679</v>
      </c>
      <c r="X1344">
        <v>1</v>
      </c>
      <c r="Y1344">
        <v>0</v>
      </c>
      <c r="Z1344" t="s">
        <v>23</v>
      </c>
    </row>
    <row r="1345" spans="1:26" hidden="1" x14ac:dyDescent="0.2">
      <c r="A1345">
        <v>88</v>
      </c>
      <c r="B1345" t="s">
        <v>34</v>
      </c>
      <c r="C1345" s="10">
        <v>10000082</v>
      </c>
      <c r="D1345" t="b">
        <v>1</v>
      </c>
      <c r="F1345">
        <v>0</v>
      </c>
      <c r="G1345">
        <v>0</v>
      </c>
      <c r="H1345">
        <v>0</v>
      </c>
      <c r="I1345">
        <v>0</v>
      </c>
      <c r="J1345">
        <v>0.83554930518395609</v>
      </c>
      <c r="W1345">
        <v>3.1666666666666679</v>
      </c>
      <c r="X1345">
        <v>1</v>
      </c>
      <c r="Y1345">
        <v>0</v>
      </c>
      <c r="Z1345" t="s">
        <v>23</v>
      </c>
    </row>
    <row r="1346" spans="1:26" hidden="1" x14ac:dyDescent="0.2">
      <c r="A1346">
        <v>88</v>
      </c>
      <c r="B1346" t="s">
        <v>34</v>
      </c>
      <c r="C1346" s="10">
        <v>10000047</v>
      </c>
      <c r="D1346" t="b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0.8124933609970898</v>
      </c>
      <c r="P1346">
        <v>0</v>
      </c>
      <c r="Q1346">
        <v>0.18750663900291031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6.2585028601729684</v>
      </c>
      <c r="X1346">
        <v>0.18750663900291031</v>
      </c>
      <c r="Y1346">
        <v>0.8124933609970898</v>
      </c>
      <c r="Z1346" t="s">
        <v>24</v>
      </c>
    </row>
    <row r="1347" spans="1:26" hidden="1" x14ac:dyDescent="0.2">
      <c r="A1347">
        <v>88</v>
      </c>
      <c r="B1347" t="s">
        <v>35</v>
      </c>
      <c r="C1347" s="10">
        <v>10000047</v>
      </c>
      <c r="D1347" t="b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0.8124933609970898</v>
      </c>
      <c r="P1347">
        <v>0</v>
      </c>
      <c r="Q1347">
        <v>0.18750663900291031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6.2585028601729684</v>
      </c>
      <c r="X1347">
        <v>0.18750663900291031</v>
      </c>
      <c r="Y1347">
        <v>0.8124933609970898</v>
      </c>
      <c r="Z1347" t="s">
        <v>24</v>
      </c>
    </row>
    <row r="1348" spans="1:26" hidden="1" x14ac:dyDescent="0.2">
      <c r="A1348">
        <v>88</v>
      </c>
      <c r="B1348" t="s">
        <v>35</v>
      </c>
      <c r="C1348" s="10">
        <v>10000073</v>
      </c>
      <c r="D1348" t="b">
        <v>1</v>
      </c>
      <c r="E1348">
        <v>0</v>
      </c>
      <c r="F1348">
        <v>0</v>
      </c>
      <c r="G1348">
        <v>0</v>
      </c>
      <c r="H1348">
        <v>0</v>
      </c>
      <c r="I1348">
        <v>0.57007878648728483</v>
      </c>
      <c r="J1348">
        <v>0.2243429967516421</v>
      </c>
      <c r="W1348">
        <v>5.8746992113737937</v>
      </c>
      <c r="X1348">
        <v>0.2243429967516421</v>
      </c>
      <c r="Y1348">
        <v>0.57007878648728483</v>
      </c>
      <c r="Z1348" t="s">
        <v>24</v>
      </c>
    </row>
    <row r="1349" spans="1:26" hidden="1" x14ac:dyDescent="0.2">
      <c r="A1349">
        <v>88</v>
      </c>
      <c r="B1349" t="s">
        <v>30</v>
      </c>
      <c r="C1349" s="10">
        <v>10000073</v>
      </c>
      <c r="D1349" t="b">
        <v>1</v>
      </c>
      <c r="E1349">
        <v>0</v>
      </c>
      <c r="F1349">
        <v>0</v>
      </c>
      <c r="G1349">
        <v>0</v>
      </c>
      <c r="H1349">
        <v>0</v>
      </c>
      <c r="I1349">
        <v>0.55832099354433429</v>
      </c>
      <c r="J1349">
        <v>0.2255940004641579</v>
      </c>
      <c r="W1349">
        <v>5.8534130553190566</v>
      </c>
      <c r="X1349">
        <v>0.2255940004641579</v>
      </c>
      <c r="Y1349">
        <v>0.55832099354433429</v>
      </c>
      <c r="Z1349" t="s">
        <v>24</v>
      </c>
    </row>
    <row r="1350" spans="1:26" hidden="1" x14ac:dyDescent="0.2">
      <c r="A1350">
        <v>88</v>
      </c>
      <c r="B1350" t="s">
        <v>27</v>
      </c>
      <c r="C1350" s="10">
        <v>10000082</v>
      </c>
      <c r="D1350" t="b">
        <v>1</v>
      </c>
      <c r="F1350">
        <v>0</v>
      </c>
      <c r="G1350">
        <v>0</v>
      </c>
      <c r="H1350">
        <v>0</v>
      </c>
      <c r="I1350">
        <v>0</v>
      </c>
      <c r="J1350">
        <v>0.87524819782000485</v>
      </c>
      <c r="W1350">
        <v>3.1666666666666679</v>
      </c>
      <c r="X1350">
        <v>1</v>
      </c>
      <c r="Y1350">
        <v>0</v>
      </c>
      <c r="Z1350" t="s">
        <v>23</v>
      </c>
    </row>
    <row r="1351" spans="1:26" hidden="1" x14ac:dyDescent="0.2">
      <c r="A1351">
        <v>88</v>
      </c>
      <c r="B1351" t="s">
        <v>28</v>
      </c>
      <c r="C1351" s="10">
        <v>10000033</v>
      </c>
      <c r="D1351" t="b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0.30726971950269799</v>
      </c>
      <c r="Q1351">
        <v>0</v>
      </c>
      <c r="R1351">
        <v>0.16246668094558361</v>
      </c>
      <c r="S1351">
        <v>0</v>
      </c>
      <c r="T1351">
        <v>0.16246668094558361</v>
      </c>
      <c r="U1351">
        <v>0</v>
      </c>
      <c r="V1351">
        <v>0.69273028049730201</v>
      </c>
      <c r="W1351">
        <v>6.2035624403169711</v>
      </c>
      <c r="X1351">
        <v>0.16246668094558361</v>
      </c>
      <c r="Y1351">
        <v>0.69273028049730201</v>
      </c>
      <c r="Z1351" t="s">
        <v>24</v>
      </c>
    </row>
    <row r="1352" spans="1:26" hidden="1" x14ac:dyDescent="0.2">
      <c r="A1352">
        <v>88</v>
      </c>
      <c r="B1352" t="s">
        <v>27</v>
      </c>
      <c r="C1352" s="10">
        <v>10000047</v>
      </c>
      <c r="D1352" t="b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0.75698035962161692</v>
      </c>
      <c r="P1352">
        <v>0.18181818181818171</v>
      </c>
      <c r="Q1352">
        <v>0.24301964037838311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6.0638156322553849</v>
      </c>
      <c r="X1352">
        <v>0.24301964037838311</v>
      </c>
      <c r="Y1352">
        <v>0.75698035962161692</v>
      </c>
      <c r="Z1352" t="s">
        <v>24</v>
      </c>
    </row>
    <row r="1353" spans="1:26" hidden="1" x14ac:dyDescent="0.2">
      <c r="A1353">
        <v>88</v>
      </c>
      <c r="B1353" t="s">
        <v>33</v>
      </c>
      <c r="C1353" s="10">
        <v>10000082</v>
      </c>
      <c r="D1353" t="b">
        <v>1</v>
      </c>
      <c r="F1353">
        <v>0</v>
      </c>
      <c r="G1353">
        <v>0</v>
      </c>
      <c r="H1353">
        <v>0</v>
      </c>
      <c r="I1353">
        <v>0</v>
      </c>
      <c r="J1353">
        <v>0.85585411873376771</v>
      </c>
      <c r="W1353">
        <v>3.1666666666666679</v>
      </c>
      <c r="X1353">
        <v>1</v>
      </c>
      <c r="Y1353">
        <v>0</v>
      </c>
      <c r="Z1353" t="s">
        <v>23</v>
      </c>
    </row>
    <row r="1354" spans="1:26" hidden="1" x14ac:dyDescent="0.2">
      <c r="A1354">
        <v>88</v>
      </c>
      <c r="B1354" t="s">
        <v>33</v>
      </c>
      <c r="C1354" s="10">
        <v>10000033</v>
      </c>
      <c r="D1354" t="b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0.31690654960777581</v>
      </c>
      <c r="Q1354">
        <v>0.31690654960777581</v>
      </c>
      <c r="R1354">
        <v>0.17135149783292869</v>
      </c>
      <c r="S1354">
        <v>0</v>
      </c>
      <c r="T1354">
        <v>0.17135149783292869</v>
      </c>
      <c r="U1354">
        <v>0</v>
      </c>
      <c r="V1354">
        <v>0.66666666666666652</v>
      </c>
      <c r="W1354">
        <v>5.7632414697626917</v>
      </c>
      <c r="X1354">
        <v>0.31690654960777581</v>
      </c>
      <c r="Y1354">
        <v>0.66666666666666652</v>
      </c>
      <c r="Z1354" t="s">
        <v>24</v>
      </c>
    </row>
    <row r="1355" spans="1:26" hidden="1" x14ac:dyDescent="0.2">
      <c r="A1355">
        <v>88</v>
      </c>
      <c r="B1355" t="s">
        <v>26</v>
      </c>
      <c r="C1355" s="10">
        <v>10000033</v>
      </c>
      <c r="D1355" t="b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0.31969674328323028</v>
      </c>
      <c r="Q1355">
        <v>0.20000000000000021</v>
      </c>
      <c r="R1355">
        <v>0.17135149783292869</v>
      </c>
      <c r="S1355">
        <v>0</v>
      </c>
      <c r="T1355">
        <v>0.17135149783292869</v>
      </c>
      <c r="U1355">
        <v>0</v>
      </c>
      <c r="V1355">
        <v>0.68030325671676972</v>
      </c>
      <c r="W1355">
        <v>6.0875203859775731</v>
      </c>
      <c r="X1355">
        <v>0.20000000000000021</v>
      </c>
      <c r="Y1355">
        <v>0.68030325671676972</v>
      </c>
      <c r="Z1355" t="s">
        <v>24</v>
      </c>
    </row>
    <row r="1356" spans="1:26" hidden="1" x14ac:dyDescent="0.2">
      <c r="A1356">
        <v>88</v>
      </c>
      <c r="B1356" t="s">
        <v>32</v>
      </c>
      <c r="C1356" s="10">
        <v>10000047</v>
      </c>
      <c r="D1356" t="b">
        <v>0</v>
      </c>
      <c r="E1356">
        <v>0.15384615384615369</v>
      </c>
      <c r="F1356">
        <v>0</v>
      </c>
      <c r="G1356">
        <v>0</v>
      </c>
      <c r="H1356">
        <v>0</v>
      </c>
      <c r="I1356">
        <v>0.2</v>
      </c>
      <c r="J1356">
        <v>0</v>
      </c>
      <c r="K1356">
        <v>0.15384615384615369</v>
      </c>
      <c r="L1356">
        <v>0.74748877553476412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6.2815118962411178</v>
      </c>
      <c r="X1356">
        <v>0.15384615384615369</v>
      </c>
      <c r="Y1356">
        <v>0.74748877553476412</v>
      </c>
      <c r="Z1356" t="s">
        <v>24</v>
      </c>
    </row>
    <row r="1357" spans="1:26" hidden="1" x14ac:dyDescent="0.2">
      <c r="A1357">
        <v>88</v>
      </c>
      <c r="B1357" t="s">
        <v>31</v>
      </c>
      <c r="C1357" s="10">
        <v>10000047</v>
      </c>
      <c r="D1357" t="b">
        <v>0</v>
      </c>
      <c r="E1357">
        <v>0</v>
      </c>
      <c r="F1357">
        <v>0</v>
      </c>
      <c r="G1357">
        <v>0</v>
      </c>
      <c r="H1357">
        <v>0</v>
      </c>
      <c r="I1357">
        <v>0.46666666666666667</v>
      </c>
      <c r="J1357">
        <v>0.1333333333333333</v>
      </c>
      <c r="K1357">
        <v>0</v>
      </c>
      <c r="L1357">
        <v>0.53333333333333333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6.5750050999331302</v>
      </c>
      <c r="X1357">
        <v>0</v>
      </c>
      <c r="Y1357">
        <v>0.53333333333333333</v>
      </c>
      <c r="Z1357" t="s">
        <v>24</v>
      </c>
    </row>
    <row r="1358" spans="1:26" hidden="1" x14ac:dyDescent="0.2">
      <c r="A1358">
        <v>88</v>
      </c>
      <c r="B1358" t="s">
        <v>29</v>
      </c>
      <c r="C1358" s="10">
        <v>10000073</v>
      </c>
      <c r="D1358" t="b">
        <v>0</v>
      </c>
      <c r="E1358">
        <v>0.45193442749024187</v>
      </c>
      <c r="F1358">
        <v>0</v>
      </c>
      <c r="G1358">
        <v>0.54806557250975807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3.418936967415469</v>
      </c>
      <c r="X1358">
        <v>0.54806557250975807</v>
      </c>
      <c r="Y1358">
        <v>0</v>
      </c>
      <c r="Z1358" t="s">
        <v>23</v>
      </c>
    </row>
    <row r="1359" spans="1:26" hidden="1" x14ac:dyDescent="0.2">
      <c r="A1359">
        <v>88</v>
      </c>
      <c r="B1359" t="s">
        <v>29</v>
      </c>
      <c r="C1359" s="10">
        <v>10000033</v>
      </c>
      <c r="D1359" t="b">
        <v>0</v>
      </c>
      <c r="E1359">
        <v>0</v>
      </c>
      <c r="F1359">
        <v>0.33178617255421589</v>
      </c>
      <c r="G1359">
        <v>0.66821382744578417</v>
      </c>
      <c r="H1359">
        <v>0</v>
      </c>
      <c r="I1359">
        <v>0.33178617255421589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4.276253351583315</v>
      </c>
      <c r="X1359">
        <v>0.66821382744578417</v>
      </c>
      <c r="Y1359">
        <v>0.33178617255421589</v>
      </c>
      <c r="Z1359" t="s">
        <v>23</v>
      </c>
    </row>
    <row r="1360" spans="1:26" hidden="1" x14ac:dyDescent="0.2">
      <c r="A1360">
        <v>88</v>
      </c>
      <c r="B1360" t="s">
        <v>29</v>
      </c>
      <c r="C1360" s="10">
        <v>10000082</v>
      </c>
      <c r="D1360" t="b">
        <v>1</v>
      </c>
      <c r="F1360">
        <v>0</v>
      </c>
      <c r="G1360">
        <v>0.9728265066991153</v>
      </c>
      <c r="H1360">
        <v>0</v>
      </c>
      <c r="I1360">
        <v>0</v>
      </c>
      <c r="J1360">
        <v>0</v>
      </c>
      <c r="W1360">
        <v>4.9680533805168654</v>
      </c>
      <c r="X1360">
        <v>1</v>
      </c>
      <c r="Y1360">
        <v>0.9728265066991153</v>
      </c>
      <c r="Z1360" t="s">
        <v>23</v>
      </c>
    </row>
    <row r="1361" spans="1:26" hidden="1" x14ac:dyDescent="0.2">
      <c r="A1361">
        <v>88</v>
      </c>
      <c r="B1361" t="s">
        <v>29</v>
      </c>
      <c r="C1361" s="10">
        <v>10000047</v>
      </c>
      <c r="D1361" t="b">
        <v>0</v>
      </c>
      <c r="E1361">
        <v>0</v>
      </c>
      <c r="F1361">
        <v>0</v>
      </c>
      <c r="G1361">
        <v>0</v>
      </c>
      <c r="H1361">
        <v>0</v>
      </c>
      <c r="I1361">
        <v>0.62826417546308133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6.629869505949979</v>
      </c>
      <c r="X1361">
        <v>0</v>
      </c>
      <c r="Y1361">
        <v>0.62826417546308133</v>
      </c>
      <c r="Z1361" t="s">
        <v>24</v>
      </c>
    </row>
    <row r="1362" spans="1:26" hidden="1" x14ac:dyDescent="0.2">
      <c r="A1362">
        <v>89</v>
      </c>
      <c r="B1362" t="s">
        <v>35</v>
      </c>
      <c r="C1362" s="10">
        <v>10000033</v>
      </c>
      <c r="D1362" t="b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0.30882977802696898</v>
      </c>
      <c r="Q1362">
        <v>0</v>
      </c>
      <c r="R1362">
        <v>4.3140032700486497E-2</v>
      </c>
      <c r="S1362">
        <v>0</v>
      </c>
      <c r="T1362">
        <v>4.3140032700486497E-2</v>
      </c>
      <c r="U1362">
        <v>0</v>
      </c>
      <c r="V1362">
        <v>0.69117022197303091</v>
      </c>
      <c r="W1362">
        <v>6.5394367310826649</v>
      </c>
      <c r="X1362">
        <v>4.3140032700486497E-2</v>
      </c>
      <c r="Y1362">
        <v>0.69117022197303091</v>
      </c>
      <c r="Z1362" t="s">
        <v>24</v>
      </c>
    </row>
    <row r="1363" spans="1:26" hidden="1" x14ac:dyDescent="0.2">
      <c r="A1363">
        <v>89</v>
      </c>
      <c r="B1363" t="s">
        <v>30</v>
      </c>
      <c r="C1363" s="10">
        <v>10000033</v>
      </c>
      <c r="D1363" t="b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0.32330099129784912</v>
      </c>
      <c r="Q1363">
        <v>0</v>
      </c>
      <c r="R1363">
        <v>7.0160400861449326E-2</v>
      </c>
      <c r="S1363">
        <v>0</v>
      </c>
      <c r="T1363">
        <v>7.0160400861449326E-2</v>
      </c>
      <c r="U1363">
        <v>0</v>
      </c>
      <c r="V1363">
        <v>0.67669900870215094</v>
      </c>
      <c r="W1363">
        <v>6.4498150172577127</v>
      </c>
      <c r="X1363">
        <v>7.0160400861449326E-2</v>
      </c>
      <c r="Y1363">
        <v>0.67669900870215094</v>
      </c>
      <c r="Z1363" t="s">
        <v>24</v>
      </c>
    </row>
    <row r="1364" spans="1:26" hidden="1" x14ac:dyDescent="0.2">
      <c r="A1364">
        <v>89</v>
      </c>
      <c r="B1364" t="s">
        <v>31</v>
      </c>
      <c r="C1364" s="10">
        <v>10000082</v>
      </c>
      <c r="D1364" t="b">
        <v>1</v>
      </c>
      <c r="F1364">
        <v>0</v>
      </c>
      <c r="G1364">
        <v>0</v>
      </c>
      <c r="H1364">
        <v>0</v>
      </c>
      <c r="I1364">
        <v>1</v>
      </c>
      <c r="J1364">
        <v>0</v>
      </c>
      <c r="W1364">
        <v>5.0025004164584352</v>
      </c>
      <c r="X1364">
        <v>1</v>
      </c>
      <c r="Y1364">
        <v>1</v>
      </c>
      <c r="Z1364" t="s">
        <v>23</v>
      </c>
    </row>
    <row r="1365" spans="1:26" hidden="1" x14ac:dyDescent="0.2">
      <c r="A1365">
        <v>89</v>
      </c>
      <c r="B1365" t="s">
        <v>31</v>
      </c>
      <c r="C1365" s="10">
        <v>10000047</v>
      </c>
      <c r="D1365" t="b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0.80731491804722721</v>
      </c>
      <c r="P1365">
        <v>0</v>
      </c>
      <c r="Q1365">
        <v>0.1926850819527727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6.2408208111202219</v>
      </c>
      <c r="X1365">
        <v>0.1926850819527727</v>
      </c>
      <c r="Y1365">
        <v>0.80731491804722721</v>
      </c>
      <c r="Z1365" t="s">
        <v>24</v>
      </c>
    </row>
    <row r="1366" spans="1:26" hidden="1" x14ac:dyDescent="0.2">
      <c r="A1366">
        <v>89</v>
      </c>
      <c r="B1366" t="s">
        <v>31</v>
      </c>
      <c r="C1366" s="10">
        <v>10000073</v>
      </c>
      <c r="D1366" t="b">
        <v>1</v>
      </c>
      <c r="E1366">
        <v>0</v>
      </c>
      <c r="F1366">
        <v>0</v>
      </c>
      <c r="G1366">
        <v>0</v>
      </c>
      <c r="H1366">
        <v>0</v>
      </c>
      <c r="I1366">
        <v>0.55676063076014237</v>
      </c>
      <c r="J1366">
        <v>0.2325761983467608</v>
      </c>
      <c r="W1366">
        <v>5.8302000146304191</v>
      </c>
      <c r="X1366">
        <v>0.2325761983467608</v>
      </c>
      <c r="Y1366">
        <v>0.55676063076014237</v>
      </c>
      <c r="Z1366" t="s">
        <v>24</v>
      </c>
    </row>
    <row r="1367" spans="1:26" hidden="1" x14ac:dyDescent="0.2">
      <c r="A1367">
        <v>89</v>
      </c>
      <c r="B1367" t="s">
        <v>26</v>
      </c>
      <c r="C1367" s="10">
        <v>10000033</v>
      </c>
      <c r="D1367" t="b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0.31478664054364702</v>
      </c>
      <c r="Q1367">
        <v>0.2799999999999998</v>
      </c>
      <c r="R1367">
        <v>7.1328478394618117E-2</v>
      </c>
      <c r="S1367">
        <v>0</v>
      </c>
      <c r="T1367">
        <v>7.1328478394618117E-2</v>
      </c>
      <c r="U1367">
        <v>0</v>
      </c>
      <c r="V1367">
        <v>0.68521335945635298</v>
      </c>
      <c r="W1367">
        <v>5.8827670686189837</v>
      </c>
      <c r="X1367">
        <v>0.2799999999999998</v>
      </c>
      <c r="Y1367">
        <v>0.68521335945635298</v>
      </c>
      <c r="Z1367" t="s">
        <v>24</v>
      </c>
    </row>
    <row r="1368" spans="1:26" hidden="1" x14ac:dyDescent="0.2">
      <c r="A1368">
        <v>89</v>
      </c>
      <c r="B1368" t="s">
        <v>27</v>
      </c>
      <c r="C1368" s="10">
        <v>10000047</v>
      </c>
      <c r="D1368" t="b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0.80496995262977467</v>
      </c>
      <c r="P1368">
        <v>0</v>
      </c>
      <c r="Q1368">
        <v>0.19503004737022531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6.2327816037596122</v>
      </c>
      <c r="X1368">
        <v>0.19503004737022531</v>
      </c>
      <c r="Y1368">
        <v>0.80496995262977467</v>
      </c>
      <c r="Z1368" t="s">
        <v>24</v>
      </c>
    </row>
    <row r="1369" spans="1:26" hidden="1" x14ac:dyDescent="0.2">
      <c r="A1369">
        <v>89</v>
      </c>
      <c r="B1369" t="s">
        <v>27</v>
      </c>
      <c r="C1369" s="10">
        <v>10000073</v>
      </c>
      <c r="D1369" t="b">
        <v>1</v>
      </c>
      <c r="E1369">
        <v>0</v>
      </c>
      <c r="F1369">
        <v>0</v>
      </c>
      <c r="G1369">
        <v>0</v>
      </c>
      <c r="H1369">
        <v>0</v>
      </c>
      <c r="I1369">
        <v>0.55987937171717694</v>
      </c>
      <c r="J1369">
        <v>0.23439563492584459</v>
      </c>
      <c r="W1369">
        <v>5.829588929494764</v>
      </c>
      <c r="X1369">
        <v>0.23439563492584459</v>
      </c>
      <c r="Y1369">
        <v>0.55987937171717694</v>
      </c>
      <c r="Z1369" t="s">
        <v>24</v>
      </c>
    </row>
    <row r="1370" spans="1:26" hidden="1" x14ac:dyDescent="0.2">
      <c r="A1370">
        <v>89</v>
      </c>
      <c r="B1370" t="s">
        <v>34</v>
      </c>
      <c r="C1370" s="10">
        <v>10000033</v>
      </c>
      <c r="D1370" t="b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0.30883047747359132</v>
      </c>
      <c r="Q1370">
        <v>0.18518518518518509</v>
      </c>
      <c r="R1370">
        <v>7.2991761814715464E-2</v>
      </c>
      <c r="S1370">
        <v>0</v>
      </c>
      <c r="T1370">
        <v>7.2991761814715464E-2</v>
      </c>
      <c r="U1370">
        <v>0</v>
      </c>
      <c r="V1370">
        <v>0.69116952252640862</v>
      </c>
      <c r="W1370">
        <v>6.139983224952581</v>
      </c>
      <c r="X1370">
        <v>0.18518518518518509</v>
      </c>
      <c r="Y1370">
        <v>0.69116952252640862</v>
      </c>
      <c r="Z1370" t="s">
        <v>24</v>
      </c>
    </row>
    <row r="1371" spans="1:26" hidden="1" x14ac:dyDescent="0.2">
      <c r="A1371">
        <v>89</v>
      </c>
      <c r="B1371" t="s">
        <v>32</v>
      </c>
      <c r="C1371" s="10">
        <v>10000082</v>
      </c>
      <c r="D1371" t="b">
        <v>1</v>
      </c>
      <c r="F1371">
        <v>0</v>
      </c>
      <c r="G1371">
        <v>0</v>
      </c>
      <c r="H1371">
        <v>0</v>
      </c>
      <c r="I1371">
        <v>1</v>
      </c>
      <c r="J1371">
        <v>0</v>
      </c>
      <c r="W1371">
        <v>5.0025004164584352</v>
      </c>
      <c r="X1371">
        <v>1</v>
      </c>
      <c r="Y1371">
        <v>1</v>
      </c>
      <c r="Z1371" t="s">
        <v>23</v>
      </c>
    </row>
    <row r="1372" spans="1:26" hidden="1" x14ac:dyDescent="0.2">
      <c r="A1372">
        <v>89</v>
      </c>
      <c r="B1372" t="s">
        <v>32</v>
      </c>
      <c r="C1372" s="10">
        <v>10000073</v>
      </c>
      <c r="D1372" t="b">
        <v>1</v>
      </c>
      <c r="E1372">
        <v>0</v>
      </c>
      <c r="F1372">
        <v>0</v>
      </c>
      <c r="G1372">
        <v>0</v>
      </c>
      <c r="H1372">
        <v>0</v>
      </c>
      <c r="I1372">
        <v>0.56072677220216682</v>
      </c>
      <c r="J1372">
        <v>0.24793809019684679</v>
      </c>
      <c r="W1372">
        <v>5.7910368917888766</v>
      </c>
      <c r="X1372">
        <v>0.24793809019684679</v>
      </c>
      <c r="Y1372">
        <v>0.56072677220216682</v>
      </c>
      <c r="Z1372" t="s">
        <v>24</v>
      </c>
    </row>
    <row r="1373" spans="1:26" hidden="1" x14ac:dyDescent="0.2">
      <c r="A1373">
        <v>89</v>
      </c>
      <c r="B1373" t="s">
        <v>29</v>
      </c>
      <c r="C1373" s="10">
        <v>10000033</v>
      </c>
      <c r="D1373" t="b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0.32499138723842352</v>
      </c>
      <c r="Q1373">
        <v>3.2258064516128997E-2</v>
      </c>
      <c r="R1373">
        <v>0.1896247258747904</v>
      </c>
      <c r="S1373">
        <v>0</v>
      </c>
      <c r="T1373">
        <v>0.1896247258747904</v>
      </c>
      <c r="U1373">
        <v>0</v>
      </c>
      <c r="V1373">
        <v>0.67500861276157653</v>
      </c>
      <c r="W1373">
        <v>6.1096972697915657</v>
      </c>
      <c r="X1373">
        <v>0.1896247258747904</v>
      </c>
      <c r="Y1373">
        <v>0.67500861276157653</v>
      </c>
      <c r="Z1373" t="s">
        <v>24</v>
      </c>
    </row>
    <row r="1374" spans="1:26" hidden="1" x14ac:dyDescent="0.2">
      <c r="A1374">
        <v>89</v>
      </c>
      <c r="B1374" t="s">
        <v>33</v>
      </c>
      <c r="C1374" s="10">
        <v>10000082</v>
      </c>
      <c r="D1374" t="b">
        <v>1</v>
      </c>
      <c r="F1374">
        <v>0</v>
      </c>
      <c r="G1374">
        <v>1</v>
      </c>
      <c r="H1374">
        <v>0</v>
      </c>
      <c r="I1374">
        <v>0</v>
      </c>
      <c r="J1374">
        <v>0</v>
      </c>
      <c r="W1374">
        <v>5.0025004164584352</v>
      </c>
      <c r="X1374">
        <v>1</v>
      </c>
      <c r="Y1374">
        <v>1</v>
      </c>
      <c r="Z1374" t="s">
        <v>23</v>
      </c>
    </row>
    <row r="1375" spans="1:26" hidden="1" x14ac:dyDescent="0.2">
      <c r="A1375">
        <v>89</v>
      </c>
      <c r="B1375" t="s">
        <v>28</v>
      </c>
      <c r="C1375" s="10">
        <v>10000082</v>
      </c>
      <c r="D1375" t="b">
        <v>1</v>
      </c>
      <c r="F1375">
        <v>0</v>
      </c>
      <c r="G1375">
        <v>0.8</v>
      </c>
      <c r="H1375">
        <v>0</v>
      </c>
      <c r="I1375">
        <v>0</v>
      </c>
      <c r="J1375">
        <v>0</v>
      </c>
      <c r="W1375">
        <v>4.7270097930933073</v>
      </c>
      <c r="X1375">
        <v>1</v>
      </c>
      <c r="Y1375">
        <v>0.8</v>
      </c>
      <c r="Z1375" t="s">
        <v>23</v>
      </c>
    </row>
    <row r="1376" spans="1:26" hidden="1" x14ac:dyDescent="0.2">
      <c r="A1376">
        <v>89</v>
      </c>
      <c r="B1376" t="s">
        <v>33</v>
      </c>
      <c r="C1376" s="10">
        <v>10000047</v>
      </c>
      <c r="D1376" t="b">
        <v>0</v>
      </c>
      <c r="E1376">
        <v>0</v>
      </c>
      <c r="F1376">
        <v>0</v>
      </c>
      <c r="G1376">
        <v>0</v>
      </c>
      <c r="H1376">
        <v>0</v>
      </c>
      <c r="I1376">
        <v>0.53333333333333333</v>
      </c>
      <c r="J1376">
        <v>0.46153846153846168</v>
      </c>
      <c r="K1376">
        <v>0</v>
      </c>
      <c r="L1376">
        <v>0.46666666666666667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6.5750050999331302</v>
      </c>
      <c r="X1376">
        <v>0</v>
      </c>
      <c r="Y1376">
        <v>0.53333333333333333</v>
      </c>
      <c r="Z1376" t="s">
        <v>24</v>
      </c>
    </row>
    <row r="1377" spans="1:26" hidden="1" x14ac:dyDescent="0.2">
      <c r="A1377">
        <v>89</v>
      </c>
      <c r="B1377" t="s">
        <v>28</v>
      </c>
      <c r="C1377" s="10">
        <v>10000033</v>
      </c>
      <c r="D1377" t="b">
        <v>0</v>
      </c>
      <c r="E1377">
        <v>0</v>
      </c>
      <c r="F1377">
        <v>0</v>
      </c>
      <c r="G1377">
        <v>0</v>
      </c>
      <c r="H1377">
        <v>0.65930242857111765</v>
      </c>
      <c r="I1377">
        <v>0</v>
      </c>
      <c r="J1377">
        <v>0.34069757142888241</v>
      </c>
      <c r="K1377">
        <v>0</v>
      </c>
      <c r="L1377">
        <v>0.33333333333333331</v>
      </c>
      <c r="M1377">
        <v>0.22768636806693429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5.9869614737511077</v>
      </c>
      <c r="X1377">
        <v>0.22768636806693429</v>
      </c>
      <c r="Y1377">
        <v>0.65930242857111765</v>
      </c>
      <c r="Z1377" t="s">
        <v>24</v>
      </c>
    </row>
    <row r="1378" spans="1:26" hidden="1" x14ac:dyDescent="0.2">
      <c r="A1378">
        <v>90</v>
      </c>
      <c r="B1378" t="s">
        <v>26</v>
      </c>
      <c r="C1378" s="10">
        <v>10000047</v>
      </c>
      <c r="D1378" t="b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0.78729949130415255</v>
      </c>
      <c r="P1378">
        <v>0</v>
      </c>
      <c r="Q1378">
        <v>0.21270050869584739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6.1715575248505763</v>
      </c>
      <c r="X1378">
        <v>0.21270050869584739</v>
      </c>
      <c r="Y1378">
        <v>0.78729949130415255</v>
      </c>
      <c r="Z1378" t="s">
        <v>24</v>
      </c>
    </row>
    <row r="1379" spans="1:26" hidden="1" x14ac:dyDescent="0.2">
      <c r="A1379">
        <v>90</v>
      </c>
      <c r="B1379" t="s">
        <v>33</v>
      </c>
      <c r="C1379" s="10">
        <v>10000082</v>
      </c>
      <c r="D1379" t="b">
        <v>1</v>
      </c>
      <c r="F1379">
        <v>0</v>
      </c>
      <c r="G1379">
        <v>0</v>
      </c>
      <c r="H1379">
        <v>0</v>
      </c>
      <c r="I1379">
        <v>1</v>
      </c>
      <c r="J1379">
        <v>0</v>
      </c>
      <c r="W1379">
        <v>5.0025004164584352</v>
      </c>
      <c r="X1379">
        <v>1</v>
      </c>
      <c r="Y1379">
        <v>1</v>
      </c>
      <c r="Z1379" t="s">
        <v>23</v>
      </c>
    </row>
    <row r="1380" spans="1:26" hidden="1" x14ac:dyDescent="0.2">
      <c r="A1380">
        <v>90</v>
      </c>
      <c r="B1380" t="s">
        <v>27</v>
      </c>
      <c r="C1380" s="10">
        <v>10000082</v>
      </c>
      <c r="D1380" t="b">
        <v>1</v>
      </c>
      <c r="F1380">
        <v>0</v>
      </c>
      <c r="G1380">
        <v>0</v>
      </c>
      <c r="H1380">
        <v>0</v>
      </c>
      <c r="I1380">
        <v>1</v>
      </c>
      <c r="J1380">
        <v>0</v>
      </c>
      <c r="W1380">
        <v>5.0025004164584352</v>
      </c>
      <c r="X1380">
        <v>1</v>
      </c>
      <c r="Y1380">
        <v>1</v>
      </c>
      <c r="Z1380" t="s">
        <v>23</v>
      </c>
    </row>
    <row r="1381" spans="1:26" hidden="1" x14ac:dyDescent="0.2">
      <c r="A1381">
        <v>90</v>
      </c>
      <c r="B1381" t="s">
        <v>33</v>
      </c>
      <c r="C1381" s="10">
        <v>10000047</v>
      </c>
      <c r="D1381" t="b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0.78729949130415255</v>
      </c>
      <c r="P1381">
        <v>0</v>
      </c>
      <c r="Q1381">
        <v>0.21270050869584739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6.1715575248505763</v>
      </c>
      <c r="X1381">
        <v>0.21270050869584739</v>
      </c>
      <c r="Y1381">
        <v>0.78729949130415255</v>
      </c>
      <c r="Z1381" t="s">
        <v>24</v>
      </c>
    </row>
    <row r="1382" spans="1:26" hidden="1" x14ac:dyDescent="0.2">
      <c r="A1382">
        <v>90</v>
      </c>
      <c r="B1382" t="s">
        <v>27</v>
      </c>
      <c r="C1382" s="10">
        <v>10000073</v>
      </c>
      <c r="D1382" t="b">
        <v>1</v>
      </c>
      <c r="E1382">
        <v>0</v>
      </c>
      <c r="F1382">
        <v>0</v>
      </c>
      <c r="G1382">
        <v>0</v>
      </c>
      <c r="H1382">
        <v>0</v>
      </c>
      <c r="I1382">
        <v>0.54205937290627326</v>
      </c>
      <c r="J1382">
        <v>0.25265068021548309</v>
      </c>
      <c r="W1382">
        <v>5.7470948983379291</v>
      </c>
      <c r="X1382">
        <v>0.25265068021548309</v>
      </c>
      <c r="Y1382">
        <v>0.54205937290627326</v>
      </c>
      <c r="Z1382" t="s">
        <v>24</v>
      </c>
    </row>
    <row r="1383" spans="1:26" hidden="1" x14ac:dyDescent="0.2">
      <c r="A1383">
        <v>90</v>
      </c>
      <c r="B1383" t="s">
        <v>32</v>
      </c>
      <c r="C1383" s="10">
        <v>10000033</v>
      </c>
      <c r="D1383" t="b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0.34582174026500001</v>
      </c>
      <c r="Q1383">
        <v>0</v>
      </c>
      <c r="R1383">
        <v>0.1741451429560848</v>
      </c>
      <c r="S1383">
        <v>0</v>
      </c>
      <c r="T1383">
        <v>0.1741451429560848</v>
      </c>
      <c r="U1383">
        <v>0</v>
      </c>
      <c r="V1383">
        <v>0.65417825973499999</v>
      </c>
      <c r="W1383">
        <v>6.1289577438951452</v>
      </c>
      <c r="X1383">
        <v>0.1741451429560848</v>
      </c>
      <c r="Y1383">
        <v>0.65417825973499999</v>
      </c>
      <c r="Z1383" t="s">
        <v>24</v>
      </c>
    </row>
    <row r="1384" spans="1:26" hidden="1" x14ac:dyDescent="0.2">
      <c r="A1384">
        <v>90</v>
      </c>
      <c r="B1384" t="s">
        <v>28</v>
      </c>
      <c r="C1384" s="10">
        <v>10000033</v>
      </c>
      <c r="D1384" t="b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0.35258700302209989</v>
      </c>
      <c r="Q1384">
        <v>0</v>
      </c>
      <c r="R1384">
        <v>0.1741451429560848</v>
      </c>
      <c r="S1384">
        <v>0</v>
      </c>
      <c r="T1384">
        <v>0.1741451429560848</v>
      </c>
      <c r="U1384">
        <v>0</v>
      </c>
      <c r="V1384">
        <v>0.64741299697790011</v>
      </c>
      <c r="W1384">
        <v>6.1212069351940714</v>
      </c>
      <c r="X1384">
        <v>0.1741451429560848</v>
      </c>
      <c r="Y1384">
        <v>0.64741299697790011</v>
      </c>
      <c r="Z1384" t="s">
        <v>24</v>
      </c>
    </row>
    <row r="1385" spans="1:26" hidden="1" x14ac:dyDescent="0.2">
      <c r="A1385">
        <v>90</v>
      </c>
      <c r="B1385" t="s">
        <v>30</v>
      </c>
      <c r="C1385" s="10">
        <v>10000033</v>
      </c>
      <c r="D1385" t="b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0.3</v>
      </c>
      <c r="M1385">
        <v>0.18478735958219211</v>
      </c>
      <c r="N1385">
        <v>0</v>
      </c>
      <c r="O1385">
        <v>0</v>
      </c>
      <c r="P1385">
        <v>0.36549795514478928</v>
      </c>
      <c r="Q1385">
        <v>0.33333333333333348</v>
      </c>
      <c r="R1385">
        <v>0.18478735958219211</v>
      </c>
      <c r="S1385">
        <v>0</v>
      </c>
      <c r="T1385">
        <v>0.18478735958219211</v>
      </c>
      <c r="U1385">
        <v>0</v>
      </c>
      <c r="V1385">
        <v>0.63450204485521067</v>
      </c>
      <c r="W1385">
        <v>5.6734376753798834</v>
      </c>
      <c r="X1385">
        <v>0.33333333333333348</v>
      </c>
      <c r="Y1385">
        <v>0.63450204485521067</v>
      </c>
      <c r="Z1385" t="s">
        <v>24</v>
      </c>
    </row>
    <row r="1386" spans="1:26" hidden="1" x14ac:dyDescent="0.2">
      <c r="A1386">
        <v>90</v>
      </c>
      <c r="B1386" t="s">
        <v>31</v>
      </c>
      <c r="C1386" s="10">
        <v>10000082</v>
      </c>
      <c r="D1386" t="b">
        <v>1</v>
      </c>
      <c r="F1386">
        <v>0</v>
      </c>
      <c r="G1386">
        <v>0.46666666666666667</v>
      </c>
      <c r="H1386">
        <v>0</v>
      </c>
      <c r="I1386">
        <v>0.53333333333333333</v>
      </c>
      <c r="J1386">
        <v>0</v>
      </c>
      <c r="W1386">
        <v>4.2804786800913277</v>
      </c>
      <c r="X1386">
        <v>1</v>
      </c>
      <c r="Y1386">
        <v>0.53333333333333333</v>
      </c>
      <c r="Z1386" t="s">
        <v>23</v>
      </c>
    </row>
    <row r="1387" spans="1:26" hidden="1" x14ac:dyDescent="0.2">
      <c r="A1387">
        <v>90</v>
      </c>
      <c r="B1387" t="s">
        <v>34</v>
      </c>
      <c r="C1387" s="10">
        <v>10000047</v>
      </c>
      <c r="D1387" t="b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0.7</v>
      </c>
      <c r="L1387">
        <v>0</v>
      </c>
      <c r="M1387">
        <v>0</v>
      </c>
      <c r="N1387">
        <v>0</v>
      </c>
      <c r="O1387">
        <v>0.3</v>
      </c>
      <c r="P1387">
        <v>0</v>
      </c>
      <c r="Q1387">
        <v>0.29497134580435319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4.1523532975855098</v>
      </c>
      <c r="X1387">
        <v>0.7</v>
      </c>
      <c r="Y1387">
        <v>0.3</v>
      </c>
      <c r="Z1387" t="s">
        <v>23</v>
      </c>
    </row>
    <row r="1388" spans="1:26" hidden="1" x14ac:dyDescent="0.2">
      <c r="A1388">
        <v>90</v>
      </c>
      <c r="B1388" t="s">
        <v>34</v>
      </c>
      <c r="C1388" s="10">
        <v>10000033</v>
      </c>
      <c r="D1388" t="b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0.53846153846153832</v>
      </c>
      <c r="M1388">
        <v>0.27102642257044829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5.6868760231619273</v>
      </c>
      <c r="X1388">
        <v>0.27102642257044829</v>
      </c>
      <c r="Y1388">
        <v>0.53846153846153832</v>
      </c>
      <c r="Z1388" t="s">
        <v>24</v>
      </c>
    </row>
    <row r="1389" spans="1:26" hidden="1" x14ac:dyDescent="0.2">
      <c r="A1389">
        <v>90</v>
      </c>
      <c r="B1389" t="s">
        <v>31</v>
      </c>
      <c r="C1389" s="10">
        <v>10000047</v>
      </c>
      <c r="D1389" t="b">
        <v>0</v>
      </c>
      <c r="E1389">
        <v>0.1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0.9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3.2205882352941249</v>
      </c>
      <c r="X1389">
        <v>0.9</v>
      </c>
      <c r="Y1389">
        <v>0</v>
      </c>
      <c r="Z1389" t="s">
        <v>23</v>
      </c>
    </row>
    <row r="1390" spans="1:26" hidden="1" x14ac:dyDescent="0.2">
      <c r="A1390">
        <v>90</v>
      </c>
      <c r="B1390" t="s">
        <v>29</v>
      </c>
      <c r="C1390" s="10">
        <v>10000047</v>
      </c>
      <c r="D1390" t="b">
        <v>0</v>
      </c>
      <c r="E1390">
        <v>0.4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0.6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3.388888888888907</v>
      </c>
      <c r="X1390">
        <v>0.6</v>
      </c>
      <c r="Y1390">
        <v>0</v>
      </c>
      <c r="Z1390" t="s">
        <v>23</v>
      </c>
    </row>
    <row r="1391" spans="1:26" hidden="1" x14ac:dyDescent="0.2">
      <c r="A1391">
        <v>90</v>
      </c>
      <c r="B1391" t="s">
        <v>31</v>
      </c>
      <c r="C1391" s="10">
        <v>10000033</v>
      </c>
      <c r="D1391" t="b">
        <v>0</v>
      </c>
      <c r="E1391">
        <v>0</v>
      </c>
      <c r="F1391">
        <v>0.27102642257044829</v>
      </c>
      <c r="G1391">
        <v>0.53333333333333333</v>
      </c>
      <c r="H1391">
        <v>0.28571428571428559</v>
      </c>
      <c r="I1391">
        <v>0.36716466679583792</v>
      </c>
      <c r="J1391">
        <v>0.28571428571428559</v>
      </c>
      <c r="K1391">
        <v>0</v>
      </c>
      <c r="L1391">
        <v>0.46666666666666667</v>
      </c>
      <c r="M1391">
        <v>0.27102642257044829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4.8486928666623932</v>
      </c>
      <c r="X1391">
        <v>0.53333333333333333</v>
      </c>
      <c r="Y1391">
        <v>0.46666666666666667</v>
      </c>
      <c r="Z1391" t="s">
        <v>23</v>
      </c>
    </row>
    <row r="1392" spans="1:26" hidden="1" x14ac:dyDescent="0.2">
      <c r="A1392">
        <v>90</v>
      </c>
      <c r="B1392" t="s">
        <v>29</v>
      </c>
      <c r="C1392" s="10">
        <v>10000033</v>
      </c>
      <c r="D1392" t="b">
        <v>0</v>
      </c>
      <c r="E1392">
        <v>0</v>
      </c>
      <c r="F1392">
        <v>0.27102642257044829</v>
      </c>
      <c r="G1392">
        <v>0.63283533320416208</v>
      </c>
      <c r="H1392">
        <v>0.28571428571428559</v>
      </c>
      <c r="I1392">
        <v>0.36716466679583792</v>
      </c>
      <c r="J1392">
        <v>0.28571428571428559</v>
      </c>
      <c r="K1392">
        <v>0</v>
      </c>
      <c r="L1392">
        <v>0.1333333333333333</v>
      </c>
      <c r="M1392">
        <v>0.1333333333333333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4.4189535803626274</v>
      </c>
      <c r="X1392">
        <v>0.63283533320416208</v>
      </c>
      <c r="Y1392">
        <v>0.36716466679583792</v>
      </c>
      <c r="Z1392" t="s">
        <v>23</v>
      </c>
    </row>
    <row r="1393" spans="1:26" hidden="1" x14ac:dyDescent="0.2">
      <c r="A1393">
        <v>90</v>
      </c>
      <c r="B1393" t="s">
        <v>29</v>
      </c>
      <c r="C1393" s="10">
        <v>10000082</v>
      </c>
      <c r="D1393" t="b">
        <v>1</v>
      </c>
      <c r="F1393">
        <v>0</v>
      </c>
      <c r="G1393">
        <v>0.93333333333333335</v>
      </c>
      <c r="H1393">
        <v>0</v>
      </c>
      <c r="I1393">
        <v>0</v>
      </c>
      <c r="J1393">
        <v>0</v>
      </c>
      <c r="W1393">
        <v>4.9163290284623642</v>
      </c>
      <c r="X1393">
        <v>1</v>
      </c>
      <c r="Y1393">
        <v>0.93333333333333335</v>
      </c>
      <c r="Z1393" t="s">
        <v>23</v>
      </c>
    </row>
    <row r="1394" spans="1:26" hidden="1" x14ac:dyDescent="0.2">
      <c r="A1394">
        <v>90</v>
      </c>
      <c r="B1394" t="s">
        <v>29</v>
      </c>
      <c r="C1394" s="10">
        <v>10000073</v>
      </c>
      <c r="D1394" t="b">
        <v>0</v>
      </c>
      <c r="E1394">
        <v>0</v>
      </c>
      <c r="F1394">
        <v>0</v>
      </c>
      <c r="G1394">
        <v>0</v>
      </c>
      <c r="H1394">
        <v>0.51230234019855381</v>
      </c>
      <c r="I1394">
        <v>0</v>
      </c>
      <c r="J1394">
        <v>0.48769765980144619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6.5627342169358478</v>
      </c>
      <c r="X1394">
        <v>0</v>
      </c>
      <c r="Y1394">
        <v>0.51230234019855381</v>
      </c>
      <c r="Z1394" t="s">
        <v>24</v>
      </c>
    </row>
    <row r="1395" spans="1:26" hidden="1" x14ac:dyDescent="0.2">
      <c r="A1395">
        <v>90</v>
      </c>
      <c r="B1395" t="s">
        <v>35</v>
      </c>
      <c r="C1395" s="10">
        <v>10000082</v>
      </c>
      <c r="D1395" t="b">
        <v>1</v>
      </c>
      <c r="F1395">
        <v>0</v>
      </c>
      <c r="G1395">
        <v>0.99847377501376322</v>
      </c>
      <c r="H1395">
        <v>0</v>
      </c>
      <c r="I1395">
        <v>0</v>
      </c>
      <c r="J1395">
        <v>0</v>
      </c>
      <c r="W1395">
        <v>5.0005902251669649</v>
      </c>
      <c r="X1395">
        <v>1</v>
      </c>
      <c r="Y1395">
        <v>0.99847377501376322</v>
      </c>
      <c r="Z1395" t="s">
        <v>23</v>
      </c>
    </row>
    <row r="1396" spans="1:26" hidden="1" x14ac:dyDescent="0.2">
      <c r="A1396">
        <v>90</v>
      </c>
      <c r="B1396" t="s">
        <v>31</v>
      </c>
      <c r="C1396" s="10">
        <v>10000073</v>
      </c>
      <c r="D1396" t="b">
        <v>0</v>
      </c>
      <c r="E1396">
        <v>0.28571428571428581</v>
      </c>
      <c r="F1396">
        <v>0</v>
      </c>
      <c r="G1396">
        <v>0.51100371576352777</v>
      </c>
      <c r="H1396">
        <v>0</v>
      </c>
      <c r="I1396">
        <v>0.48899628423647229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4.9511598815980857</v>
      </c>
      <c r="X1396">
        <v>0.51100371576352777</v>
      </c>
      <c r="Y1396">
        <v>0.48899628423647229</v>
      </c>
      <c r="Z1396" t="s">
        <v>23</v>
      </c>
    </row>
    <row r="1397" spans="1:26" hidden="1" x14ac:dyDescent="0.2">
      <c r="A1397">
        <v>90</v>
      </c>
      <c r="B1397" t="s">
        <v>35</v>
      </c>
      <c r="C1397" s="10">
        <v>10000033</v>
      </c>
      <c r="D1397" t="b">
        <v>0</v>
      </c>
      <c r="E1397">
        <v>0</v>
      </c>
      <c r="F1397">
        <v>0.32313726134174448</v>
      </c>
      <c r="G1397">
        <v>0.62506528553683405</v>
      </c>
      <c r="H1397">
        <v>0.28571428571428559</v>
      </c>
      <c r="I1397">
        <v>0.37493471446316601</v>
      </c>
      <c r="J1397">
        <v>0.28571428571428559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4.4509851600197976</v>
      </c>
      <c r="X1397">
        <v>0.62506528553683405</v>
      </c>
      <c r="Y1397">
        <v>0.37493471446316601</v>
      </c>
      <c r="Z1397" t="s">
        <v>23</v>
      </c>
    </row>
    <row r="1398" spans="1:26" hidden="1" x14ac:dyDescent="0.2">
      <c r="A1398">
        <v>90</v>
      </c>
      <c r="B1398" t="s">
        <v>35</v>
      </c>
      <c r="C1398" s="10">
        <v>10000047</v>
      </c>
      <c r="D1398" t="b">
        <v>0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3.1666666666666679</v>
      </c>
      <c r="X1398">
        <v>1</v>
      </c>
      <c r="Y1398">
        <v>0</v>
      </c>
      <c r="Z1398" t="s">
        <v>23</v>
      </c>
    </row>
    <row r="1399" spans="1:26" hidden="1" x14ac:dyDescent="0.2">
      <c r="A1399">
        <v>90</v>
      </c>
      <c r="B1399" t="s">
        <v>35</v>
      </c>
      <c r="C1399" s="10">
        <v>10000073</v>
      </c>
      <c r="D1399" t="b">
        <v>0</v>
      </c>
      <c r="E1399">
        <v>0.49633829173132538</v>
      </c>
      <c r="F1399">
        <v>0</v>
      </c>
      <c r="G1399">
        <v>0.50366170826867462</v>
      </c>
      <c r="H1399">
        <v>0</v>
      </c>
      <c r="I1399">
        <v>0.2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4.1561966719942829</v>
      </c>
      <c r="X1399">
        <v>0.50366170826867462</v>
      </c>
      <c r="Y1399">
        <v>0.2</v>
      </c>
      <c r="Z1399" t="s">
        <v>23</v>
      </c>
    </row>
    <row r="1400" spans="1:26" hidden="1" x14ac:dyDescent="0.2">
      <c r="A1400">
        <v>91</v>
      </c>
      <c r="B1400" t="s">
        <v>34</v>
      </c>
      <c r="C1400" s="10">
        <v>10000082</v>
      </c>
      <c r="D1400" t="b">
        <v>1</v>
      </c>
      <c r="F1400">
        <v>0</v>
      </c>
      <c r="G1400">
        <v>0</v>
      </c>
      <c r="H1400">
        <v>0</v>
      </c>
      <c r="I1400">
        <v>0</v>
      </c>
      <c r="J1400">
        <v>0.78555632966235456</v>
      </c>
      <c r="W1400">
        <v>3.1666666666666679</v>
      </c>
      <c r="X1400">
        <v>1</v>
      </c>
      <c r="Y1400">
        <v>0</v>
      </c>
      <c r="Z1400" t="s">
        <v>23</v>
      </c>
    </row>
    <row r="1401" spans="1:26" hidden="1" x14ac:dyDescent="0.2">
      <c r="A1401">
        <v>91</v>
      </c>
      <c r="B1401" t="s">
        <v>34</v>
      </c>
      <c r="C1401" s="10">
        <v>10000033</v>
      </c>
      <c r="D1401" t="b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0.30882977802696898</v>
      </c>
      <c r="Q1401">
        <v>0</v>
      </c>
      <c r="R1401">
        <v>4.66483260491867E-2</v>
      </c>
      <c r="S1401">
        <v>0</v>
      </c>
      <c r="T1401">
        <v>4.66483260491867E-2</v>
      </c>
      <c r="U1401">
        <v>0</v>
      </c>
      <c r="V1401">
        <v>0.69117022197303091</v>
      </c>
      <c r="W1401">
        <v>6.5292518535933057</v>
      </c>
      <c r="X1401">
        <v>4.66483260491867E-2</v>
      </c>
      <c r="Y1401">
        <v>0.69117022197303091</v>
      </c>
      <c r="Z1401" t="s">
        <v>24</v>
      </c>
    </row>
    <row r="1402" spans="1:26" hidden="1" x14ac:dyDescent="0.2">
      <c r="A1402">
        <v>91</v>
      </c>
      <c r="B1402" t="s">
        <v>27</v>
      </c>
      <c r="C1402" s="10">
        <v>10000033</v>
      </c>
      <c r="D1402" t="b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0.29783201904283119</v>
      </c>
      <c r="Q1402">
        <v>0</v>
      </c>
      <c r="R1402">
        <v>5.5536480451755861E-2</v>
      </c>
      <c r="S1402">
        <v>0</v>
      </c>
      <c r="T1402">
        <v>5.5536480451755861E-2</v>
      </c>
      <c r="U1402">
        <v>0</v>
      </c>
      <c r="V1402">
        <v>0.70216798095716881</v>
      </c>
      <c r="W1402">
        <v>6.5117085669249049</v>
      </c>
      <c r="X1402">
        <v>5.5536480451755861E-2</v>
      </c>
      <c r="Y1402">
        <v>0.70216798095716881</v>
      </c>
      <c r="Z1402" t="s">
        <v>24</v>
      </c>
    </row>
    <row r="1403" spans="1:26" hidden="1" x14ac:dyDescent="0.2">
      <c r="A1403">
        <v>91</v>
      </c>
      <c r="B1403" t="s">
        <v>35</v>
      </c>
      <c r="C1403" s="10">
        <v>10000033</v>
      </c>
      <c r="D1403" t="b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0.29865644121418877</v>
      </c>
      <c r="Q1403">
        <v>0</v>
      </c>
      <c r="R1403">
        <v>5.6230978050646037E-2</v>
      </c>
      <c r="S1403">
        <v>0</v>
      </c>
      <c r="T1403">
        <v>5.6230978050646037E-2</v>
      </c>
      <c r="U1403">
        <v>0</v>
      </c>
      <c r="V1403">
        <v>0.70134355878581123</v>
      </c>
      <c r="W1403">
        <v>6.5091121455490031</v>
      </c>
      <c r="X1403">
        <v>5.6230978050646037E-2</v>
      </c>
      <c r="Y1403">
        <v>0.70134355878581123</v>
      </c>
      <c r="Z1403" t="s">
        <v>24</v>
      </c>
    </row>
    <row r="1404" spans="1:26" hidden="1" x14ac:dyDescent="0.2">
      <c r="A1404">
        <v>91</v>
      </c>
      <c r="B1404" t="s">
        <v>26</v>
      </c>
      <c r="C1404" s="10">
        <v>10000047</v>
      </c>
      <c r="D1404" t="b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0.74517568319748029</v>
      </c>
      <c r="P1404">
        <v>0</v>
      </c>
      <c r="Q1404">
        <v>0.25482431680251982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6.0209328814321639</v>
      </c>
      <c r="X1404">
        <v>0.25482431680251982</v>
      </c>
      <c r="Y1404">
        <v>0.74517568319748029</v>
      </c>
      <c r="Z1404" t="s">
        <v>24</v>
      </c>
    </row>
    <row r="1405" spans="1:26" hidden="1" x14ac:dyDescent="0.2">
      <c r="A1405">
        <v>91</v>
      </c>
      <c r="B1405" t="s">
        <v>31</v>
      </c>
      <c r="C1405" s="10">
        <v>10000073</v>
      </c>
      <c r="D1405" t="b">
        <v>1</v>
      </c>
      <c r="E1405">
        <v>0</v>
      </c>
      <c r="F1405">
        <v>0</v>
      </c>
      <c r="G1405">
        <v>0</v>
      </c>
      <c r="H1405">
        <v>0</v>
      </c>
      <c r="I1405">
        <v>0.5661296073770542</v>
      </c>
      <c r="J1405">
        <v>0.30349644684756411</v>
      </c>
      <c r="W1405">
        <v>5.6417108040572002</v>
      </c>
      <c r="X1405">
        <v>0.30349644684756411</v>
      </c>
      <c r="Y1405">
        <v>0.5661296073770542</v>
      </c>
      <c r="Z1405" t="s">
        <v>24</v>
      </c>
    </row>
    <row r="1406" spans="1:26" hidden="1" x14ac:dyDescent="0.2">
      <c r="A1406">
        <v>91</v>
      </c>
      <c r="B1406" t="s">
        <v>33</v>
      </c>
      <c r="C1406" s="10">
        <v>10000033</v>
      </c>
      <c r="D1406" t="b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0.30785792943144519</v>
      </c>
      <c r="Q1406">
        <v>0</v>
      </c>
      <c r="R1406">
        <v>0.16282697707236471</v>
      </c>
      <c r="S1406">
        <v>0</v>
      </c>
      <c r="T1406">
        <v>0.16282697707236471</v>
      </c>
      <c r="U1406">
        <v>0</v>
      </c>
      <c r="V1406">
        <v>0.69214207056855481</v>
      </c>
      <c r="W1406">
        <v>6.2019573468855294</v>
      </c>
      <c r="X1406">
        <v>0.16282697707236471</v>
      </c>
      <c r="Y1406">
        <v>0.69214207056855481</v>
      </c>
      <c r="Z1406" t="s">
        <v>24</v>
      </c>
    </row>
    <row r="1407" spans="1:26" hidden="1" x14ac:dyDescent="0.2">
      <c r="A1407">
        <v>91</v>
      </c>
      <c r="B1407" t="s">
        <v>29</v>
      </c>
      <c r="C1407" s="10">
        <v>10000073</v>
      </c>
      <c r="D1407" t="b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0.41254040358204291</v>
      </c>
      <c r="P1407">
        <v>0</v>
      </c>
      <c r="Q1407">
        <v>0.32020001089700129</v>
      </c>
      <c r="R1407">
        <v>0</v>
      </c>
      <c r="S1407">
        <v>0.32020001089700129</v>
      </c>
      <c r="T1407">
        <v>0</v>
      </c>
      <c r="U1407">
        <v>0.58745959641795709</v>
      </c>
      <c r="V1407">
        <v>0</v>
      </c>
      <c r="W1407">
        <v>5.632130810821157</v>
      </c>
      <c r="X1407">
        <v>0.32020001089700129</v>
      </c>
      <c r="Y1407">
        <v>0.58745959641795709</v>
      </c>
      <c r="Z1407" t="s">
        <v>24</v>
      </c>
    </row>
    <row r="1408" spans="1:26" hidden="1" x14ac:dyDescent="0.2">
      <c r="A1408">
        <v>91</v>
      </c>
      <c r="B1408" t="s">
        <v>28</v>
      </c>
      <c r="C1408" s="10">
        <v>10000073</v>
      </c>
      <c r="D1408" t="b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0.39924111294046899</v>
      </c>
      <c r="P1408">
        <v>0.32020001089700129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0.60075888705953095</v>
      </c>
      <c r="W1408">
        <v>6.6140612065995681</v>
      </c>
      <c r="X1408">
        <v>0</v>
      </c>
      <c r="Y1408">
        <v>0.60075888705953095</v>
      </c>
      <c r="Z1408" t="s">
        <v>24</v>
      </c>
    </row>
    <row r="1409" spans="1:26" hidden="1" x14ac:dyDescent="0.2">
      <c r="A1409">
        <v>91</v>
      </c>
      <c r="B1409" t="s">
        <v>32</v>
      </c>
      <c r="C1409" s="10">
        <v>10000047</v>
      </c>
      <c r="D1409" t="b">
        <v>0</v>
      </c>
      <c r="E1409">
        <v>0</v>
      </c>
      <c r="F1409">
        <v>0</v>
      </c>
      <c r="G1409">
        <v>0</v>
      </c>
      <c r="H1409">
        <v>0</v>
      </c>
      <c r="I1409">
        <v>0.43333333333333329</v>
      </c>
      <c r="J1409">
        <v>0.33333333333333348</v>
      </c>
      <c r="K1409">
        <v>0</v>
      </c>
      <c r="L1409">
        <v>0.56666666666666665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6.5943668861517093</v>
      </c>
      <c r="X1409">
        <v>0</v>
      </c>
      <c r="Y1409">
        <v>0.56666666666666665</v>
      </c>
      <c r="Z1409" t="s">
        <v>24</v>
      </c>
    </row>
    <row r="1410" spans="1:26" hidden="1" x14ac:dyDescent="0.2">
      <c r="A1410">
        <v>91</v>
      </c>
      <c r="B1410" t="s">
        <v>30</v>
      </c>
      <c r="C1410" s="10">
        <v>10000082</v>
      </c>
      <c r="D1410" t="b">
        <v>1</v>
      </c>
      <c r="F1410">
        <v>1.086391394153877E-3</v>
      </c>
      <c r="G1410">
        <v>0.9989136086058461</v>
      </c>
      <c r="H1410">
        <v>0</v>
      </c>
      <c r="I1410">
        <v>0</v>
      </c>
      <c r="J1410">
        <v>0</v>
      </c>
      <c r="W1410">
        <v>5.001141010732213</v>
      </c>
      <c r="X1410">
        <v>1</v>
      </c>
      <c r="Y1410">
        <v>0.9989136086058461</v>
      </c>
      <c r="Z1410" t="s">
        <v>23</v>
      </c>
    </row>
    <row r="1411" spans="1:26" hidden="1" x14ac:dyDescent="0.2">
      <c r="A1411">
        <v>91</v>
      </c>
      <c r="B1411" t="s">
        <v>30</v>
      </c>
      <c r="C1411" s="10">
        <v>10000073</v>
      </c>
      <c r="D1411" t="b">
        <v>0</v>
      </c>
      <c r="E1411">
        <v>0</v>
      </c>
      <c r="F1411">
        <v>0</v>
      </c>
      <c r="G1411">
        <v>0</v>
      </c>
      <c r="H1411">
        <v>0.58430749141288674</v>
      </c>
      <c r="I1411">
        <v>0</v>
      </c>
      <c r="J1411">
        <v>0.41569250858711332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6.6045697198170279</v>
      </c>
      <c r="X1411">
        <v>0</v>
      </c>
      <c r="Y1411">
        <v>0.58430749141288674</v>
      </c>
      <c r="Z1411" t="s">
        <v>24</v>
      </c>
    </row>
    <row r="1412" spans="1:26" hidden="1" x14ac:dyDescent="0.2">
      <c r="A1412">
        <v>92</v>
      </c>
      <c r="B1412" t="s">
        <v>31</v>
      </c>
      <c r="C1412" s="10">
        <v>10000082</v>
      </c>
      <c r="D1412" t="b">
        <v>1</v>
      </c>
      <c r="F1412">
        <v>0</v>
      </c>
      <c r="G1412">
        <v>0</v>
      </c>
      <c r="H1412">
        <v>0</v>
      </c>
      <c r="I1412">
        <v>0.99771689410433395</v>
      </c>
      <c r="J1412">
        <v>1.5631205854617011E-2</v>
      </c>
      <c r="W1412">
        <v>4.9996418467579824</v>
      </c>
      <c r="X1412">
        <v>1</v>
      </c>
      <c r="Y1412">
        <v>0.99771689410433395</v>
      </c>
      <c r="Z1412" t="s">
        <v>23</v>
      </c>
    </row>
    <row r="1413" spans="1:26" hidden="1" x14ac:dyDescent="0.2">
      <c r="A1413">
        <v>92</v>
      </c>
      <c r="B1413" t="s">
        <v>31</v>
      </c>
      <c r="C1413" s="10">
        <v>10000033</v>
      </c>
      <c r="D1413" t="b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0.30882977802696898</v>
      </c>
      <c r="Q1413">
        <v>0</v>
      </c>
      <c r="R1413">
        <v>7.6515020116379923E-2</v>
      </c>
      <c r="S1413">
        <v>0</v>
      </c>
      <c r="T1413">
        <v>7.6515020116379923E-2</v>
      </c>
      <c r="U1413">
        <v>0</v>
      </c>
      <c r="V1413">
        <v>0.69117022197303091</v>
      </c>
      <c r="W1413">
        <v>6.4431444925103314</v>
      </c>
      <c r="X1413">
        <v>7.6515020116379923E-2</v>
      </c>
      <c r="Y1413">
        <v>0.69117022197303091</v>
      </c>
      <c r="Z1413" t="s">
        <v>24</v>
      </c>
    </row>
    <row r="1414" spans="1:26" hidden="1" x14ac:dyDescent="0.2">
      <c r="A1414">
        <v>92</v>
      </c>
      <c r="B1414" t="s">
        <v>26</v>
      </c>
      <c r="C1414" s="10">
        <v>10000033</v>
      </c>
      <c r="D1414" t="b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0.31245616051760222</v>
      </c>
      <c r="Q1414">
        <v>0</v>
      </c>
      <c r="R1414">
        <v>7.6515020116379923E-2</v>
      </c>
      <c r="S1414">
        <v>0</v>
      </c>
      <c r="T1414">
        <v>7.6515020116379923E-2</v>
      </c>
      <c r="U1414">
        <v>0</v>
      </c>
      <c r="V1414">
        <v>0.68754383948239772</v>
      </c>
      <c r="W1414">
        <v>6.4401929223732699</v>
      </c>
      <c r="X1414">
        <v>7.6515020116379923E-2</v>
      </c>
      <c r="Y1414">
        <v>0.68754383948239772</v>
      </c>
      <c r="Z1414" t="s">
        <v>24</v>
      </c>
    </row>
    <row r="1415" spans="1:26" hidden="1" x14ac:dyDescent="0.2">
      <c r="A1415">
        <v>92</v>
      </c>
      <c r="B1415" t="s">
        <v>26</v>
      </c>
      <c r="C1415" s="10">
        <v>10000082</v>
      </c>
      <c r="D1415" t="b">
        <v>1</v>
      </c>
      <c r="F1415">
        <v>0</v>
      </c>
      <c r="G1415">
        <v>0</v>
      </c>
      <c r="H1415">
        <v>0</v>
      </c>
      <c r="I1415">
        <v>1</v>
      </c>
      <c r="J1415">
        <v>0</v>
      </c>
      <c r="W1415">
        <v>5.0025004164584352</v>
      </c>
      <c r="X1415">
        <v>1</v>
      </c>
      <c r="Y1415">
        <v>1</v>
      </c>
      <c r="Z1415" t="s">
        <v>23</v>
      </c>
    </row>
    <row r="1416" spans="1:26" hidden="1" x14ac:dyDescent="0.2">
      <c r="A1416">
        <v>92</v>
      </c>
      <c r="B1416" t="s">
        <v>32</v>
      </c>
      <c r="C1416" s="10">
        <v>10000047</v>
      </c>
      <c r="D1416" t="b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0.75520460688930113</v>
      </c>
      <c r="P1416">
        <v>0</v>
      </c>
      <c r="Q1416">
        <v>0.24479539311069889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6.0573987107804141</v>
      </c>
      <c r="X1416">
        <v>0.24479539311069889</v>
      </c>
      <c r="Y1416">
        <v>0.75520460688930113</v>
      </c>
      <c r="Z1416" t="s">
        <v>24</v>
      </c>
    </row>
    <row r="1417" spans="1:26" hidden="1" x14ac:dyDescent="0.2">
      <c r="A1417">
        <v>92</v>
      </c>
      <c r="B1417" t="s">
        <v>28</v>
      </c>
      <c r="C1417" s="10">
        <v>10000082</v>
      </c>
      <c r="D1417" t="b">
        <v>1</v>
      </c>
      <c r="F1417">
        <v>0</v>
      </c>
      <c r="G1417">
        <v>0</v>
      </c>
      <c r="H1417">
        <v>0</v>
      </c>
      <c r="I1417">
        <v>1</v>
      </c>
      <c r="J1417">
        <v>0</v>
      </c>
      <c r="W1417">
        <v>5.0025004164584352</v>
      </c>
      <c r="X1417">
        <v>1</v>
      </c>
      <c r="Y1417">
        <v>1</v>
      </c>
      <c r="Z1417" t="s">
        <v>23</v>
      </c>
    </row>
    <row r="1418" spans="1:26" hidden="1" x14ac:dyDescent="0.2">
      <c r="A1418">
        <v>92</v>
      </c>
      <c r="B1418" t="s">
        <v>28</v>
      </c>
      <c r="C1418" s="10">
        <v>10000033</v>
      </c>
      <c r="D1418" t="b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0.18181818181818171</v>
      </c>
      <c r="Q1418">
        <v>0.31103618978889092</v>
      </c>
      <c r="R1418">
        <v>0.178687169504501</v>
      </c>
      <c r="S1418">
        <v>0</v>
      </c>
      <c r="T1418">
        <v>0.178687169504501</v>
      </c>
      <c r="U1418">
        <v>0</v>
      </c>
      <c r="V1418">
        <v>0.6889638102111092</v>
      </c>
      <c r="W1418">
        <v>5.8093740385587527</v>
      </c>
      <c r="X1418">
        <v>0.31103618978889092</v>
      </c>
      <c r="Y1418">
        <v>0.6889638102111092</v>
      </c>
      <c r="Z1418" t="s">
        <v>24</v>
      </c>
    </row>
    <row r="1419" spans="1:26" hidden="1" x14ac:dyDescent="0.2">
      <c r="A1419">
        <v>92</v>
      </c>
      <c r="B1419" t="s">
        <v>34</v>
      </c>
      <c r="C1419" s="10">
        <v>10000033</v>
      </c>
      <c r="D1419" t="b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0.31397677956773867</v>
      </c>
      <c r="Q1419">
        <v>0.31397677956773867</v>
      </c>
      <c r="R1419">
        <v>0.178687169504501</v>
      </c>
      <c r="S1419">
        <v>0</v>
      </c>
      <c r="T1419">
        <v>0.178687169504501</v>
      </c>
      <c r="U1419">
        <v>0</v>
      </c>
      <c r="V1419">
        <v>0.57142857142857162</v>
      </c>
      <c r="W1419">
        <v>5.6219213044860252</v>
      </c>
      <c r="X1419">
        <v>0.31397677956773867</v>
      </c>
      <c r="Y1419">
        <v>0.57142857142857162</v>
      </c>
      <c r="Z1419" t="s">
        <v>24</v>
      </c>
    </row>
    <row r="1420" spans="1:26" hidden="1" x14ac:dyDescent="0.2">
      <c r="A1420">
        <v>92</v>
      </c>
      <c r="B1420" t="s">
        <v>34</v>
      </c>
      <c r="C1420" s="10">
        <v>10000082</v>
      </c>
      <c r="D1420" t="b">
        <v>1</v>
      </c>
      <c r="F1420">
        <v>0</v>
      </c>
      <c r="G1420">
        <v>0</v>
      </c>
      <c r="H1420">
        <v>0</v>
      </c>
      <c r="I1420">
        <v>1</v>
      </c>
      <c r="J1420">
        <v>0</v>
      </c>
      <c r="W1420">
        <v>5.0025004164584352</v>
      </c>
      <c r="X1420">
        <v>1</v>
      </c>
      <c r="Y1420">
        <v>1</v>
      </c>
      <c r="Z1420" t="s">
        <v>23</v>
      </c>
    </row>
    <row r="1421" spans="1:26" hidden="1" x14ac:dyDescent="0.2">
      <c r="A1421">
        <v>92</v>
      </c>
      <c r="B1421" t="s">
        <v>29</v>
      </c>
      <c r="C1421" s="10">
        <v>10000082</v>
      </c>
      <c r="D1421" t="b">
        <v>1</v>
      </c>
      <c r="F1421">
        <v>0</v>
      </c>
      <c r="G1421">
        <v>0</v>
      </c>
      <c r="H1421">
        <v>0</v>
      </c>
      <c r="I1421">
        <v>0.80754415419581949</v>
      </c>
      <c r="J1421">
        <v>0.40729621481045142</v>
      </c>
      <c r="W1421">
        <v>4.7383303251452924</v>
      </c>
      <c r="X1421">
        <v>1</v>
      </c>
      <c r="Y1421">
        <v>0.80754415419581949</v>
      </c>
      <c r="Z1421" t="s">
        <v>23</v>
      </c>
    </row>
    <row r="1422" spans="1:26" hidden="1" x14ac:dyDescent="0.2">
      <c r="A1422">
        <v>92</v>
      </c>
      <c r="B1422" t="s">
        <v>29</v>
      </c>
      <c r="C1422" s="10">
        <v>10000073</v>
      </c>
      <c r="D1422" t="b">
        <v>1</v>
      </c>
      <c r="E1422">
        <v>0</v>
      </c>
      <c r="F1422">
        <v>0</v>
      </c>
      <c r="G1422">
        <v>0</v>
      </c>
      <c r="H1422">
        <v>0</v>
      </c>
      <c r="I1422">
        <v>0.55987531311742178</v>
      </c>
      <c r="J1422">
        <v>0.347969391465136</v>
      </c>
      <c r="W1422">
        <v>5.5097747152926493</v>
      </c>
      <c r="X1422">
        <v>0.347969391465136</v>
      </c>
      <c r="Y1422">
        <v>0.55987531311742178</v>
      </c>
      <c r="Z1422" t="s">
        <v>24</v>
      </c>
    </row>
    <row r="1423" spans="1:26" hidden="1" x14ac:dyDescent="0.2">
      <c r="A1423">
        <v>92</v>
      </c>
      <c r="B1423" t="s">
        <v>27</v>
      </c>
      <c r="C1423" s="10">
        <v>10000033</v>
      </c>
      <c r="D1423" t="b">
        <v>0</v>
      </c>
      <c r="E1423">
        <v>0</v>
      </c>
      <c r="F1423">
        <v>0.2583479441570708</v>
      </c>
      <c r="G1423">
        <v>0.3</v>
      </c>
      <c r="H1423">
        <v>0.3</v>
      </c>
      <c r="I1423">
        <v>0.29821877902284488</v>
      </c>
      <c r="J1423">
        <v>0.29821877902284488</v>
      </c>
      <c r="K1423">
        <v>0</v>
      </c>
      <c r="L1423">
        <v>0.60000000000000009</v>
      </c>
      <c r="M1423">
        <v>0.2583479441570708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5.7068222968161839</v>
      </c>
      <c r="X1423">
        <v>0.3</v>
      </c>
      <c r="Y1423">
        <v>0.60000000000000009</v>
      </c>
      <c r="Z1423" t="s">
        <v>24</v>
      </c>
    </row>
    <row r="1424" spans="1:26" hidden="1" x14ac:dyDescent="0.2">
      <c r="A1424">
        <v>92</v>
      </c>
      <c r="B1424" t="s">
        <v>35</v>
      </c>
      <c r="C1424" s="10">
        <v>10000033</v>
      </c>
      <c r="D1424" t="b">
        <v>0</v>
      </c>
      <c r="E1424">
        <v>0</v>
      </c>
      <c r="F1424">
        <v>0.29850139301683482</v>
      </c>
      <c r="G1424">
        <v>0.5</v>
      </c>
      <c r="H1424">
        <v>0.5</v>
      </c>
      <c r="I1424">
        <v>0.29850139301683482</v>
      </c>
      <c r="J1424">
        <v>0.29850139301683482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5.0025004164584352</v>
      </c>
      <c r="X1424">
        <v>0.5</v>
      </c>
      <c r="Y1424">
        <v>0.5</v>
      </c>
      <c r="Z1424" t="s">
        <v>23</v>
      </c>
    </row>
    <row r="1425" spans="1:26" hidden="1" x14ac:dyDescent="0.2">
      <c r="A1425">
        <v>92</v>
      </c>
      <c r="B1425" t="s">
        <v>35</v>
      </c>
      <c r="C1425" s="10">
        <v>10000082</v>
      </c>
      <c r="D1425" t="b">
        <v>1</v>
      </c>
      <c r="F1425">
        <v>0</v>
      </c>
      <c r="G1425">
        <v>0.99876333956564789</v>
      </c>
      <c r="H1425">
        <v>0</v>
      </c>
      <c r="I1425">
        <v>0</v>
      </c>
      <c r="J1425">
        <v>0</v>
      </c>
      <c r="W1425">
        <v>5.0009528622249633</v>
      </c>
      <c r="X1425">
        <v>1</v>
      </c>
      <c r="Y1425">
        <v>0.99876333956564789</v>
      </c>
      <c r="Z1425" t="s">
        <v>23</v>
      </c>
    </row>
    <row r="1426" spans="1:26" hidden="1" x14ac:dyDescent="0.2">
      <c r="A1426">
        <v>92</v>
      </c>
      <c r="B1426" t="s">
        <v>35</v>
      </c>
      <c r="C1426" s="10">
        <v>10000073</v>
      </c>
      <c r="D1426" t="b">
        <v>0</v>
      </c>
      <c r="E1426">
        <v>0.42240361252548758</v>
      </c>
      <c r="F1426">
        <v>0</v>
      </c>
      <c r="G1426">
        <v>0.57759638747451236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3.401816876766202</v>
      </c>
      <c r="X1426">
        <v>0.57759638747451236</v>
      </c>
      <c r="Y1426">
        <v>0</v>
      </c>
      <c r="Z1426" t="s">
        <v>23</v>
      </c>
    </row>
    <row r="1427" spans="1:26" hidden="1" x14ac:dyDescent="0.2">
      <c r="A1427">
        <v>92</v>
      </c>
      <c r="B1427" t="s">
        <v>33</v>
      </c>
      <c r="C1427" s="10">
        <v>10000082</v>
      </c>
      <c r="D1427" t="b">
        <v>1</v>
      </c>
      <c r="F1427">
        <v>0</v>
      </c>
      <c r="G1427">
        <v>0.99876333956564789</v>
      </c>
      <c r="H1427">
        <v>0</v>
      </c>
      <c r="I1427">
        <v>0</v>
      </c>
      <c r="J1427">
        <v>0</v>
      </c>
      <c r="W1427">
        <v>5.0009528622249633</v>
      </c>
      <c r="X1427">
        <v>1</v>
      </c>
      <c r="Y1427">
        <v>0.99876333956564789</v>
      </c>
      <c r="Z1427" t="s">
        <v>23</v>
      </c>
    </row>
    <row r="1428" spans="1:26" hidden="1" x14ac:dyDescent="0.2">
      <c r="A1428">
        <v>92</v>
      </c>
      <c r="B1428" t="s">
        <v>35</v>
      </c>
      <c r="C1428" s="10">
        <v>10000047</v>
      </c>
      <c r="D1428" t="b">
        <v>0</v>
      </c>
      <c r="E1428">
        <v>0.5</v>
      </c>
      <c r="F1428">
        <v>0</v>
      </c>
      <c r="G1428">
        <v>0</v>
      </c>
      <c r="H1428">
        <v>0</v>
      </c>
      <c r="I1428">
        <v>0.5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5.0025004164584352</v>
      </c>
      <c r="X1428">
        <v>0.5</v>
      </c>
      <c r="Y1428">
        <v>0.5</v>
      </c>
      <c r="Z1428" t="s">
        <v>23</v>
      </c>
    </row>
    <row r="1429" spans="1:26" hidden="1" x14ac:dyDescent="0.2">
      <c r="A1429">
        <v>92</v>
      </c>
      <c r="B1429" t="s">
        <v>33</v>
      </c>
      <c r="C1429" s="10">
        <v>10000047</v>
      </c>
      <c r="D1429" t="b">
        <v>0</v>
      </c>
      <c r="E1429">
        <v>0</v>
      </c>
      <c r="F1429">
        <v>0</v>
      </c>
      <c r="G1429">
        <v>0</v>
      </c>
      <c r="H1429">
        <v>0</v>
      </c>
      <c r="I1429">
        <v>0.62297217193493237</v>
      </c>
      <c r="J1429">
        <v>0.18181818181818171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6.6268350046307702</v>
      </c>
      <c r="X1429">
        <v>0</v>
      </c>
      <c r="Y1429">
        <v>0.62297217193493237</v>
      </c>
      <c r="Z1429" t="s">
        <v>24</v>
      </c>
    </row>
    <row r="1430" spans="1:26" hidden="1" x14ac:dyDescent="0.2">
      <c r="A1430">
        <v>92</v>
      </c>
      <c r="B1430" t="s">
        <v>30</v>
      </c>
      <c r="C1430" s="10">
        <v>10000082</v>
      </c>
      <c r="D1430" t="b">
        <v>1</v>
      </c>
      <c r="F1430">
        <v>0</v>
      </c>
      <c r="G1430">
        <v>0.94408015464615447</v>
      </c>
      <c r="H1430">
        <v>0</v>
      </c>
      <c r="I1430">
        <v>0</v>
      </c>
      <c r="J1430">
        <v>0</v>
      </c>
      <c r="W1430">
        <v>4.9305996485476626</v>
      </c>
      <c r="X1430">
        <v>1</v>
      </c>
      <c r="Y1430">
        <v>0.94408015464615447</v>
      </c>
      <c r="Z1430" t="s">
        <v>23</v>
      </c>
    </row>
    <row r="1431" spans="1:26" hidden="1" x14ac:dyDescent="0.2">
      <c r="A1431">
        <v>92</v>
      </c>
      <c r="B1431" t="s">
        <v>30</v>
      </c>
      <c r="C1431" s="10">
        <v>10000033</v>
      </c>
      <c r="D1431" t="b">
        <v>0</v>
      </c>
      <c r="E1431">
        <v>0</v>
      </c>
      <c r="F1431">
        <v>0.30068693455755008</v>
      </c>
      <c r="G1431">
        <v>0.5</v>
      </c>
      <c r="H1431">
        <v>0.5</v>
      </c>
      <c r="I1431">
        <v>0.30068693455755008</v>
      </c>
      <c r="J1431">
        <v>0.30068693455755008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5.0025004164584352</v>
      </c>
      <c r="X1431">
        <v>0.5</v>
      </c>
      <c r="Y1431">
        <v>0.5</v>
      </c>
      <c r="Z1431" t="s">
        <v>23</v>
      </c>
    </row>
    <row r="1432" spans="1:26" hidden="1" x14ac:dyDescent="0.2">
      <c r="A1432">
        <v>92</v>
      </c>
      <c r="B1432" t="s">
        <v>30</v>
      </c>
      <c r="C1432" s="10">
        <v>10000073</v>
      </c>
      <c r="D1432" t="b">
        <v>0</v>
      </c>
      <c r="E1432">
        <v>0.42535685120474243</v>
      </c>
      <c r="F1432">
        <v>0</v>
      </c>
      <c r="G1432">
        <v>0.57464314879525757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3.403525194846738</v>
      </c>
      <c r="X1432">
        <v>0.57464314879525757</v>
      </c>
      <c r="Y1432">
        <v>0</v>
      </c>
      <c r="Z1432" t="s">
        <v>23</v>
      </c>
    </row>
    <row r="1433" spans="1:26" hidden="1" x14ac:dyDescent="0.2">
      <c r="A1433">
        <v>92</v>
      </c>
      <c r="B1433" t="s">
        <v>30</v>
      </c>
      <c r="C1433" s="10">
        <v>10000047</v>
      </c>
      <c r="D1433" t="b">
        <v>0</v>
      </c>
      <c r="E1433">
        <v>0.15384615384615369</v>
      </c>
      <c r="F1433">
        <v>0</v>
      </c>
      <c r="G1433">
        <v>0</v>
      </c>
      <c r="H1433">
        <v>0</v>
      </c>
      <c r="I1433">
        <v>0.62297217193493237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6.1520083794052676</v>
      </c>
      <c r="X1433">
        <v>0.15384615384615369</v>
      </c>
      <c r="Y1433">
        <v>0.62297217193493237</v>
      </c>
      <c r="Z1433" t="s">
        <v>24</v>
      </c>
    </row>
    <row r="1434" spans="1:26" hidden="1" x14ac:dyDescent="0.2">
      <c r="A1434">
        <v>93</v>
      </c>
      <c r="B1434" t="s">
        <v>35</v>
      </c>
      <c r="C1434" s="10">
        <v>10000033</v>
      </c>
      <c r="D1434" t="b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0.30882977802696898</v>
      </c>
      <c r="Q1434">
        <v>0</v>
      </c>
      <c r="R1434">
        <v>0.15659185388893851</v>
      </c>
      <c r="S1434">
        <v>0</v>
      </c>
      <c r="T1434">
        <v>0.15659185388893851</v>
      </c>
      <c r="U1434">
        <v>0</v>
      </c>
      <c r="V1434">
        <v>0.69117022197303091</v>
      </c>
      <c r="W1434">
        <v>6.2180745437916167</v>
      </c>
      <c r="X1434">
        <v>0.15659185388893851</v>
      </c>
      <c r="Y1434">
        <v>0.69117022197303091</v>
      </c>
      <c r="Z1434" t="s">
        <v>24</v>
      </c>
    </row>
    <row r="1435" spans="1:26" hidden="1" x14ac:dyDescent="0.2">
      <c r="A1435">
        <v>93</v>
      </c>
      <c r="B1435" t="s">
        <v>31</v>
      </c>
      <c r="C1435" s="10">
        <v>10000082</v>
      </c>
      <c r="D1435" t="b">
        <v>1</v>
      </c>
      <c r="F1435">
        <v>0</v>
      </c>
      <c r="G1435">
        <v>0</v>
      </c>
      <c r="H1435">
        <v>0</v>
      </c>
      <c r="I1435">
        <v>0.71914572671001109</v>
      </c>
      <c r="J1435">
        <v>0.40988675075635189</v>
      </c>
      <c r="W1435">
        <v>4.6010993229737966</v>
      </c>
      <c r="X1435">
        <v>1</v>
      </c>
      <c r="Y1435">
        <v>0.71914572671001109</v>
      </c>
      <c r="Z1435" t="s">
        <v>23</v>
      </c>
    </row>
    <row r="1436" spans="1:26" hidden="1" x14ac:dyDescent="0.2">
      <c r="A1436">
        <v>93</v>
      </c>
      <c r="B1436" t="s">
        <v>26</v>
      </c>
      <c r="C1436" s="10">
        <v>10000073</v>
      </c>
      <c r="D1436" t="b">
        <v>1</v>
      </c>
      <c r="E1436">
        <v>0</v>
      </c>
      <c r="F1436">
        <v>0</v>
      </c>
      <c r="G1436">
        <v>0</v>
      </c>
      <c r="H1436">
        <v>0</v>
      </c>
      <c r="I1436">
        <v>0.55822261345547719</v>
      </c>
      <c r="J1436">
        <v>0.35051229935018802</v>
      </c>
      <c r="W1436">
        <v>5.4999716815516759</v>
      </c>
      <c r="X1436">
        <v>0.35051229935018802</v>
      </c>
      <c r="Y1436">
        <v>0.55822261345547719</v>
      </c>
      <c r="Z1436" t="s">
        <v>24</v>
      </c>
    </row>
    <row r="1437" spans="1:26" hidden="1" x14ac:dyDescent="0.2">
      <c r="A1437">
        <v>93</v>
      </c>
      <c r="B1437" t="s">
        <v>31</v>
      </c>
      <c r="C1437" s="10">
        <v>10000073</v>
      </c>
      <c r="D1437" t="b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0.44395435731950678</v>
      </c>
      <c r="P1437">
        <v>0</v>
      </c>
      <c r="Q1437">
        <v>0.35628777265902872</v>
      </c>
      <c r="R1437">
        <v>0</v>
      </c>
      <c r="S1437">
        <v>0.35628777265902872</v>
      </c>
      <c r="T1437">
        <v>0</v>
      </c>
      <c r="U1437">
        <v>0.55604564268049328</v>
      </c>
      <c r="V1437">
        <v>0</v>
      </c>
      <c r="W1437">
        <v>5.4805967750644147</v>
      </c>
      <c r="X1437">
        <v>0.35628777265902872</v>
      </c>
      <c r="Y1437">
        <v>0.55604564268049328</v>
      </c>
      <c r="Z1437" t="s">
        <v>24</v>
      </c>
    </row>
    <row r="1438" spans="1:26" hidden="1" x14ac:dyDescent="0.2">
      <c r="A1438">
        <v>93</v>
      </c>
      <c r="B1438" t="s">
        <v>32</v>
      </c>
      <c r="C1438" s="10">
        <v>10000073</v>
      </c>
      <c r="D1438" t="b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0.44339458668474818</v>
      </c>
      <c r="P1438">
        <v>0</v>
      </c>
      <c r="Q1438">
        <v>0.35628777265902872</v>
      </c>
      <c r="R1438">
        <v>0</v>
      </c>
      <c r="S1438">
        <v>0.35628777265902872</v>
      </c>
      <c r="T1438">
        <v>0</v>
      </c>
      <c r="U1438">
        <v>0.55660541331525182</v>
      </c>
      <c r="V1438">
        <v>0</v>
      </c>
      <c r="W1438">
        <v>5.4816352493794778</v>
      </c>
      <c r="X1438">
        <v>0.35628777265902872</v>
      </c>
      <c r="Y1438">
        <v>0.55660541331525182</v>
      </c>
      <c r="Z1438" t="s">
        <v>24</v>
      </c>
    </row>
    <row r="1439" spans="1:26" hidden="1" x14ac:dyDescent="0.2">
      <c r="A1439">
        <v>93</v>
      </c>
      <c r="B1439" t="s">
        <v>28</v>
      </c>
      <c r="C1439" s="10">
        <v>10000033</v>
      </c>
      <c r="D1439" t="b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0.32214468389482681</v>
      </c>
      <c r="Q1439">
        <v>0</v>
      </c>
      <c r="R1439">
        <v>0.22952270661937479</v>
      </c>
      <c r="S1439">
        <v>0</v>
      </c>
      <c r="T1439">
        <v>0.22952270661937479</v>
      </c>
      <c r="U1439">
        <v>0</v>
      </c>
      <c r="V1439">
        <v>0.67785531610517324</v>
      </c>
      <c r="W1439">
        <v>6.005219240172309</v>
      </c>
      <c r="X1439">
        <v>0.22952270661937479</v>
      </c>
      <c r="Y1439">
        <v>0.67785531610517324</v>
      </c>
      <c r="Z1439" t="s">
        <v>24</v>
      </c>
    </row>
    <row r="1440" spans="1:26" hidden="1" x14ac:dyDescent="0.2">
      <c r="A1440">
        <v>93</v>
      </c>
      <c r="B1440" t="s">
        <v>27</v>
      </c>
      <c r="C1440" s="10">
        <v>10000082</v>
      </c>
      <c r="D1440" t="b">
        <v>1</v>
      </c>
      <c r="F1440">
        <v>0</v>
      </c>
      <c r="G1440">
        <v>0</v>
      </c>
      <c r="H1440">
        <v>0</v>
      </c>
      <c r="I1440">
        <v>0</v>
      </c>
      <c r="J1440">
        <v>0.89216416571284296</v>
      </c>
      <c r="W1440">
        <v>3.1666666666666679</v>
      </c>
      <c r="X1440">
        <v>1</v>
      </c>
      <c r="Y1440">
        <v>0</v>
      </c>
      <c r="Z1440" t="s">
        <v>23</v>
      </c>
    </row>
    <row r="1441" spans="1:26" hidden="1" x14ac:dyDescent="0.2">
      <c r="A1441">
        <v>93</v>
      </c>
      <c r="B1441" t="s">
        <v>27</v>
      </c>
      <c r="C1441" s="10">
        <v>10000073</v>
      </c>
      <c r="D1441" t="b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0.4479609666509185</v>
      </c>
      <c r="P1441">
        <v>0</v>
      </c>
      <c r="Q1441">
        <v>0.4479609666509185</v>
      </c>
      <c r="R1441">
        <v>0</v>
      </c>
      <c r="S1441">
        <v>0.45810329203625511</v>
      </c>
      <c r="T1441">
        <v>0</v>
      </c>
      <c r="U1441">
        <v>0.54189670796374489</v>
      </c>
      <c r="V1441">
        <v>0</v>
      </c>
      <c r="W1441">
        <v>5.1948831682327423</v>
      </c>
      <c r="X1441">
        <v>0.45810329203625511</v>
      </c>
      <c r="Y1441">
        <v>0.54189670796374489</v>
      </c>
      <c r="Z1441" t="s">
        <v>24</v>
      </c>
    </row>
    <row r="1442" spans="1:26" hidden="1" x14ac:dyDescent="0.2">
      <c r="A1442">
        <v>93</v>
      </c>
      <c r="B1442" t="s">
        <v>30</v>
      </c>
      <c r="C1442" s="10">
        <v>10000033</v>
      </c>
      <c r="D1442" t="b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0.34627783083574359</v>
      </c>
      <c r="Q1442">
        <v>0</v>
      </c>
      <c r="R1442">
        <v>0.34627783083574359</v>
      </c>
      <c r="S1442">
        <v>0</v>
      </c>
      <c r="T1442">
        <v>0.35647675509263638</v>
      </c>
      <c r="U1442">
        <v>0</v>
      </c>
      <c r="V1442">
        <v>0.64352324490736357</v>
      </c>
      <c r="W1442">
        <v>5.6291958145841621</v>
      </c>
      <c r="X1442">
        <v>0.35647675509263638</v>
      </c>
      <c r="Y1442">
        <v>0.64352324490736357</v>
      </c>
      <c r="Z1442" t="s">
        <v>24</v>
      </c>
    </row>
    <row r="1443" spans="1:26" hidden="1" x14ac:dyDescent="0.2">
      <c r="A1443">
        <v>93</v>
      </c>
      <c r="B1443" t="s">
        <v>29</v>
      </c>
      <c r="C1443" s="10">
        <v>10000033</v>
      </c>
      <c r="D1443" t="b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0.46666666666666667</v>
      </c>
      <c r="M1443">
        <v>0.36113791990373822</v>
      </c>
      <c r="N1443">
        <v>0</v>
      </c>
      <c r="O1443">
        <v>0</v>
      </c>
      <c r="P1443">
        <v>0.34934483875812589</v>
      </c>
      <c r="Q1443">
        <v>0</v>
      </c>
      <c r="R1443">
        <v>0.34934483875812589</v>
      </c>
      <c r="S1443">
        <v>0</v>
      </c>
      <c r="T1443">
        <v>0.36113791990373822</v>
      </c>
      <c r="U1443">
        <v>0</v>
      </c>
      <c r="V1443">
        <v>0.53333333333333333</v>
      </c>
      <c r="W1443">
        <v>5.4243672813006398</v>
      </c>
      <c r="X1443">
        <v>0.36113791990373822</v>
      </c>
      <c r="Y1443">
        <v>0.53333333333333333</v>
      </c>
      <c r="Z1443" t="s">
        <v>24</v>
      </c>
    </row>
    <row r="1444" spans="1:26" hidden="1" x14ac:dyDescent="0.2">
      <c r="A1444">
        <v>93</v>
      </c>
      <c r="B1444" t="s">
        <v>33</v>
      </c>
      <c r="C1444" s="10">
        <v>10000082</v>
      </c>
      <c r="D1444" t="b">
        <v>1</v>
      </c>
      <c r="F1444">
        <v>0</v>
      </c>
      <c r="G1444">
        <v>0.62919407340896294</v>
      </c>
      <c r="H1444">
        <v>0</v>
      </c>
      <c r="I1444">
        <v>0.3</v>
      </c>
      <c r="J1444">
        <v>0.3</v>
      </c>
      <c r="W1444">
        <v>4.4512408030752848</v>
      </c>
      <c r="X1444">
        <v>1</v>
      </c>
      <c r="Y1444">
        <v>0.62919407340896294</v>
      </c>
      <c r="Z1444" t="s">
        <v>23</v>
      </c>
    </row>
    <row r="1445" spans="1:26" hidden="1" x14ac:dyDescent="0.2">
      <c r="A1445">
        <v>93</v>
      </c>
      <c r="B1445" t="s">
        <v>33</v>
      </c>
      <c r="C1445" s="10">
        <v>10000033</v>
      </c>
      <c r="D1445" t="b">
        <v>0</v>
      </c>
      <c r="E1445">
        <v>0</v>
      </c>
      <c r="F1445">
        <v>0</v>
      </c>
      <c r="G1445">
        <v>0</v>
      </c>
      <c r="H1445">
        <v>0.65099664845112482</v>
      </c>
      <c r="I1445">
        <v>0</v>
      </c>
      <c r="J1445">
        <v>0.34900335154887518</v>
      </c>
      <c r="K1445">
        <v>0</v>
      </c>
      <c r="L1445">
        <v>0.16666666666666671</v>
      </c>
      <c r="M1445">
        <v>0.16666666666666671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6.1465447964903408</v>
      </c>
      <c r="X1445">
        <v>0.16666666666666671</v>
      </c>
      <c r="Y1445">
        <v>0.65099664845112482</v>
      </c>
      <c r="Z1445" t="s">
        <v>24</v>
      </c>
    </row>
    <row r="1446" spans="1:26" hidden="1" x14ac:dyDescent="0.2">
      <c r="A1446">
        <v>93</v>
      </c>
      <c r="B1446" t="s">
        <v>34</v>
      </c>
      <c r="C1446" s="10">
        <v>10000073</v>
      </c>
      <c r="D1446" t="b">
        <v>0</v>
      </c>
      <c r="E1446">
        <v>0.44311527490013392</v>
      </c>
      <c r="F1446">
        <v>0</v>
      </c>
      <c r="G1446">
        <v>0.5568847250998662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3.4138143563412719</v>
      </c>
      <c r="X1446">
        <v>0.5568847250998662</v>
      </c>
      <c r="Y1446">
        <v>0</v>
      </c>
      <c r="Z1446" t="s">
        <v>23</v>
      </c>
    </row>
    <row r="1447" spans="1:26" hidden="1" x14ac:dyDescent="0.2">
      <c r="A1447">
        <v>93</v>
      </c>
      <c r="B1447" t="s">
        <v>34</v>
      </c>
      <c r="C1447" s="10">
        <v>10000082</v>
      </c>
      <c r="D1447" t="b">
        <v>1</v>
      </c>
      <c r="F1447">
        <v>0</v>
      </c>
      <c r="G1447">
        <v>0.96582524017829097</v>
      </c>
      <c r="H1447">
        <v>0</v>
      </c>
      <c r="I1447">
        <v>0</v>
      </c>
      <c r="J1447">
        <v>0</v>
      </c>
      <c r="W1447">
        <v>4.9590275998867552</v>
      </c>
      <c r="X1447">
        <v>1</v>
      </c>
      <c r="Y1447">
        <v>0.96582524017829097</v>
      </c>
      <c r="Z1447" t="s">
        <v>23</v>
      </c>
    </row>
    <row r="1448" spans="1:26" hidden="1" x14ac:dyDescent="0.2">
      <c r="A1448">
        <v>93</v>
      </c>
      <c r="B1448" t="s">
        <v>34</v>
      </c>
      <c r="C1448" s="10">
        <v>10000033</v>
      </c>
      <c r="D1448" t="b">
        <v>0</v>
      </c>
      <c r="E1448">
        <v>0</v>
      </c>
      <c r="F1448">
        <v>0.320741358578919</v>
      </c>
      <c r="G1448">
        <v>0.63636363636363624</v>
      </c>
      <c r="H1448">
        <v>0.36363636363636381</v>
      </c>
      <c r="I1448">
        <v>0.320741358578919</v>
      </c>
      <c r="J1448">
        <v>0.320741358578919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4.404491044183465</v>
      </c>
      <c r="X1448">
        <v>0.63636363636363624</v>
      </c>
      <c r="Y1448">
        <v>0.36363636363636381</v>
      </c>
      <c r="Z1448" t="s">
        <v>23</v>
      </c>
    </row>
    <row r="1449" spans="1:26" hidden="1" x14ac:dyDescent="0.2">
      <c r="A1449">
        <v>93</v>
      </c>
      <c r="B1449" t="s">
        <v>34</v>
      </c>
      <c r="C1449" s="10">
        <v>10000047</v>
      </c>
      <c r="D1449" t="b">
        <v>0</v>
      </c>
      <c r="E1449">
        <v>0.85714285714285721</v>
      </c>
      <c r="F1449">
        <v>0</v>
      </c>
      <c r="G1449">
        <v>0</v>
      </c>
      <c r="H1449">
        <v>0</v>
      </c>
      <c r="I1449">
        <v>0.14285714285714279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3.596428214761783</v>
      </c>
      <c r="X1449">
        <v>0.85714285714285721</v>
      </c>
      <c r="Y1449">
        <v>0.14285714285714279</v>
      </c>
      <c r="Z1449" t="s">
        <v>23</v>
      </c>
    </row>
    <row r="1450" spans="1:26" hidden="1" x14ac:dyDescent="0.2">
      <c r="A1450">
        <v>94</v>
      </c>
      <c r="B1450" t="s">
        <v>28</v>
      </c>
      <c r="C1450" s="10">
        <v>10000073</v>
      </c>
      <c r="D1450" t="b">
        <v>1</v>
      </c>
      <c r="E1450">
        <v>0</v>
      </c>
      <c r="F1450">
        <v>0</v>
      </c>
      <c r="G1450">
        <v>0</v>
      </c>
      <c r="H1450">
        <v>0</v>
      </c>
      <c r="I1450">
        <v>0.56863916504108691</v>
      </c>
      <c r="J1450">
        <v>0.20194723779497811</v>
      </c>
      <c r="W1450">
        <v>5.9395220983728194</v>
      </c>
      <c r="X1450">
        <v>0.20194723779497811</v>
      </c>
      <c r="Y1450">
        <v>0.56863916504108691</v>
      </c>
      <c r="Z1450" t="s">
        <v>24</v>
      </c>
    </row>
    <row r="1451" spans="1:26" hidden="1" x14ac:dyDescent="0.2">
      <c r="A1451">
        <v>94</v>
      </c>
      <c r="B1451" t="s">
        <v>27</v>
      </c>
      <c r="C1451" s="10">
        <v>10000047</v>
      </c>
      <c r="D1451" t="b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0.81816221710296844</v>
      </c>
      <c r="P1451">
        <v>0</v>
      </c>
      <c r="Q1451">
        <v>0.18183778289703151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6.2777470794146772</v>
      </c>
      <c r="X1451">
        <v>0.18183778289703151</v>
      </c>
      <c r="Y1451">
        <v>0.81816221710296844</v>
      </c>
      <c r="Z1451" t="s">
        <v>24</v>
      </c>
    </row>
    <row r="1452" spans="1:26" hidden="1" x14ac:dyDescent="0.2">
      <c r="A1452">
        <v>94</v>
      </c>
      <c r="B1452" t="s">
        <v>26</v>
      </c>
      <c r="C1452" s="10">
        <v>10000047</v>
      </c>
      <c r="D1452" t="b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0.81816221710296844</v>
      </c>
      <c r="P1452">
        <v>0</v>
      </c>
      <c r="Q1452">
        <v>0.18183778289703151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6.2777470794146772</v>
      </c>
      <c r="X1452">
        <v>0.18183778289703151</v>
      </c>
      <c r="Y1452">
        <v>0.81816221710296844</v>
      </c>
      <c r="Z1452" t="s">
        <v>24</v>
      </c>
    </row>
    <row r="1453" spans="1:26" hidden="1" x14ac:dyDescent="0.2">
      <c r="A1453">
        <v>94</v>
      </c>
      <c r="B1453" t="s">
        <v>33</v>
      </c>
      <c r="C1453" s="10">
        <v>10000082</v>
      </c>
      <c r="D1453" t="b">
        <v>1</v>
      </c>
      <c r="F1453">
        <v>0</v>
      </c>
      <c r="G1453">
        <v>0</v>
      </c>
      <c r="H1453">
        <v>0</v>
      </c>
      <c r="I1453">
        <v>0.99932468345711201</v>
      </c>
      <c r="J1453">
        <v>3.538569549370265E-2</v>
      </c>
      <c r="W1453">
        <v>5.0016555639296172</v>
      </c>
      <c r="X1453">
        <v>1</v>
      </c>
      <c r="Y1453">
        <v>0.99932468345711201</v>
      </c>
      <c r="Z1453" t="s">
        <v>23</v>
      </c>
    </row>
    <row r="1454" spans="1:26" hidden="1" x14ac:dyDescent="0.2">
      <c r="A1454">
        <v>94</v>
      </c>
      <c r="B1454" t="s">
        <v>29</v>
      </c>
      <c r="C1454" s="10">
        <v>10000033</v>
      </c>
      <c r="D1454" t="b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0.31428885589432137</v>
      </c>
      <c r="Q1454">
        <v>0</v>
      </c>
      <c r="R1454">
        <v>0.15787836216675349</v>
      </c>
      <c r="S1454">
        <v>0</v>
      </c>
      <c r="T1454">
        <v>0.15787836216675349</v>
      </c>
      <c r="U1454">
        <v>0</v>
      </c>
      <c r="V1454">
        <v>0.68571114410567857</v>
      </c>
      <c r="W1454">
        <v>6.208841051814753</v>
      </c>
      <c r="X1454">
        <v>0.15787836216675349</v>
      </c>
      <c r="Y1454">
        <v>0.68571114410567857</v>
      </c>
      <c r="Z1454" t="s">
        <v>24</v>
      </c>
    </row>
    <row r="1455" spans="1:26" hidden="1" x14ac:dyDescent="0.2">
      <c r="A1455">
        <v>94</v>
      </c>
      <c r="B1455" t="s">
        <v>33</v>
      </c>
      <c r="C1455" s="10">
        <v>10000047</v>
      </c>
      <c r="D1455" t="b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0.75018106965117848</v>
      </c>
      <c r="P1455">
        <v>0</v>
      </c>
      <c r="Q1455">
        <v>0.24981893034882149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6.0391801792108266</v>
      </c>
      <c r="X1455">
        <v>0.24981893034882149</v>
      </c>
      <c r="Y1455">
        <v>0.75018106965117848</v>
      </c>
      <c r="Z1455" t="s">
        <v>24</v>
      </c>
    </row>
    <row r="1456" spans="1:26" hidden="1" x14ac:dyDescent="0.2">
      <c r="A1456">
        <v>94</v>
      </c>
      <c r="B1456" t="s">
        <v>32</v>
      </c>
      <c r="C1456" s="10">
        <v>10000033</v>
      </c>
      <c r="D1456" t="b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0.32156347232617077</v>
      </c>
      <c r="Q1456">
        <v>0.32156347232617077</v>
      </c>
      <c r="R1456">
        <v>0.15787836216675349</v>
      </c>
      <c r="S1456">
        <v>0</v>
      </c>
      <c r="T1456">
        <v>0.15787836216675349</v>
      </c>
      <c r="U1456">
        <v>0</v>
      </c>
      <c r="V1456">
        <v>0.60000000000000009</v>
      </c>
      <c r="W1456">
        <v>5.6491651210471527</v>
      </c>
      <c r="X1456">
        <v>0.32156347232617077</v>
      </c>
      <c r="Y1456">
        <v>0.60000000000000009</v>
      </c>
      <c r="Z1456" t="s">
        <v>24</v>
      </c>
    </row>
    <row r="1457" spans="1:26" hidden="1" x14ac:dyDescent="0.2">
      <c r="A1457">
        <v>94</v>
      </c>
      <c r="B1457" t="s">
        <v>30</v>
      </c>
      <c r="C1457" s="10">
        <v>10000073</v>
      </c>
      <c r="D1457" t="b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0.44702572756090159</v>
      </c>
      <c r="P1457">
        <v>0</v>
      </c>
      <c r="Q1457">
        <v>0.32431451425056729</v>
      </c>
      <c r="R1457">
        <v>0</v>
      </c>
      <c r="S1457">
        <v>0.32431451425056729</v>
      </c>
      <c r="T1457">
        <v>0</v>
      </c>
      <c r="U1457">
        <v>0.55297427243909836</v>
      </c>
      <c r="V1457">
        <v>0</v>
      </c>
      <c r="W1457">
        <v>5.5613029699173007</v>
      </c>
      <c r="X1457">
        <v>0.32431451425056729</v>
      </c>
      <c r="Y1457">
        <v>0.55297427243909836</v>
      </c>
      <c r="Z1457" t="s">
        <v>24</v>
      </c>
    </row>
    <row r="1458" spans="1:26" hidden="1" x14ac:dyDescent="0.2">
      <c r="A1458">
        <v>94</v>
      </c>
      <c r="B1458" t="s">
        <v>34</v>
      </c>
      <c r="C1458" s="10">
        <v>10000033</v>
      </c>
      <c r="D1458" t="b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0.33427708578317022</v>
      </c>
      <c r="Q1458">
        <v>0.33427708578317022</v>
      </c>
      <c r="R1458">
        <v>0.20351037456469159</v>
      </c>
      <c r="S1458">
        <v>0</v>
      </c>
      <c r="T1458">
        <v>0.20351037456469159</v>
      </c>
      <c r="U1458">
        <v>0</v>
      </c>
      <c r="V1458">
        <v>0.54545454545454541</v>
      </c>
      <c r="W1458">
        <v>5.5202896639101411</v>
      </c>
      <c r="X1458">
        <v>0.33427708578317022</v>
      </c>
      <c r="Y1458">
        <v>0.54545454545454541</v>
      </c>
      <c r="Z1458" t="s">
        <v>24</v>
      </c>
    </row>
    <row r="1459" spans="1:26" hidden="1" x14ac:dyDescent="0.2">
      <c r="A1459">
        <v>94</v>
      </c>
      <c r="B1459" t="s">
        <v>31</v>
      </c>
      <c r="C1459" s="10">
        <v>10000073</v>
      </c>
      <c r="D1459" t="b">
        <v>0</v>
      </c>
      <c r="E1459">
        <v>0.44955834672116879</v>
      </c>
      <c r="F1459">
        <v>0</v>
      </c>
      <c r="G1459">
        <v>0.55044165327883121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3.4175535057045279</v>
      </c>
      <c r="X1459">
        <v>0.55044165327883121</v>
      </c>
      <c r="Y1459">
        <v>0</v>
      </c>
      <c r="Z1459" t="s">
        <v>23</v>
      </c>
    </row>
    <row r="1460" spans="1:26" hidden="1" x14ac:dyDescent="0.2">
      <c r="A1460">
        <v>94</v>
      </c>
      <c r="B1460" t="s">
        <v>31</v>
      </c>
      <c r="C1460" s="10">
        <v>10000082</v>
      </c>
      <c r="D1460" t="b">
        <v>1</v>
      </c>
      <c r="F1460">
        <v>0</v>
      </c>
      <c r="G1460">
        <v>0.99932986359683007</v>
      </c>
      <c r="H1460">
        <v>0</v>
      </c>
      <c r="I1460">
        <v>0</v>
      </c>
      <c r="J1460">
        <v>0</v>
      </c>
      <c r="W1460">
        <v>5.0016620466974331</v>
      </c>
      <c r="X1460">
        <v>1</v>
      </c>
      <c r="Y1460">
        <v>0.99932986359683007</v>
      </c>
      <c r="Z1460" t="s">
        <v>23</v>
      </c>
    </row>
    <row r="1461" spans="1:26" hidden="1" x14ac:dyDescent="0.2">
      <c r="A1461">
        <v>94</v>
      </c>
      <c r="B1461" t="s">
        <v>35</v>
      </c>
      <c r="C1461" s="10">
        <v>10000033</v>
      </c>
      <c r="D1461" t="b">
        <v>0</v>
      </c>
      <c r="E1461">
        <v>0</v>
      </c>
      <c r="F1461">
        <v>0.3263964289205708</v>
      </c>
      <c r="G1461">
        <v>0.67360357107942914</v>
      </c>
      <c r="H1461">
        <v>0</v>
      </c>
      <c r="I1461">
        <v>0.3263964289205708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4.2549610926757886</v>
      </c>
      <c r="X1461">
        <v>0.67360357107942914</v>
      </c>
      <c r="Y1461">
        <v>0.3263964289205708</v>
      </c>
      <c r="Z1461" t="s">
        <v>23</v>
      </c>
    </row>
    <row r="1462" spans="1:26" hidden="1" x14ac:dyDescent="0.2">
      <c r="A1462">
        <v>94</v>
      </c>
      <c r="B1462" t="s">
        <v>31</v>
      </c>
      <c r="C1462" s="10">
        <v>10000033</v>
      </c>
      <c r="D1462" t="b">
        <v>0</v>
      </c>
      <c r="E1462">
        <v>0</v>
      </c>
      <c r="F1462">
        <v>0.3263964289205708</v>
      </c>
      <c r="G1462">
        <v>0.67360357107942914</v>
      </c>
      <c r="H1462">
        <v>0</v>
      </c>
      <c r="I1462">
        <v>0.3263964289205708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4.2549610926757886</v>
      </c>
      <c r="X1462">
        <v>0.67360357107942914</v>
      </c>
      <c r="Y1462">
        <v>0.3263964289205708</v>
      </c>
      <c r="Z1462" t="s">
        <v>23</v>
      </c>
    </row>
    <row r="1463" spans="1:26" hidden="1" x14ac:dyDescent="0.2">
      <c r="A1463">
        <v>94</v>
      </c>
      <c r="B1463" t="s">
        <v>31</v>
      </c>
      <c r="C1463" s="10">
        <v>10000047</v>
      </c>
      <c r="D1463" t="b">
        <v>0</v>
      </c>
      <c r="E1463">
        <v>0.5</v>
      </c>
      <c r="F1463">
        <v>0</v>
      </c>
      <c r="G1463">
        <v>0</v>
      </c>
      <c r="H1463">
        <v>0</v>
      </c>
      <c r="I1463">
        <v>0.5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5.0025004164584352</v>
      </c>
      <c r="X1463">
        <v>0.5</v>
      </c>
      <c r="Y1463">
        <v>0.5</v>
      </c>
      <c r="Z1463" t="s">
        <v>23</v>
      </c>
    </row>
    <row r="1464" spans="1:26" hidden="1" x14ac:dyDescent="0.2">
      <c r="A1464">
        <v>94</v>
      </c>
      <c r="B1464" t="s">
        <v>35</v>
      </c>
      <c r="C1464" s="10">
        <v>10000073</v>
      </c>
      <c r="D1464" t="b">
        <v>0</v>
      </c>
      <c r="E1464">
        <v>0.45981091447265082</v>
      </c>
      <c r="F1464">
        <v>0</v>
      </c>
      <c r="G1464">
        <v>0.54018908552734923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3.423515708833722</v>
      </c>
      <c r="X1464">
        <v>0.54018908552734923</v>
      </c>
      <c r="Y1464">
        <v>0</v>
      </c>
      <c r="Z1464" t="s">
        <v>23</v>
      </c>
    </row>
    <row r="1465" spans="1:26" hidden="1" x14ac:dyDescent="0.2">
      <c r="A1465">
        <v>94</v>
      </c>
      <c r="B1465" t="s">
        <v>35</v>
      </c>
      <c r="C1465" s="10">
        <v>10000082</v>
      </c>
      <c r="D1465" t="b">
        <v>1</v>
      </c>
      <c r="F1465">
        <v>0</v>
      </c>
      <c r="G1465">
        <v>0.99932986359683007</v>
      </c>
      <c r="H1465">
        <v>0</v>
      </c>
      <c r="I1465">
        <v>0</v>
      </c>
      <c r="J1465">
        <v>0</v>
      </c>
      <c r="W1465">
        <v>5.0016620466974331</v>
      </c>
      <c r="X1465">
        <v>1</v>
      </c>
      <c r="Y1465">
        <v>0.99932986359683007</v>
      </c>
      <c r="Z1465" t="s">
        <v>23</v>
      </c>
    </row>
    <row r="1466" spans="1:26" hidden="1" x14ac:dyDescent="0.2">
      <c r="A1466">
        <v>94</v>
      </c>
      <c r="B1466" t="s">
        <v>35</v>
      </c>
      <c r="C1466" s="10">
        <v>10000047</v>
      </c>
      <c r="D1466" t="b">
        <v>0</v>
      </c>
      <c r="E1466">
        <v>0.73684210526315796</v>
      </c>
      <c r="F1466">
        <v>0</v>
      </c>
      <c r="G1466">
        <v>0</v>
      </c>
      <c r="H1466">
        <v>0</v>
      </c>
      <c r="I1466">
        <v>0.26315789473684198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4.0137124566768518</v>
      </c>
      <c r="X1466">
        <v>0.73684210526315796</v>
      </c>
      <c r="Y1466">
        <v>0.26315789473684198</v>
      </c>
      <c r="Z1466" t="s">
        <v>23</v>
      </c>
    </row>
    <row r="1467" spans="1:26" hidden="1" x14ac:dyDescent="0.2">
      <c r="A1467">
        <v>95</v>
      </c>
      <c r="B1467" t="s">
        <v>33</v>
      </c>
      <c r="C1467" s="10">
        <v>10000033</v>
      </c>
      <c r="D1467" t="b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0.30882977802696898</v>
      </c>
      <c r="Q1467">
        <v>0</v>
      </c>
      <c r="R1467">
        <v>6.1337083211886682E-2</v>
      </c>
      <c r="S1467">
        <v>0</v>
      </c>
      <c r="T1467">
        <v>6.1337083211886682E-2</v>
      </c>
      <c r="U1467">
        <v>0</v>
      </c>
      <c r="V1467">
        <v>0.69117022197303091</v>
      </c>
      <c r="W1467">
        <v>6.486768200824228</v>
      </c>
      <c r="X1467">
        <v>6.1337083211886682E-2</v>
      </c>
      <c r="Y1467">
        <v>0.69117022197303091</v>
      </c>
      <c r="Z1467" t="s">
        <v>24</v>
      </c>
    </row>
    <row r="1468" spans="1:26" hidden="1" x14ac:dyDescent="0.2">
      <c r="A1468">
        <v>95</v>
      </c>
      <c r="B1468" t="s">
        <v>27</v>
      </c>
      <c r="C1468" s="10">
        <v>10000033</v>
      </c>
      <c r="D1468" t="b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0.31180206742091232</v>
      </c>
      <c r="Q1468">
        <v>0.31180206742091232</v>
      </c>
      <c r="R1468">
        <v>6.1564591764892422E-2</v>
      </c>
      <c r="S1468">
        <v>0</v>
      </c>
      <c r="T1468">
        <v>6.1564591764892422E-2</v>
      </c>
      <c r="U1468">
        <v>0</v>
      </c>
      <c r="V1468">
        <v>0.66666666666666652</v>
      </c>
      <c r="W1468">
        <v>5.7761630474510124</v>
      </c>
      <c r="X1468">
        <v>0.31180206742091232</v>
      </c>
      <c r="Y1468">
        <v>0.66666666666666652</v>
      </c>
      <c r="Z1468" t="s">
        <v>24</v>
      </c>
    </row>
    <row r="1469" spans="1:26" hidden="1" x14ac:dyDescent="0.2">
      <c r="A1469">
        <v>95</v>
      </c>
      <c r="B1469" t="s">
        <v>31</v>
      </c>
      <c r="C1469" s="10">
        <v>10000082</v>
      </c>
      <c r="D1469" t="b">
        <v>1</v>
      </c>
      <c r="F1469">
        <v>0</v>
      </c>
      <c r="G1469">
        <v>0</v>
      </c>
      <c r="H1469">
        <v>0</v>
      </c>
      <c r="I1469">
        <v>0</v>
      </c>
      <c r="J1469">
        <v>1</v>
      </c>
      <c r="W1469">
        <v>3.1666666666666679</v>
      </c>
      <c r="X1469">
        <v>1</v>
      </c>
      <c r="Y1469">
        <v>0</v>
      </c>
      <c r="Z1469" t="s">
        <v>23</v>
      </c>
    </row>
    <row r="1470" spans="1:26" hidden="1" x14ac:dyDescent="0.2">
      <c r="A1470">
        <v>95</v>
      </c>
      <c r="B1470" t="s">
        <v>31</v>
      </c>
      <c r="C1470" s="10">
        <v>10000033</v>
      </c>
      <c r="D1470" t="b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0.18181818181818171</v>
      </c>
      <c r="Q1470">
        <v>0.31813279736058708</v>
      </c>
      <c r="R1470">
        <v>7.1293319162014659E-2</v>
      </c>
      <c r="S1470">
        <v>0</v>
      </c>
      <c r="T1470">
        <v>7.1293319162014659E-2</v>
      </c>
      <c r="U1470">
        <v>0</v>
      </c>
      <c r="V1470">
        <v>0.68186720263941281</v>
      </c>
      <c r="W1470">
        <v>5.781783358011662</v>
      </c>
      <c r="X1470">
        <v>0.31813279736058708</v>
      </c>
      <c r="Y1470">
        <v>0.68186720263941281</v>
      </c>
      <c r="Z1470" t="s">
        <v>24</v>
      </c>
    </row>
    <row r="1471" spans="1:26" hidden="1" x14ac:dyDescent="0.2">
      <c r="A1471">
        <v>95</v>
      </c>
      <c r="B1471" t="s">
        <v>29</v>
      </c>
      <c r="C1471" s="10">
        <v>10000082</v>
      </c>
      <c r="D1471" t="b">
        <v>1</v>
      </c>
      <c r="F1471">
        <v>0</v>
      </c>
      <c r="G1471">
        <v>0</v>
      </c>
      <c r="H1471">
        <v>0</v>
      </c>
      <c r="I1471">
        <v>0.37544430131707579</v>
      </c>
      <c r="J1471">
        <v>0.62455569868292415</v>
      </c>
      <c r="W1471">
        <v>3.9759606291637501</v>
      </c>
      <c r="X1471">
        <v>1</v>
      </c>
      <c r="Y1471">
        <v>0.37544430131707579</v>
      </c>
      <c r="Z1471" t="s">
        <v>23</v>
      </c>
    </row>
    <row r="1472" spans="1:26" hidden="1" x14ac:dyDescent="0.2">
      <c r="A1472">
        <v>95</v>
      </c>
      <c r="B1472" t="s">
        <v>29</v>
      </c>
      <c r="C1472" s="10">
        <v>10000033</v>
      </c>
      <c r="D1472" t="b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0.31323213651819087</v>
      </c>
      <c r="Q1472">
        <v>0.31323213651819087</v>
      </c>
      <c r="R1472">
        <v>0.2251784246664042</v>
      </c>
      <c r="S1472">
        <v>0</v>
      </c>
      <c r="T1472">
        <v>0.2251784246664042</v>
      </c>
      <c r="U1472">
        <v>0</v>
      </c>
      <c r="V1472">
        <v>0.53846153846153832</v>
      </c>
      <c r="W1472">
        <v>5.5657903678622631</v>
      </c>
      <c r="X1472">
        <v>0.31323213651819087</v>
      </c>
      <c r="Y1472">
        <v>0.53846153846153832</v>
      </c>
      <c r="Z1472" t="s">
        <v>24</v>
      </c>
    </row>
    <row r="1473" spans="1:26" hidden="1" x14ac:dyDescent="0.2">
      <c r="A1473">
        <v>95</v>
      </c>
      <c r="B1473" t="s">
        <v>28</v>
      </c>
      <c r="C1473" s="10">
        <v>10000073</v>
      </c>
      <c r="D1473" t="b">
        <v>1</v>
      </c>
      <c r="E1473">
        <v>0</v>
      </c>
      <c r="F1473">
        <v>0</v>
      </c>
      <c r="G1473">
        <v>0</v>
      </c>
      <c r="H1473">
        <v>0</v>
      </c>
      <c r="I1473">
        <v>0.55784310247683522</v>
      </c>
      <c r="J1473">
        <v>0.36018294552214281</v>
      </c>
      <c r="W1473">
        <v>5.4736230114995461</v>
      </c>
      <c r="X1473">
        <v>0.36018294552214281</v>
      </c>
      <c r="Y1473">
        <v>0.55784310247683522</v>
      </c>
      <c r="Z1473" t="s">
        <v>24</v>
      </c>
    </row>
    <row r="1474" spans="1:26" hidden="1" x14ac:dyDescent="0.2">
      <c r="A1474">
        <v>95</v>
      </c>
      <c r="B1474" t="s">
        <v>26</v>
      </c>
      <c r="C1474" s="10">
        <v>10000033</v>
      </c>
      <c r="D1474" t="b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0.32502341982306993</v>
      </c>
      <c r="Q1474">
        <v>5.2631578947368578E-2</v>
      </c>
      <c r="R1474">
        <v>0.23135637531488751</v>
      </c>
      <c r="S1474">
        <v>0</v>
      </c>
      <c r="T1474">
        <v>0.23135637531488751</v>
      </c>
      <c r="U1474">
        <v>0</v>
      </c>
      <c r="V1474">
        <v>0.67497658017693019</v>
      </c>
      <c r="W1474">
        <v>5.9967618914984246</v>
      </c>
      <c r="X1474">
        <v>0.23135637531488751</v>
      </c>
      <c r="Y1474">
        <v>0.67497658017693019</v>
      </c>
      <c r="Z1474" t="s">
        <v>24</v>
      </c>
    </row>
    <row r="1475" spans="1:26" hidden="1" x14ac:dyDescent="0.2">
      <c r="A1475">
        <v>95</v>
      </c>
      <c r="B1475" t="s">
        <v>32</v>
      </c>
      <c r="C1475" s="10">
        <v>10000033</v>
      </c>
      <c r="D1475" t="b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0.30725331947028478</v>
      </c>
      <c r="Q1475">
        <v>0</v>
      </c>
      <c r="R1475">
        <v>0.23135637531488751</v>
      </c>
      <c r="S1475">
        <v>0</v>
      </c>
      <c r="T1475">
        <v>0.23135637531488751</v>
      </c>
      <c r="U1475">
        <v>0</v>
      </c>
      <c r="V1475">
        <v>0.69274668052971522</v>
      </c>
      <c r="W1475">
        <v>6.0185690440233577</v>
      </c>
      <c r="X1475">
        <v>0.23135637531488751</v>
      </c>
      <c r="Y1475">
        <v>0.69274668052971522</v>
      </c>
      <c r="Z1475" t="s">
        <v>24</v>
      </c>
    </row>
    <row r="1476" spans="1:26" hidden="1" x14ac:dyDescent="0.2">
      <c r="A1476">
        <v>95</v>
      </c>
      <c r="B1476" t="s">
        <v>35</v>
      </c>
      <c r="C1476" s="10">
        <v>10000073</v>
      </c>
      <c r="D1476" t="b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6.6666666666666666E-2</v>
      </c>
      <c r="L1476">
        <v>0</v>
      </c>
      <c r="M1476">
        <v>0</v>
      </c>
      <c r="N1476">
        <v>0</v>
      </c>
      <c r="O1476">
        <v>0.44586923955242441</v>
      </c>
      <c r="P1476">
        <v>0</v>
      </c>
      <c r="Q1476">
        <v>0.39370186575457849</v>
      </c>
      <c r="R1476">
        <v>0</v>
      </c>
      <c r="S1476">
        <v>0.39370186575457849</v>
      </c>
      <c r="T1476">
        <v>0</v>
      </c>
      <c r="U1476">
        <v>0.55413076044757559</v>
      </c>
      <c r="V1476">
        <v>0</v>
      </c>
      <c r="W1476">
        <v>5.3794507732173722</v>
      </c>
      <c r="X1476">
        <v>0.39370186575457849</v>
      </c>
      <c r="Y1476">
        <v>0.55413076044757559</v>
      </c>
      <c r="Z1476" t="s">
        <v>24</v>
      </c>
    </row>
    <row r="1477" spans="1:26" hidden="1" x14ac:dyDescent="0.2">
      <c r="A1477">
        <v>95</v>
      </c>
      <c r="B1477" t="s">
        <v>34</v>
      </c>
      <c r="C1477" s="10">
        <v>10000082</v>
      </c>
      <c r="D1477" t="b">
        <v>1</v>
      </c>
      <c r="F1477">
        <v>0</v>
      </c>
      <c r="G1477">
        <v>0.1333333333333333</v>
      </c>
      <c r="H1477">
        <v>0</v>
      </c>
      <c r="I1477">
        <v>0.29906410774244502</v>
      </c>
      <c r="J1477">
        <v>0.70093589225755504</v>
      </c>
      <c r="W1477">
        <v>3.8193596845367148</v>
      </c>
      <c r="X1477">
        <v>1</v>
      </c>
      <c r="Y1477">
        <v>0.29906410774244502</v>
      </c>
      <c r="Z1477" t="s">
        <v>23</v>
      </c>
    </row>
    <row r="1478" spans="1:26" hidden="1" x14ac:dyDescent="0.2">
      <c r="A1478">
        <v>95</v>
      </c>
      <c r="B1478" t="s">
        <v>34</v>
      </c>
      <c r="C1478" s="10">
        <v>10000033</v>
      </c>
      <c r="D1478" t="b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0.6333333333333333</v>
      </c>
      <c r="M1478">
        <v>0.27333701733396998</v>
      </c>
      <c r="N1478">
        <v>0</v>
      </c>
      <c r="O1478">
        <v>0</v>
      </c>
      <c r="P1478">
        <v>0.30905617069989572</v>
      </c>
      <c r="Q1478">
        <v>0</v>
      </c>
      <c r="R1478">
        <v>0.27333701733396998</v>
      </c>
      <c r="S1478">
        <v>0</v>
      </c>
      <c r="T1478">
        <v>0.27333701733396998</v>
      </c>
      <c r="U1478">
        <v>0</v>
      </c>
      <c r="V1478">
        <v>0.36666666666666659</v>
      </c>
      <c r="W1478">
        <v>5.8287640812412853</v>
      </c>
      <c r="X1478">
        <v>0.27333701733396998</v>
      </c>
      <c r="Y1478">
        <v>0.6333333333333333</v>
      </c>
      <c r="Z1478" t="s">
        <v>24</v>
      </c>
    </row>
    <row r="1479" spans="1:26" hidden="1" x14ac:dyDescent="0.2">
      <c r="A1479">
        <v>95</v>
      </c>
      <c r="B1479" t="s">
        <v>30</v>
      </c>
      <c r="C1479" s="10">
        <v>10000073</v>
      </c>
      <c r="D1479" t="b">
        <v>0</v>
      </c>
      <c r="E1479">
        <v>3.3333333333333333E-2</v>
      </c>
      <c r="F1479">
        <v>0</v>
      </c>
      <c r="G1479">
        <v>3.3333333333333333E-2</v>
      </c>
      <c r="H1479">
        <v>0</v>
      </c>
      <c r="I1479">
        <v>0</v>
      </c>
      <c r="J1479">
        <v>0</v>
      </c>
      <c r="K1479">
        <v>0.55416330214211174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3.4153925372014799</v>
      </c>
      <c r="X1479">
        <v>0.55416330214211174</v>
      </c>
      <c r="Y1479">
        <v>0</v>
      </c>
      <c r="Z1479" t="s">
        <v>23</v>
      </c>
    </row>
    <row r="1480" spans="1:26" hidden="1" x14ac:dyDescent="0.2">
      <c r="A1480">
        <v>95</v>
      </c>
      <c r="B1480" t="s">
        <v>30</v>
      </c>
      <c r="C1480" s="10">
        <v>10000033</v>
      </c>
      <c r="D1480" t="b">
        <v>0</v>
      </c>
      <c r="E1480">
        <v>0</v>
      </c>
      <c r="F1480">
        <v>0.21212121212121191</v>
      </c>
      <c r="G1480">
        <v>0.21212121212121191</v>
      </c>
      <c r="H1480">
        <v>0.23333333333333331</v>
      </c>
      <c r="I1480">
        <v>0.21212121212121191</v>
      </c>
      <c r="J1480">
        <v>0.23333333333333331</v>
      </c>
      <c r="K1480">
        <v>0</v>
      </c>
      <c r="L1480">
        <v>0.67694105026132356</v>
      </c>
      <c r="M1480">
        <v>0.27333701733396998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5.8889254607542751</v>
      </c>
      <c r="X1480">
        <v>0.27333701733396998</v>
      </c>
      <c r="Y1480">
        <v>0.67694105026132356</v>
      </c>
      <c r="Z1480" t="s">
        <v>24</v>
      </c>
    </row>
    <row r="1481" spans="1:26" hidden="1" x14ac:dyDescent="0.2">
      <c r="A1481">
        <v>96</v>
      </c>
      <c r="B1481" t="s">
        <v>28</v>
      </c>
      <c r="C1481" s="10">
        <v>10000047</v>
      </c>
      <c r="D1481" t="b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0.83284996902968467</v>
      </c>
      <c r="P1481">
        <v>0</v>
      </c>
      <c r="Q1481">
        <v>0.16715003097031531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6.3270719042480739</v>
      </c>
      <c r="X1481">
        <v>0.16715003097031531</v>
      </c>
      <c r="Y1481">
        <v>0.83284996902968467</v>
      </c>
      <c r="Z1481" t="s">
        <v>24</v>
      </c>
    </row>
    <row r="1482" spans="1:26" hidden="1" x14ac:dyDescent="0.2">
      <c r="A1482">
        <v>96</v>
      </c>
      <c r="B1482" t="s">
        <v>27</v>
      </c>
      <c r="C1482" s="10">
        <v>10000073</v>
      </c>
      <c r="D1482" t="b">
        <v>1</v>
      </c>
      <c r="E1482">
        <v>0</v>
      </c>
      <c r="F1482">
        <v>0</v>
      </c>
      <c r="G1482">
        <v>0</v>
      </c>
      <c r="H1482">
        <v>0</v>
      </c>
      <c r="I1482">
        <v>0.57343694453243099</v>
      </c>
      <c r="J1482">
        <v>0.23975517233147339</v>
      </c>
      <c r="W1482">
        <v>5.8344962961053772</v>
      </c>
      <c r="X1482">
        <v>0.23975517233147339</v>
      </c>
      <c r="Y1482">
        <v>0.57343694453243099</v>
      </c>
      <c r="Z1482" t="s">
        <v>24</v>
      </c>
    </row>
    <row r="1483" spans="1:26" hidden="1" x14ac:dyDescent="0.2">
      <c r="A1483">
        <v>96</v>
      </c>
      <c r="B1483" t="s">
        <v>29</v>
      </c>
      <c r="C1483" s="10">
        <v>10000033</v>
      </c>
      <c r="D1483" t="b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0.2868706899996154</v>
      </c>
      <c r="Q1483">
        <v>0</v>
      </c>
      <c r="R1483">
        <v>0.14460382567566701</v>
      </c>
      <c r="S1483">
        <v>0</v>
      </c>
      <c r="T1483">
        <v>0.14460382567566701</v>
      </c>
      <c r="U1483">
        <v>0</v>
      </c>
      <c r="V1483">
        <v>0.7131293100003846</v>
      </c>
      <c r="W1483">
        <v>6.2729303184345424</v>
      </c>
      <c r="X1483">
        <v>0.14460382567566701</v>
      </c>
      <c r="Y1483">
        <v>0.7131293100003846</v>
      </c>
      <c r="Z1483" t="s">
        <v>24</v>
      </c>
    </row>
    <row r="1484" spans="1:26" hidden="1" x14ac:dyDescent="0.2">
      <c r="A1484">
        <v>96</v>
      </c>
      <c r="B1484" t="s">
        <v>33</v>
      </c>
      <c r="C1484" s="10">
        <v>10000082</v>
      </c>
      <c r="D1484" t="b">
        <v>1</v>
      </c>
      <c r="F1484">
        <v>0</v>
      </c>
      <c r="G1484">
        <v>0</v>
      </c>
      <c r="H1484">
        <v>0</v>
      </c>
      <c r="I1484">
        <v>0</v>
      </c>
      <c r="J1484">
        <v>0.97539507244222634</v>
      </c>
      <c r="W1484">
        <v>3.1666666666666679</v>
      </c>
      <c r="X1484">
        <v>1</v>
      </c>
      <c r="Y1484">
        <v>0</v>
      </c>
      <c r="Z1484" t="s">
        <v>23</v>
      </c>
    </row>
    <row r="1485" spans="1:26" hidden="1" x14ac:dyDescent="0.2">
      <c r="A1485">
        <v>96</v>
      </c>
      <c r="B1485" t="s">
        <v>32</v>
      </c>
      <c r="C1485" s="10">
        <v>10000082</v>
      </c>
      <c r="D1485" t="b">
        <v>1</v>
      </c>
      <c r="F1485">
        <v>0</v>
      </c>
      <c r="G1485">
        <v>0</v>
      </c>
      <c r="H1485">
        <v>0</v>
      </c>
      <c r="I1485">
        <v>0.7872415962107453</v>
      </c>
      <c r="J1485">
        <v>0.47873053882530231</v>
      </c>
      <c r="W1485">
        <v>4.7076991048756014</v>
      </c>
      <c r="X1485">
        <v>1</v>
      </c>
      <c r="Y1485">
        <v>0.7872415962107453</v>
      </c>
      <c r="Z1485" t="s">
        <v>23</v>
      </c>
    </row>
    <row r="1486" spans="1:26" hidden="1" x14ac:dyDescent="0.2">
      <c r="A1486">
        <v>96</v>
      </c>
      <c r="B1486" t="s">
        <v>33</v>
      </c>
      <c r="C1486" s="10">
        <v>10000073</v>
      </c>
      <c r="D1486" t="b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0.42055847097166521</v>
      </c>
      <c r="P1486">
        <v>0</v>
      </c>
      <c r="Q1486">
        <v>0.33991894835194092</v>
      </c>
      <c r="R1486">
        <v>0</v>
      </c>
      <c r="S1486">
        <v>0.33991894835194092</v>
      </c>
      <c r="T1486">
        <v>0</v>
      </c>
      <c r="U1486">
        <v>0.57944152902833479</v>
      </c>
      <c r="V1486">
        <v>0</v>
      </c>
      <c r="W1486">
        <v>5.5659738661383047</v>
      </c>
      <c r="X1486">
        <v>0.33991894835194092</v>
      </c>
      <c r="Y1486">
        <v>0.57944152902833479</v>
      </c>
      <c r="Z1486" t="s">
        <v>24</v>
      </c>
    </row>
    <row r="1487" spans="1:26" hidden="1" x14ac:dyDescent="0.2">
      <c r="A1487">
        <v>96</v>
      </c>
      <c r="B1487" t="s">
        <v>35</v>
      </c>
      <c r="C1487" s="10">
        <v>10000033</v>
      </c>
      <c r="D1487" t="b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0.30406754942732778</v>
      </c>
      <c r="Q1487">
        <v>0</v>
      </c>
      <c r="R1487">
        <v>0.2891453048751858</v>
      </c>
      <c r="S1487">
        <v>0</v>
      </c>
      <c r="T1487">
        <v>0.2891453048751858</v>
      </c>
      <c r="U1487">
        <v>0</v>
      </c>
      <c r="V1487">
        <v>0.69593245057267228</v>
      </c>
      <c r="W1487">
        <v>5.8737197201818327</v>
      </c>
      <c r="X1487">
        <v>0.2891453048751858</v>
      </c>
      <c r="Y1487">
        <v>0.69593245057267228</v>
      </c>
      <c r="Z1487" t="s">
        <v>24</v>
      </c>
    </row>
    <row r="1488" spans="1:26" hidden="1" x14ac:dyDescent="0.2">
      <c r="A1488">
        <v>96</v>
      </c>
      <c r="B1488" t="s">
        <v>32</v>
      </c>
      <c r="C1488" s="10">
        <v>10000073</v>
      </c>
      <c r="D1488" t="b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0.43010384309413369</v>
      </c>
      <c r="P1488">
        <v>0</v>
      </c>
      <c r="Q1488">
        <v>0.37432339767013872</v>
      </c>
      <c r="R1488">
        <v>0</v>
      </c>
      <c r="S1488">
        <v>0.37432339767013872</v>
      </c>
      <c r="T1488">
        <v>0</v>
      </c>
      <c r="U1488">
        <v>0.56989615690586637</v>
      </c>
      <c r="V1488">
        <v>0</v>
      </c>
      <c r="W1488">
        <v>5.4589785717968669</v>
      </c>
      <c r="X1488">
        <v>0.37432339767013872</v>
      </c>
      <c r="Y1488">
        <v>0.56989615690586637</v>
      </c>
      <c r="Z1488" t="s">
        <v>24</v>
      </c>
    </row>
    <row r="1489" spans="1:26" hidden="1" x14ac:dyDescent="0.2">
      <c r="A1489">
        <v>96</v>
      </c>
      <c r="B1489" t="s">
        <v>31</v>
      </c>
      <c r="C1489" s="10">
        <v>10000073</v>
      </c>
      <c r="D1489" t="b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0.44926006052774092</v>
      </c>
      <c r="P1489">
        <v>0</v>
      </c>
      <c r="Q1489">
        <v>0.37614099892740821</v>
      </c>
      <c r="R1489">
        <v>0</v>
      </c>
      <c r="S1489">
        <v>0.37614099892740821</v>
      </c>
      <c r="T1489">
        <v>0</v>
      </c>
      <c r="U1489">
        <v>0.55073993947225908</v>
      </c>
      <c r="V1489">
        <v>0</v>
      </c>
      <c r="W1489">
        <v>5.4183224194969233</v>
      </c>
      <c r="X1489">
        <v>0.37614099892740821</v>
      </c>
      <c r="Y1489">
        <v>0.55073993947225908</v>
      </c>
      <c r="Z1489" t="s">
        <v>24</v>
      </c>
    </row>
    <row r="1490" spans="1:26" hidden="1" x14ac:dyDescent="0.2">
      <c r="A1490">
        <v>96</v>
      </c>
      <c r="B1490" t="s">
        <v>26</v>
      </c>
      <c r="C1490" s="10">
        <v>10000047</v>
      </c>
      <c r="D1490" t="b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0.65993297137105833</v>
      </c>
      <c r="P1490">
        <v>0</v>
      </c>
      <c r="Q1490">
        <v>0.34006702862894161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5.6952292485523941</v>
      </c>
      <c r="X1490">
        <v>0.34006702862894161</v>
      </c>
      <c r="Y1490">
        <v>0.65993297137105833</v>
      </c>
      <c r="Z1490" t="s">
        <v>24</v>
      </c>
    </row>
    <row r="1491" spans="1:26" hidden="1" x14ac:dyDescent="0.2">
      <c r="A1491">
        <v>96</v>
      </c>
      <c r="B1491" t="s">
        <v>30</v>
      </c>
      <c r="C1491" s="10">
        <v>10000073</v>
      </c>
      <c r="D1491" t="b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0.1</v>
      </c>
      <c r="L1491">
        <v>0</v>
      </c>
      <c r="M1491">
        <v>0</v>
      </c>
      <c r="N1491">
        <v>0</v>
      </c>
      <c r="O1491">
        <v>0.43940855160625081</v>
      </c>
      <c r="P1491">
        <v>0</v>
      </c>
      <c r="Q1491">
        <v>0.38254676355286349</v>
      </c>
      <c r="R1491">
        <v>0</v>
      </c>
      <c r="S1491">
        <v>0.38254676355286349</v>
      </c>
      <c r="T1491">
        <v>0</v>
      </c>
      <c r="U1491">
        <v>0.56059144839374919</v>
      </c>
      <c r="V1491">
        <v>0</v>
      </c>
      <c r="W1491">
        <v>5.4204412477674868</v>
      </c>
      <c r="X1491">
        <v>0.38254676355286349</v>
      </c>
      <c r="Y1491">
        <v>0.56059144839374919</v>
      </c>
      <c r="Z1491" t="s">
        <v>24</v>
      </c>
    </row>
    <row r="1492" spans="1:26" hidden="1" x14ac:dyDescent="0.2">
      <c r="A1492">
        <v>96</v>
      </c>
      <c r="B1492" t="s">
        <v>34</v>
      </c>
      <c r="C1492" s="10">
        <v>10000033</v>
      </c>
      <c r="D1492" t="b">
        <v>0</v>
      </c>
      <c r="E1492">
        <v>0</v>
      </c>
      <c r="F1492">
        <v>0</v>
      </c>
      <c r="G1492">
        <v>0</v>
      </c>
      <c r="H1492">
        <v>0.6816726711109542</v>
      </c>
      <c r="I1492">
        <v>0</v>
      </c>
      <c r="J1492">
        <v>0.31832732888904591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6.6603596753325478</v>
      </c>
      <c r="X1492">
        <v>0</v>
      </c>
      <c r="Y1492">
        <v>0.6816726711109542</v>
      </c>
      <c r="Z1492" t="s">
        <v>24</v>
      </c>
    </row>
    <row r="1493" spans="1:26" hidden="1" x14ac:dyDescent="0.2">
      <c r="A1493">
        <v>97</v>
      </c>
      <c r="B1493" t="s">
        <v>30</v>
      </c>
      <c r="C1493" s="10">
        <v>10000047</v>
      </c>
      <c r="D1493" t="b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0.83368344942303418</v>
      </c>
      <c r="P1493">
        <v>0</v>
      </c>
      <c r="Q1493">
        <v>0.16631655057696579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6.3298472758489073</v>
      </c>
      <c r="X1493">
        <v>0.16631655057696579</v>
      </c>
      <c r="Y1493">
        <v>0.83368344942303418</v>
      </c>
      <c r="Z1493" t="s">
        <v>24</v>
      </c>
    </row>
    <row r="1494" spans="1:26" hidden="1" x14ac:dyDescent="0.2">
      <c r="A1494">
        <v>97</v>
      </c>
      <c r="B1494" t="s">
        <v>31</v>
      </c>
      <c r="C1494" s="10">
        <v>10000033</v>
      </c>
      <c r="D1494" t="b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0.31606016035736151</v>
      </c>
      <c r="Q1494">
        <v>0</v>
      </c>
      <c r="R1494">
        <v>4.1444589234989671E-2</v>
      </c>
      <c r="S1494">
        <v>0</v>
      </c>
      <c r="T1494">
        <v>4.1444589234989671E-2</v>
      </c>
      <c r="U1494">
        <v>0</v>
      </c>
      <c r="V1494">
        <v>0.68393983964263849</v>
      </c>
      <c r="W1494">
        <v>6.539258705124892</v>
      </c>
      <c r="X1494">
        <v>4.1444589234989671E-2</v>
      </c>
      <c r="Y1494">
        <v>0.68393983964263849</v>
      </c>
      <c r="Z1494" t="s">
        <v>24</v>
      </c>
    </row>
    <row r="1495" spans="1:26" hidden="1" x14ac:dyDescent="0.2">
      <c r="A1495">
        <v>97</v>
      </c>
      <c r="B1495" t="s">
        <v>28</v>
      </c>
      <c r="C1495" s="10">
        <v>10000033</v>
      </c>
      <c r="D1495" t="b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0.31239838762126942</v>
      </c>
      <c r="Q1495">
        <v>0</v>
      </c>
      <c r="R1495">
        <v>4.1444589234989671E-2</v>
      </c>
      <c r="S1495">
        <v>0</v>
      </c>
      <c r="T1495">
        <v>4.1444589234989671E-2</v>
      </c>
      <c r="U1495">
        <v>0</v>
      </c>
      <c r="V1495">
        <v>0.68760161237873063</v>
      </c>
      <c r="W1495">
        <v>6.5418466631328371</v>
      </c>
      <c r="X1495">
        <v>4.1444589234989671E-2</v>
      </c>
      <c r="Y1495">
        <v>0.68760161237873063</v>
      </c>
      <c r="Z1495" t="s">
        <v>24</v>
      </c>
    </row>
    <row r="1496" spans="1:26" hidden="1" x14ac:dyDescent="0.2">
      <c r="A1496">
        <v>97</v>
      </c>
      <c r="B1496" t="s">
        <v>32</v>
      </c>
      <c r="C1496" s="10">
        <v>10000082</v>
      </c>
      <c r="D1496" t="b">
        <v>1</v>
      </c>
      <c r="F1496">
        <v>0</v>
      </c>
      <c r="G1496">
        <v>0</v>
      </c>
      <c r="H1496">
        <v>0</v>
      </c>
      <c r="I1496">
        <v>0.40524131080613052</v>
      </c>
      <c r="J1496">
        <v>0.61284609004406276</v>
      </c>
      <c r="W1496">
        <v>4.0355033860336746</v>
      </c>
      <c r="X1496">
        <v>1</v>
      </c>
      <c r="Y1496">
        <v>0.40524131080613052</v>
      </c>
      <c r="Z1496" t="s">
        <v>23</v>
      </c>
    </row>
    <row r="1497" spans="1:26" hidden="1" x14ac:dyDescent="0.2">
      <c r="A1497">
        <v>97</v>
      </c>
      <c r="B1497" t="s">
        <v>32</v>
      </c>
      <c r="C1497" s="10">
        <v>10000033</v>
      </c>
      <c r="D1497" t="b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0.31530769703256573</v>
      </c>
      <c r="Q1497">
        <v>0</v>
      </c>
      <c r="R1497">
        <v>6.8107886531861297E-2</v>
      </c>
      <c r="S1497">
        <v>0</v>
      </c>
      <c r="T1497">
        <v>6.8107886531861297E-2</v>
      </c>
      <c r="U1497">
        <v>0</v>
      </c>
      <c r="V1497">
        <v>0.68469230296743433</v>
      </c>
      <c r="W1497">
        <v>6.4621621016835418</v>
      </c>
      <c r="X1497">
        <v>6.8107886531861297E-2</v>
      </c>
      <c r="Y1497">
        <v>0.68469230296743433</v>
      </c>
      <c r="Z1497" t="s">
        <v>24</v>
      </c>
    </row>
    <row r="1498" spans="1:26" hidden="1" x14ac:dyDescent="0.2">
      <c r="A1498">
        <v>97</v>
      </c>
      <c r="B1498" t="s">
        <v>35</v>
      </c>
      <c r="C1498" s="10">
        <v>10000047</v>
      </c>
      <c r="D1498" t="b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0.78431589288682335</v>
      </c>
      <c r="P1498">
        <v>0.18181818181818171</v>
      </c>
      <c r="Q1498">
        <v>0.2156841071131767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6.1611070770251324</v>
      </c>
      <c r="X1498">
        <v>0.2156841071131767</v>
      </c>
      <c r="Y1498">
        <v>0.78431589288682335</v>
      </c>
      <c r="Z1498" t="s">
        <v>24</v>
      </c>
    </row>
    <row r="1499" spans="1:26" hidden="1" x14ac:dyDescent="0.2">
      <c r="A1499">
        <v>97</v>
      </c>
      <c r="B1499" t="s">
        <v>27</v>
      </c>
      <c r="C1499" s="10">
        <v>10000047</v>
      </c>
      <c r="D1499" t="b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0.77437319794420079</v>
      </c>
      <c r="P1499">
        <v>0.22562680205579921</v>
      </c>
      <c r="Q1499">
        <v>0.22562680205579921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6.1260414670494434</v>
      </c>
      <c r="X1499">
        <v>0.22562680205579921</v>
      </c>
      <c r="Y1499">
        <v>0.77437319794420079</v>
      </c>
      <c r="Z1499" t="s">
        <v>24</v>
      </c>
    </row>
    <row r="1500" spans="1:26" hidden="1" x14ac:dyDescent="0.2">
      <c r="A1500">
        <v>97</v>
      </c>
      <c r="B1500" t="s">
        <v>29</v>
      </c>
      <c r="C1500" s="10">
        <v>10000033</v>
      </c>
      <c r="D1500" t="b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0.31634418861913849</v>
      </c>
      <c r="Q1500">
        <v>0</v>
      </c>
      <c r="R1500">
        <v>0.15313033049539199</v>
      </c>
      <c r="S1500">
        <v>0</v>
      </c>
      <c r="T1500">
        <v>0.15313033049539199</v>
      </c>
      <c r="U1500">
        <v>0</v>
      </c>
      <c r="V1500">
        <v>0.68365581138086151</v>
      </c>
      <c r="W1500">
        <v>6.2198589106110989</v>
      </c>
      <c r="X1500">
        <v>0.15313033049539199</v>
      </c>
      <c r="Y1500">
        <v>0.68365581138086151</v>
      </c>
      <c r="Z1500" t="s">
        <v>24</v>
      </c>
    </row>
    <row r="1501" spans="1:26" hidden="1" x14ac:dyDescent="0.2">
      <c r="A1501">
        <v>97</v>
      </c>
      <c r="B1501" t="s">
        <v>34</v>
      </c>
      <c r="C1501" s="10">
        <v>10000047</v>
      </c>
      <c r="D1501" t="b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0.76250629714331486</v>
      </c>
      <c r="P1501">
        <v>0.1176470588235294</v>
      </c>
      <c r="Q1501">
        <v>0.23749370285668511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6.083708467651781</v>
      </c>
      <c r="X1501">
        <v>0.23749370285668511</v>
      </c>
      <c r="Y1501">
        <v>0.76250629714331486</v>
      </c>
      <c r="Z1501" t="s">
        <v>24</v>
      </c>
    </row>
    <row r="1502" spans="1:26" hidden="1" x14ac:dyDescent="0.2">
      <c r="A1502">
        <v>97</v>
      </c>
      <c r="B1502" t="s">
        <v>26</v>
      </c>
      <c r="C1502" s="10">
        <v>10000082</v>
      </c>
      <c r="D1502" t="b">
        <v>1</v>
      </c>
      <c r="F1502">
        <v>0</v>
      </c>
      <c r="G1502">
        <v>0.43333333333333329</v>
      </c>
      <c r="H1502">
        <v>0</v>
      </c>
      <c r="I1502">
        <v>2.8269876327458719E-2</v>
      </c>
      <c r="J1502">
        <v>0.56666666666666665</v>
      </c>
      <c r="W1502">
        <v>4.0907878936253734</v>
      </c>
      <c r="X1502">
        <v>1</v>
      </c>
      <c r="Y1502">
        <v>0.43333333333333329</v>
      </c>
      <c r="Z1502" t="s">
        <v>23</v>
      </c>
    </row>
    <row r="1503" spans="1:26" hidden="1" x14ac:dyDescent="0.2">
      <c r="A1503">
        <v>97</v>
      </c>
      <c r="B1503" t="s">
        <v>26</v>
      </c>
      <c r="C1503" s="10">
        <v>10000033</v>
      </c>
      <c r="D1503" t="b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0.69051755539391702</v>
      </c>
      <c r="M1503">
        <v>0.19192302421861901</v>
      </c>
      <c r="N1503">
        <v>0</v>
      </c>
      <c r="O1503">
        <v>0</v>
      </c>
      <c r="P1503">
        <v>0.1333333333333333</v>
      </c>
      <c r="Q1503">
        <v>0</v>
      </c>
      <c r="R1503">
        <v>0.1333333333333333</v>
      </c>
      <c r="S1503">
        <v>0</v>
      </c>
      <c r="T1503">
        <v>0.1333333333333333</v>
      </c>
      <c r="U1503">
        <v>0</v>
      </c>
      <c r="V1503">
        <v>0.1333333333333333</v>
      </c>
      <c r="W1503">
        <v>6.1210393192124064</v>
      </c>
      <c r="X1503">
        <v>0.19192302421861901</v>
      </c>
      <c r="Y1503">
        <v>0.69051755539391702</v>
      </c>
      <c r="Z1503" t="s">
        <v>24</v>
      </c>
    </row>
    <row r="1504" spans="1:26" hidden="1" x14ac:dyDescent="0.2">
      <c r="A1504">
        <v>97</v>
      </c>
      <c r="B1504" t="s">
        <v>33</v>
      </c>
      <c r="C1504" s="10">
        <v>10000033</v>
      </c>
      <c r="D1504" t="b">
        <v>0</v>
      </c>
      <c r="E1504">
        <v>0</v>
      </c>
      <c r="F1504">
        <v>0</v>
      </c>
      <c r="G1504">
        <v>0</v>
      </c>
      <c r="H1504">
        <v>6.6666666666666666E-2</v>
      </c>
      <c r="I1504">
        <v>0</v>
      </c>
      <c r="J1504">
        <v>6.6666666666666666E-2</v>
      </c>
      <c r="K1504">
        <v>0</v>
      </c>
      <c r="L1504">
        <v>0.69564423599887004</v>
      </c>
      <c r="M1504">
        <v>0.19192302421861901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6.1267809678981457</v>
      </c>
      <c r="X1504">
        <v>0.19192302421861901</v>
      </c>
      <c r="Y1504">
        <v>0.69564423599887004</v>
      </c>
      <c r="Z1504" t="s">
        <v>24</v>
      </c>
    </row>
    <row r="1505" spans="1:26" hidden="1" x14ac:dyDescent="0.2">
      <c r="A1505">
        <v>97</v>
      </c>
      <c r="B1505" t="s">
        <v>33</v>
      </c>
      <c r="C1505" s="10">
        <v>10000047</v>
      </c>
      <c r="D1505" t="b">
        <v>0</v>
      </c>
      <c r="E1505">
        <v>0</v>
      </c>
      <c r="F1505">
        <v>0</v>
      </c>
      <c r="G1505">
        <v>0</v>
      </c>
      <c r="H1505">
        <v>0</v>
      </c>
      <c r="I1505">
        <v>6.6666666666666666E-2</v>
      </c>
      <c r="J1505">
        <v>6.6666666666666666E-2</v>
      </c>
      <c r="K1505">
        <v>0</v>
      </c>
      <c r="L1505">
        <v>0.68421052631578938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6.6617993081506501</v>
      </c>
      <c r="X1505">
        <v>0</v>
      </c>
      <c r="Y1505">
        <v>0.68421052631578938</v>
      </c>
      <c r="Z1505" t="s">
        <v>24</v>
      </c>
    </row>
    <row r="1506" spans="1:26" hidden="1" x14ac:dyDescent="0.2">
      <c r="A1506">
        <v>98</v>
      </c>
      <c r="B1506" t="s">
        <v>34</v>
      </c>
      <c r="C1506" s="10">
        <v>10000047</v>
      </c>
      <c r="D1506" t="b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0.83386230502222392</v>
      </c>
      <c r="P1506">
        <v>0</v>
      </c>
      <c r="Q1506">
        <v>0.166137694977776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6.3304425809856539</v>
      </c>
      <c r="X1506">
        <v>0.166137694977776</v>
      </c>
      <c r="Y1506">
        <v>0.83386230502222392</v>
      </c>
      <c r="Z1506" t="s">
        <v>24</v>
      </c>
    </row>
    <row r="1507" spans="1:26" hidden="1" x14ac:dyDescent="0.2">
      <c r="A1507">
        <v>98</v>
      </c>
      <c r="B1507" t="s">
        <v>27</v>
      </c>
      <c r="C1507" s="10">
        <v>10000082</v>
      </c>
      <c r="D1507" t="b">
        <v>1</v>
      </c>
      <c r="F1507">
        <v>0</v>
      </c>
      <c r="G1507">
        <v>0</v>
      </c>
      <c r="H1507">
        <v>0</v>
      </c>
      <c r="I1507">
        <v>0.99400984298101747</v>
      </c>
      <c r="J1507">
        <v>0.14744124903138481</v>
      </c>
      <c r="W1507">
        <v>4.9949865158429043</v>
      </c>
      <c r="X1507">
        <v>1</v>
      </c>
      <c r="Y1507">
        <v>0.99400984298101747</v>
      </c>
      <c r="Z1507" t="s">
        <v>23</v>
      </c>
    </row>
    <row r="1508" spans="1:26" hidden="1" x14ac:dyDescent="0.2">
      <c r="A1508">
        <v>98</v>
      </c>
      <c r="B1508" t="s">
        <v>27</v>
      </c>
      <c r="C1508" s="10">
        <v>10000073</v>
      </c>
      <c r="D1508" t="b">
        <v>1</v>
      </c>
      <c r="E1508">
        <v>0</v>
      </c>
      <c r="F1508">
        <v>0</v>
      </c>
      <c r="G1508">
        <v>0</v>
      </c>
      <c r="H1508">
        <v>0</v>
      </c>
      <c r="I1508">
        <v>0.57263790338815523</v>
      </c>
      <c r="J1508">
        <v>0.23761059419638361</v>
      </c>
      <c r="W1508">
        <v>5.8395370697345337</v>
      </c>
      <c r="X1508">
        <v>0.23761059419638361</v>
      </c>
      <c r="Y1508">
        <v>0.57263790338815523</v>
      </c>
      <c r="Z1508" t="s">
        <v>24</v>
      </c>
    </row>
    <row r="1509" spans="1:26" hidden="1" x14ac:dyDescent="0.2">
      <c r="A1509">
        <v>98</v>
      </c>
      <c r="B1509" t="s">
        <v>28</v>
      </c>
      <c r="C1509" s="10">
        <v>10000033</v>
      </c>
      <c r="D1509" t="b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0.30885328905689913</v>
      </c>
      <c r="Q1509">
        <v>0</v>
      </c>
      <c r="R1509">
        <v>5.560843125940515E-2</v>
      </c>
      <c r="S1509">
        <v>0</v>
      </c>
      <c r="T1509">
        <v>5.560843125940515E-2</v>
      </c>
      <c r="U1509">
        <v>0</v>
      </c>
      <c r="V1509">
        <v>0.69114671094310087</v>
      </c>
      <c r="W1509">
        <v>6.5032913380232609</v>
      </c>
      <c r="X1509">
        <v>5.560843125940515E-2</v>
      </c>
      <c r="Y1509">
        <v>0.69114671094310087</v>
      </c>
      <c r="Z1509" t="s">
        <v>24</v>
      </c>
    </row>
    <row r="1510" spans="1:26" hidden="1" x14ac:dyDescent="0.2">
      <c r="A1510">
        <v>98</v>
      </c>
      <c r="B1510" t="s">
        <v>26</v>
      </c>
      <c r="C1510" s="10">
        <v>10000073</v>
      </c>
      <c r="D1510" t="b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0.43303651752030881</v>
      </c>
      <c r="P1510">
        <v>0</v>
      </c>
      <c r="Q1510">
        <v>0.27245322213661688</v>
      </c>
      <c r="R1510">
        <v>0</v>
      </c>
      <c r="S1510">
        <v>0.27245322213661688</v>
      </c>
      <c r="T1510">
        <v>0</v>
      </c>
      <c r="U1510">
        <v>0.56696348247969119</v>
      </c>
      <c r="V1510">
        <v>0</v>
      </c>
      <c r="W1510">
        <v>5.7302506413556147</v>
      </c>
      <c r="X1510">
        <v>0.27245322213661688</v>
      </c>
      <c r="Y1510">
        <v>0.56696348247969119</v>
      </c>
      <c r="Z1510" t="s">
        <v>24</v>
      </c>
    </row>
    <row r="1511" spans="1:26" hidden="1" x14ac:dyDescent="0.2">
      <c r="A1511">
        <v>98</v>
      </c>
      <c r="B1511" t="s">
        <v>31</v>
      </c>
      <c r="C1511" s="10">
        <v>10000082</v>
      </c>
      <c r="D1511" t="b">
        <v>1</v>
      </c>
      <c r="F1511">
        <v>0</v>
      </c>
      <c r="G1511">
        <v>0</v>
      </c>
      <c r="H1511">
        <v>0</v>
      </c>
      <c r="I1511">
        <v>0.99931035298291282</v>
      </c>
      <c r="J1511">
        <v>2.264345695843992E-2</v>
      </c>
      <c r="W1511">
        <v>5.0016376296560692</v>
      </c>
      <c r="X1511">
        <v>1</v>
      </c>
      <c r="Y1511">
        <v>0.99931035298291282</v>
      </c>
      <c r="Z1511" t="s">
        <v>23</v>
      </c>
    </row>
    <row r="1512" spans="1:26" hidden="1" x14ac:dyDescent="0.2">
      <c r="A1512">
        <v>98</v>
      </c>
      <c r="B1512" t="s">
        <v>31</v>
      </c>
      <c r="C1512" s="10">
        <v>10000047</v>
      </c>
      <c r="D1512" t="b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0.74453553368112002</v>
      </c>
      <c r="P1512">
        <v>0</v>
      </c>
      <c r="Q1512">
        <v>0.25546446631887998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6.0185927021108947</v>
      </c>
      <c r="X1512">
        <v>0.25546446631887998</v>
      </c>
      <c r="Y1512">
        <v>0.74453553368112002</v>
      </c>
      <c r="Z1512" t="s">
        <v>24</v>
      </c>
    </row>
    <row r="1513" spans="1:26" hidden="1" x14ac:dyDescent="0.2">
      <c r="A1513">
        <v>98</v>
      </c>
      <c r="B1513" t="s">
        <v>29</v>
      </c>
      <c r="C1513" s="10">
        <v>10000073</v>
      </c>
      <c r="D1513" t="b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0.43722468572919732</v>
      </c>
      <c r="P1513">
        <v>0</v>
      </c>
      <c r="Q1513">
        <v>0.30368828692859379</v>
      </c>
      <c r="R1513">
        <v>0</v>
      </c>
      <c r="S1513">
        <v>0.30368828692859379</v>
      </c>
      <c r="T1513">
        <v>0</v>
      </c>
      <c r="U1513">
        <v>0.56277531427080274</v>
      </c>
      <c r="V1513">
        <v>0</v>
      </c>
      <c r="W1513">
        <v>5.6354552749611511</v>
      </c>
      <c r="X1513">
        <v>0.30368828692859379</v>
      </c>
      <c r="Y1513">
        <v>0.56277531427080274</v>
      </c>
      <c r="Z1513" t="s">
        <v>24</v>
      </c>
    </row>
    <row r="1514" spans="1:26" hidden="1" x14ac:dyDescent="0.2">
      <c r="A1514">
        <v>98</v>
      </c>
      <c r="B1514" t="s">
        <v>33</v>
      </c>
      <c r="C1514" s="10">
        <v>10000082</v>
      </c>
      <c r="D1514" t="b">
        <v>1</v>
      </c>
      <c r="F1514">
        <v>0</v>
      </c>
      <c r="G1514">
        <v>0</v>
      </c>
      <c r="H1514">
        <v>0</v>
      </c>
      <c r="I1514">
        <v>1</v>
      </c>
      <c r="J1514">
        <v>0</v>
      </c>
      <c r="W1514">
        <v>5.0025004164584352</v>
      </c>
      <c r="X1514">
        <v>1</v>
      </c>
      <c r="Y1514">
        <v>1</v>
      </c>
      <c r="Z1514" t="s">
        <v>23</v>
      </c>
    </row>
    <row r="1515" spans="1:26" hidden="1" x14ac:dyDescent="0.2">
      <c r="A1515">
        <v>98</v>
      </c>
      <c r="B1515" t="s">
        <v>33</v>
      </c>
      <c r="C1515" s="10">
        <v>10000033</v>
      </c>
      <c r="D1515" t="b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3.3333333333333333E-2</v>
      </c>
      <c r="M1515">
        <v>3.3333333333333333E-2</v>
      </c>
      <c r="N1515">
        <v>0</v>
      </c>
      <c r="O1515">
        <v>0</v>
      </c>
      <c r="P1515">
        <v>0.30402121984207392</v>
      </c>
      <c r="Q1515">
        <v>0</v>
      </c>
      <c r="R1515">
        <v>0.13903431909784281</v>
      </c>
      <c r="S1515">
        <v>0</v>
      </c>
      <c r="T1515">
        <v>0.13903431909784281</v>
      </c>
      <c r="U1515">
        <v>0</v>
      </c>
      <c r="V1515">
        <v>0.69597878015792614</v>
      </c>
      <c r="W1515">
        <v>6.2713844613327208</v>
      </c>
      <c r="X1515">
        <v>0.13903431909784281</v>
      </c>
      <c r="Y1515">
        <v>0.69597878015792614</v>
      </c>
      <c r="Z1515" t="s">
        <v>24</v>
      </c>
    </row>
    <row r="1516" spans="1:26" hidden="1" x14ac:dyDescent="0.2">
      <c r="A1516">
        <v>98</v>
      </c>
      <c r="B1516" t="s">
        <v>35</v>
      </c>
      <c r="C1516" s="10">
        <v>10000033</v>
      </c>
      <c r="D1516" t="b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0.28571428571428581</v>
      </c>
      <c r="L1516">
        <v>0.36666666666666659</v>
      </c>
      <c r="M1516">
        <v>0.18635898540046161</v>
      </c>
      <c r="N1516">
        <v>0</v>
      </c>
      <c r="O1516">
        <v>0</v>
      </c>
      <c r="P1516">
        <v>0</v>
      </c>
      <c r="Q1516">
        <v>0.32114145907922592</v>
      </c>
      <c r="R1516">
        <v>0</v>
      </c>
      <c r="S1516">
        <v>0.28571428571428581</v>
      </c>
      <c r="T1516">
        <v>0.18635898540046161</v>
      </c>
      <c r="U1516">
        <v>0</v>
      </c>
      <c r="V1516">
        <v>0.6333333333333333</v>
      </c>
      <c r="W1516">
        <v>5.7029364045409112</v>
      </c>
      <c r="X1516">
        <v>0.32114145907922592</v>
      </c>
      <c r="Y1516">
        <v>0.6333333333333333</v>
      </c>
      <c r="Z1516" t="s">
        <v>24</v>
      </c>
    </row>
    <row r="1517" spans="1:26" hidden="1" x14ac:dyDescent="0.2">
      <c r="A1517">
        <v>98</v>
      </c>
      <c r="B1517" t="s">
        <v>30</v>
      </c>
      <c r="C1517" s="10">
        <v>10000047</v>
      </c>
      <c r="D1517" t="b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0.53846153846153832</v>
      </c>
      <c r="M1517">
        <v>0</v>
      </c>
      <c r="N1517">
        <v>0</v>
      </c>
      <c r="O1517">
        <v>0.16666666666666671</v>
      </c>
      <c r="P1517">
        <v>0.16666666666666671</v>
      </c>
      <c r="Q1517">
        <v>0.16666666666666671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6.0073562633383437</v>
      </c>
      <c r="X1517">
        <v>0.16666666666666671</v>
      </c>
      <c r="Y1517">
        <v>0.53846153846153832</v>
      </c>
      <c r="Z1517" t="s">
        <v>24</v>
      </c>
    </row>
    <row r="1518" spans="1:26" hidden="1" x14ac:dyDescent="0.2">
      <c r="A1518">
        <v>98</v>
      </c>
      <c r="B1518" t="s">
        <v>32</v>
      </c>
      <c r="C1518" s="10">
        <v>10000082</v>
      </c>
      <c r="D1518" t="b">
        <v>1</v>
      </c>
      <c r="F1518">
        <v>0</v>
      </c>
      <c r="G1518">
        <v>1</v>
      </c>
      <c r="H1518">
        <v>0</v>
      </c>
      <c r="I1518">
        <v>0</v>
      </c>
      <c r="J1518">
        <v>0</v>
      </c>
      <c r="W1518">
        <v>5.0025004164584352</v>
      </c>
      <c r="X1518">
        <v>1</v>
      </c>
      <c r="Y1518">
        <v>1</v>
      </c>
      <c r="Z1518" t="s">
        <v>23</v>
      </c>
    </row>
    <row r="1519" spans="1:26" hidden="1" x14ac:dyDescent="0.2">
      <c r="A1519">
        <v>98</v>
      </c>
      <c r="B1519" t="s">
        <v>32</v>
      </c>
      <c r="C1519" s="10">
        <v>10000033</v>
      </c>
      <c r="D1519" t="b">
        <v>0</v>
      </c>
      <c r="E1519">
        <v>0.1333333333333333</v>
      </c>
      <c r="F1519">
        <v>0.207091690878899</v>
      </c>
      <c r="G1519">
        <v>0.67783661378802085</v>
      </c>
      <c r="H1519">
        <v>0</v>
      </c>
      <c r="I1519">
        <v>0.32216338621197921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4.2383197801808246</v>
      </c>
      <c r="X1519">
        <v>0.67783661378802085</v>
      </c>
      <c r="Y1519">
        <v>0.32216338621197921</v>
      </c>
      <c r="Z1519" t="s">
        <v>23</v>
      </c>
    </row>
    <row r="1520" spans="1:26" hidden="1" x14ac:dyDescent="0.2">
      <c r="A1520">
        <v>98</v>
      </c>
      <c r="B1520" t="s">
        <v>32</v>
      </c>
      <c r="C1520" s="10">
        <v>10000073</v>
      </c>
      <c r="D1520" t="b">
        <v>0</v>
      </c>
      <c r="E1520">
        <v>0.44791294604751247</v>
      </c>
      <c r="F1520">
        <v>0</v>
      </c>
      <c r="G1520">
        <v>0.55208705395248747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3.416601129597328</v>
      </c>
      <c r="X1520">
        <v>0.55208705395248747</v>
      </c>
      <c r="Y1520">
        <v>0</v>
      </c>
      <c r="Z1520" t="s">
        <v>23</v>
      </c>
    </row>
    <row r="1521" spans="1:26" hidden="1" x14ac:dyDescent="0.2">
      <c r="A1521">
        <v>98</v>
      </c>
      <c r="B1521" t="s">
        <v>32</v>
      </c>
      <c r="C1521" s="10">
        <v>10000047</v>
      </c>
      <c r="D1521" t="b">
        <v>0</v>
      </c>
      <c r="E1521">
        <v>0</v>
      </c>
      <c r="F1521">
        <v>0</v>
      </c>
      <c r="G1521">
        <v>0</v>
      </c>
      <c r="H1521">
        <v>0</v>
      </c>
      <c r="I1521">
        <v>0.67477144227766683</v>
      </c>
      <c r="J1521">
        <v>0.28571428571428559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6.6564356163124137</v>
      </c>
      <c r="X1521">
        <v>0</v>
      </c>
      <c r="Y1521">
        <v>0.67477144227766683</v>
      </c>
      <c r="Z1521" t="s">
        <v>24</v>
      </c>
    </row>
    <row r="1522" spans="1:26" hidden="1" x14ac:dyDescent="0.2">
      <c r="A1522">
        <v>99</v>
      </c>
      <c r="B1522" t="s">
        <v>35</v>
      </c>
      <c r="C1522" s="10">
        <v>10000047</v>
      </c>
      <c r="D1522" t="b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0.83081466911464075</v>
      </c>
      <c r="P1522">
        <v>0</v>
      </c>
      <c r="Q1522">
        <v>0.16918533088535931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6.3202829173724986</v>
      </c>
      <c r="X1522">
        <v>0.16918533088535931</v>
      </c>
      <c r="Y1522">
        <v>0.83081466911464075</v>
      </c>
      <c r="Z1522" t="s">
        <v>24</v>
      </c>
    </row>
    <row r="1523" spans="1:26" hidden="1" x14ac:dyDescent="0.2">
      <c r="A1523">
        <v>99</v>
      </c>
      <c r="B1523" t="s">
        <v>32</v>
      </c>
      <c r="C1523" s="10">
        <v>10000033</v>
      </c>
      <c r="D1523" t="b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0.31287735234987168</v>
      </c>
      <c r="Q1523">
        <v>0</v>
      </c>
      <c r="R1523">
        <v>9.1329506064451949E-2</v>
      </c>
      <c r="S1523">
        <v>0</v>
      </c>
      <c r="T1523">
        <v>9.1329506064451949E-2</v>
      </c>
      <c r="U1523">
        <v>0</v>
      </c>
      <c r="V1523">
        <v>0.6871226476501282</v>
      </c>
      <c r="W1523">
        <v>6.397370480209557</v>
      </c>
      <c r="X1523">
        <v>9.1329506064451949E-2</v>
      </c>
      <c r="Y1523">
        <v>0.6871226476501282</v>
      </c>
      <c r="Z1523" t="s">
        <v>24</v>
      </c>
    </row>
    <row r="1524" spans="1:26" hidden="1" x14ac:dyDescent="0.2">
      <c r="A1524">
        <v>99</v>
      </c>
      <c r="B1524" t="s">
        <v>26</v>
      </c>
      <c r="C1524" s="10">
        <v>10000082</v>
      </c>
      <c r="D1524" t="b">
        <v>1</v>
      </c>
      <c r="F1524">
        <v>0</v>
      </c>
      <c r="G1524">
        <v>0</v>
      </c>
      <c r="H1524">
        <v>0</v>
      </c>
      <c r="I1524">
        <v>0.99805992883771744</v>
      </c>
      <c r="J1524">
        <v>0.1009855652353073</v>
      </c>
      <c r="W1524">
        <v>5.0000717612662076</v>
      </c>
      <c r="X1524">
        <v>1</v>
      </c>
      <c r="Y1524">
        <v>0.99805992883771744</v>
      </c>
      <c r="Z1524" t="s">
        <v>23</v>
      </c>
    </row>
    <row r="1525" spans="1:26" hidden="1" x14ac:dyDescent="0.2">
      <c r="A1525">
        <v>99</v>
      </c>
      <c r="B1525" t="s">
        <v>26</v>
      </c>
      <c r="C1525" s="10">
        <v>10000047</v>
      </c>
      <c r="D1525" t="b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0.78827917124325908</v>
      </c>
      <c r="P1525">
        <v>0</v>
      </c>
      <c r="Q1525">
        <v>0.21172082875674089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6.1749823300505051</v>
      </c>
      <c r="X1525">
        <v>0.21172082875674089</v>
      </c>
      <c r="Y1525">
        <v>0.78827917124325908</v>
      </c>
      <c r="Z1525" t="s">
        <v>24</v>
      </c>
    </row>
    <row r="1526" spans="1:26" hidden="1" x14ac:dyDescent="0.2">
      <c r="A1526">
        <v>99</v>
      </c>
      <c r="B1526" t="s">
        <v>33</v>
      </c>
      <c r="C1526" s="10">
        <v>10000047</v>
      </c>
      <c r="D1526" t="b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0.78827917124325908</v>
      </c>
      <c r="P1526">
        <v>0</v>
      </c>
      <c r="Q1526">
        <v>0.21172082875674089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6.1749823300505051</v>
      </c>
      <c r="X1526">
        <v>0.21172082875674089</v>
      </c>
      <c r="Y1526">
        <v>0.78827917124325908</v>
      </c>
      <c r="Z1526" t="s">
        <v>24</v>
      </c>
    </row>
    <row r="1527" spans="1:26" hidden="1" x14ac:dyDescent="0.2">
      <c r="A1527">
        <v>99</v>
      </c>
      <c r="B1527" t="s">
        <v>30</v>
      </c>
      <c r="C1527" s="10">
        <v>10000082</v>
      </c>
      <c r="D1527" t="b">
        <v>1</v>
      </c>
      <c r="F1527">
        <v>0</v>
      </c>
      <c r="G1527">
        <v>0</v>
      </c>
      <c r="H1527">
        <v>0</v>
      </c>
      <c r="I1527">
        <v>1</v>
      </c>
      <c r="J1527">
        <v>0</v>
      </c>
      <c r="W1527">
        <v>5.0025004164584352</v>
      </c>
      <c r="X1527">
        <v>1</v>
      </c>
      <c r="Y1527">
        <v>1</v>
      </c>
      <c r="Z1527" t="s">
        <v>23</v>
      </c>
    </row>
    <row r="1528" spans="1:26" hidden="1" x14ac:dyDescent="0.2">
      <c r="A1528">
        <v>99</v>
      </c>
      <c r="B1528" t="s">
        <v>30</v>
      </c>
      <c r="C1528" s="10">
        <v>10000033</v>
      </c>
      <c r="D1528" t="b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0.2814446406395627</v>
      </c>
      <c r="Q1528">
        <v>0</v>
      </c>
      <c r="R1528">
        <v>0.1070446428667185</v>
      </c>
      <c r="S1528">
        <v>0</v>
      </c>
      <c r="T1528">
        <v>0.1070446428667185</v>
      </c>
      <c r="U1528">
        <v>0</v>
      </c>
      <c r="V1528">
        <v>0.71855535936043724</v>
      </c>
      <c r="W1528">
        <v>6.3805916050283793</v>
      </c>
      <c r="X1528">
        <v>0.1070446428667185</v>
      </c>
      <c r="Y1528">
        <v>0.71855535936043724</v>
      </c>
      <c r="Z1528" t="s">
        <v>24</v>
      </c>
    </row>
    <row r="1529" spans="1:26" hidden="1" x14ac:dyDescent="0.2">
      <c r="A1529">
        <v>99</v>
      </c>
      <c r="B1529" t="s">
        <v>28</v>
      </c>
      <c r="C1529" s="10">
        <v>10000073</v>
      </c>
      <c r="D1529" t="b">
        <v>1</v>
      </c>
      <c r="E1529">
        <v>0</v>
      </c>
      <c r="F1529">
        <v>0</v>
      </c>
      <c r="G1529">
        <v>0</v>
      </c>
      <c r="H1529">
        <v>0</v>
      </c>
      <c r="I1529">
        <v>0.60459964802756261</v>
      </c>
      <c r="J1529">
        <v>0.25985767719571712</v>
      </c>
      <c r="W1529">
        <v>5.8238287121371002</v>
      </c>
      <c r="X1529">
        <v>0.25985767719571712</v>
      </c>
      <c r="Y1529">
        <v>0.60459964802756261</v>
      </c>
      <c r="Z1529" t="s">
        <v>24</v>
      </c>
    </row>
    <row r="1530" spans="1:26" hidden="1" x14ac:dyDescent="0.2">
      <c r="A1530">
        <v>99</v>
      </c>
      <c r="B1530" t="s">
        <v>34</v>
      </c>
      <c r="C1530" s="10">
        <v>10000082</v>
      </c>
      <c r="D1530" t="b">
        <v>1</v>
      </c>
      <c r="F1530">
        <v>0</v>
      </c>
      <c r="G1530">
        <v>0.43333333333333329</v>
      </c>
      <c r="H1530">
        <v>0.2395966488426006</v>
      </c>
      <c r="I1530">
        <v>0</v>
      </c>
      <c r="J1530">
        <v>0.56666666666666665</v>
      </c>
      <c r="W1530">
        <v>4.0907878936253734</v>
      </c>
      <c r="X1530">
        <v>1</v>
      </c>
      <c r="Y1530">
        <v>0.43333333333333329</v>
      </c>
      <c r="Z1530" t="s">
        <v>23</v>
      </c>
    </row>
    <row r="1531" spans="1:26" hidden="1" x14ac:dyDescent="0.2">
      <c r="A1531">
        <v>99</v>
      </c>
      <c r="B1531" t="s">
        <v>34</v>
      </c>
      <c r="C1531" s="10">
        <v>10000047</v>
      </c>
      <c r="D1531" t="b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0.8666666666666667</v>
      </c>
      <c r="L1531">
        <v>0</v>
      </c>
      <c r="M1531">
        <v>0</v>
      </c>
      <c r="N1531">
        <v>0</v>
      </c>
      <c r="O1531">
        <v>0.1333333333333333</v>
      </c>
      <c r="P1531">
        <v>0</v>
      </c>
      <c r="Q1531">
        <v>0.1333333333333333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3.5656198137299122</v>
      </c>
      <c r="X1531">
        <v>0.8666666666666667</v>
      </c>
      <c r="Y1531">
        <v>0.1333333333333333</v>
      </c>
      <c r="Z1531" t="s">
        <v>23</v>
      </c>
    </row>
    <row r="1532" spans="1:26" hidden="1" x14ac:dyDescent="0.2">
      <c r="A1532">
        <v>99</v>
      </c>
      <c r="B1532" t="s">
        <v>29</v>
      </c>
      <c r="C1532" s="10">
        <v>10000082</v>
      </c>
      <c r="D1532" t="b">
        <v>1</v>
      </c>
      <c r="F1532">
        <v>0</v>
      </c>
      <c r="G1532">
        <v>0.54451559597377963</v>
      </c>
      <c r="H1532">
        <v>0</v>
      </c>
      <c r="I1532">
        <v>0.1</v>
      </c>
      <c r="J1532">
        <v>0.1</v>
      </c>
      <c r="W1532">
        <v>4.3009705089861772</v>
      </c>
      <c r="X1532">
        <v>1</v>
      </c>
      <c r="Y1532">
        <v>0.54451559597377963</v>
      </c>
      <c r="Z1532" t="s">
        <v>23</v>
      </c>
    </row>
    <row r="1533" spans="1:26" hidden="1" x14ac:dyDescent="0.2">
      <c r="A1533">
        <v>99</v>
      </c>
      <c r="B1533" t="s">
        <v>34</v>
      </c>
      <c r="C1533" s="10">
        <v>10000033</v>
      </c>
      <c r="D1533" t="b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0.72984436630508454</v>
      </c>
      <c r="M1533">
        <v>0.20324995862778611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6.1345947148176139</v>
      </c>
      <c r="X1533">
        <v>0.20324995862778611</v>
      </c>
      <c r="Y1533">
        <v>0.72984436630508454</v>
      </c>
      <c r="Z1533" t="s">
        <v>24</v>
      </c>
    </row>
    <row r="1534" spans="1:26" hidden="1" x14ac:dyDescent="0.2">
      <c r="A1534">
        <v>99</v>
      </c>
      <c r="B1534" t="s">
        <v>27</v>
      </c>
      <c r="C1534" s="10">
        <v>10000033</v>
      </c>
      <c r="D1534" t="b">
        <v>0</v>
      </c>
      <c r="E1534">
        <v>0</v>
      </c>
      <c r="F1534">
        <v>0</v>
      </c>
      <c r="G1534">
        <v>0</v>
      </c>
      <c r="H1534">
        <v>0.16666666666666671</v>
      </c>
      <c r="I1534">
        <v>0</v>
      </c>
      <c r="J1534">
        <v>0.16666666666666671</v>
      </c>
      <c r="K1534">
        <v>0</v>
      </c>
      <c r="L1534">
        <v>0.73267379609531957</v>
      </c>
      <c r="M1534">
        <v>0.20324995862778611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6.1376707373942754</v>
      </c>
      <c r="X1534">
        <v>0.20324995862778611</v>
      </c>
      <c r="Y1534">
        <v>0.73267379609531957</v>
      </c>
      <c r="Z1534" t="s">
        <v>24</v>
      </c>
    </row>
    <row r="1535" spans="1:26" hidden="1" x14ac:dyDescent="0.2">
      <c r="A1535">
        <v>99</v>
      </c>
      <c r="B1535" t="s">
        <v>29</v>
      </c>
      <c r="C1535" s="10">
        <v>10000047</v>
      </c>
      <c r="D1535" t="b">
        <v>0</v>
      </c>
      <c r="E1535">
        <v>0.4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0.6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3.388888888888907</v>
      </c>
      <c r="X1535">
        <v>0.6</v>
      </c>
      <c r="Y1535">
        <v>0</v>
      </c>
      <c r="Z1535" t="s">
        <v>23</v>
      </c>
    </row>
    <row r="1536" spans="1:26" hidden="1" x14ac:dyDescent="0.2">
      <c r="A1536">
        <v>99</v>
      </c>
      <c r="B1536" t="s">
        <v>29</v>
      </c>
      <c r="C1536" s="10">
        <v>10000033</v>
      </c>
      <c r="D1536" t="b">
        <v>0</v>
      </c>
      <c r="E1536">
        <v>0</v>
      </c>
      <c r="F1536">
        <v>0</v>
      </c>
      <c r="G1536">
        <v>0</v>
      </c>
      <c r="H1536">
        <v>0.72150828121334476</v>
      </c>
      <c r="I1536">
        <v>0</v>
      </c>
      <c r="J1536">
        <v>0.2784917187866553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6.6829150076694237</v>
      </c>
      <c r="X1536">
        <v>0</v>
      </c>
      <c r="Y1536">
        <v>0.72150828121334476</v>
      </c>
      <c r="Z1536" t="s">
        <v>24</v>
      </c>
    </row>
    <row r="1537" spans="1:26" hidden="1" x14ac:dyDescent="0.2">
      <c r="A1537">
        <v>99</v>
      </c>
      <c r="B1537" t="s">
        <v>31</v>
      </c>
      <c r="C1537" s="10">
        <v>10000047</v>
      </c>
      <c r="D1537" t="b">
        <v>0</v>
      </c>
      <c r="E1537">
        <v>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3.1666666666666679</v>
      </c>
      <c r="X1537">
        <v>1</v>
      </c>
      <c r="Y1537">
        <v>0</v>
      </c>
      <c r="Z1537" t="s">
        <v>23</v>
      </c>
    </row>
    <row r="1538" spans="1:26" hidden="1" x14ac:dyDescent="0.2">
      <c r="A1538">
        <v>99</v>
      </c>
      <c r="B1538" t="s">
        <v>31</v>
      </c>
      <c r="C1538" s="10">
        <v>10000033</v>
      </c>
      <c r="D1538" t="b">
        <v>0</v>
      </c>
      <c r="E1538">
        <v>0</v>
      </c>
      <c r="F1538">
        <v>0</v>
      </c>
      <c r="G1538">
        <v>0</v>
      </c>
      <c r="H1538">
        <v>0.71132246142355471</v>
      </c>
      <c r="I1538">
        <v>0</v>
      </c>
      <c r="J1538">
        <v>0.28867753857644529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6.677161950128311</v>
      </c>
      <c r="X1538">
        <v>0</v>
      </c>
      <c r="Y1538">
        <v>0.71132246142355471</v>
      </c>
      <c r="Z1538" t="s">
        <v>24</v>
      </c>
    </row>
    <row r="1539" spans="1:26" hidden="1" x14ac:dyDescent="0.2">
      <c r="A1539">
        <v>99</v>
      </c>
      <c r="B1539" t="s">
        <v>31</v>
      </c>
      <c r="C1539" s="10">
        <v>10000073</v>
      </c>
      <c r="D1539" t="b">
        <v>0</v>
      </c>
      <c r="E1539">
        <v>0.4076890640116127</v>
      </c>
      <c r="F1539">
        <v>0</v>
      </c>
      <c r="G1539">
        <v>0.59231093598838735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3.3933206748965001</v>
      </c>
      <c r="X1539">
        <v>0.59231093598838735</v>
      </c>
      <c r="Y1539">
        <v>0</v>
      </c>
      <c r="Z1539" t="s">
        <v>23</v>
      </c>
    </row>
    <row r="1540" spans="1:26" hidden="1" x14ac:dyDescent="0.2">
      <c r="A1540">
        <v>100</v>
      </c>
      <c r="B1540" t="s">
        <v>30</v>
      </c>
      <c r="C1540" s="10">
        <v>10000082</v>
      </c>
      <c r="D1540" t="b">
        <v>1</v>
      </c>
      <c r="F1540">
        <v>0</v>
      </c>
      <c r="G1540">
        <v>0</v>
      </c>
      <c r="H1540">
        <v>0</v>
      </c>
      <c r="I1540">
        <v>4.0720994774196287E-2</v>
      </c>
      <c r="J1540">
        <v>0.95927900522580378</v>
      </c>
      <c r="W1540">
        <v>3.2577440704116309</v>
      </c>
      <c r="X1540">
        <v>1</v>
      </c>
      <c r="Y1540">
        <v>4.0720994774196287E-2</v>
      </c>
      <c r="Z1540" t="s">
        <v>23</v>
      </c>
    </row>
    <row r="1541" spans="1:26" hidden="1" x14ac:dyDescent="0.2">
      <c r="A1541">
        <v>100</v>
      </c>
      <c r="B1541" t="s">
        <v>30</v>
      </c>
      <c r="C1541" s="10">
        <v>10000033</v>
      </c>
      <c r="D1541" t="b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0.30882977802696898</v>
      </c>
      <c r="Q1541">
        <v>0</v>
      </c>
      <c r="R1541">
        <v>5.1022381879592973E-2</v>
      </c>
      <c r="S1541">
        <v>0</v>
      </c>
      <c r="T1541">
        <v>5.1022381879592973E-2</v>
      </c>
      <c r="U1541">
        <v>0</v>
      </c>
      <c r="V1541">
        <v>0.69117022197303091</v>
      </c>
      <c r="W1541">
        <v>6.5165751655580344</v>
      </c>
      <c r="X1541">
        <v>5.1022381879592973E-2</v>
      </c>
      <c r="Y1541">
        <v>0.69117022197303091</v>
      </c>
      <c r="Z1541" t="s">
        <v>24</v>
      </c>
    </row>
    <row r="1542" spans="1:26" hidden="1" x14ac:dyDescent="0.2">
      <c r="A1542">
        <v>100</v>
      </c>
      <c r="B1542" t="s">
        <v>31</v>
      </c>
      <c r="C1542" s="10">
        <v>10000082</v>
      </c>
      <c r="D1542" t="b">
        <v>1</v>
      </c>
      <c r="F1542">
        <v>0</v>
      </c>
      <c r="G1542">
        <v>0</v>
      </c>
      <c r="H1542">
        <v>0</v>
      </c>
      <c r="I1542">
        <v>0</v>
      </c>
      <c r="J1542">
        <v>0.67430703851449136</v>
      </c>
      <c r="W1542">
        <v>3.1666666666666679</v>
      </c>
      <c r="X1542">
        <v>1</v>
      </c>
      <c r="Y1542">
        <v>0</v>
      </c>
      <c r="Z1542" t="s">
        <v>23</v>
      </c>
    </row>
    <row r="1543" spans="1:26" hidden="1" x14ac:dyDescent="0.2">
      <c r="A1543">
        <v>100</v>
      </c>
      <c r="B1543" t="s">
        <v>31</v>
      </c>
      <c r="C1543" s="10">
        <v>10000047</v>
      </c>
      <c r="D1543" t="b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0.80794594048477397</v>
      </c>
      <c r="P1543">
        <v>0</v>
      </c>
      <c r="Q1543">
        <v>0.19205405951522611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6.2429813421018663</v>
      </c>
      <c r="X1543">
        <v>0.19205405951522611</v>
      </c>
      <c r="Y1543">
        <v>0.80794594048477397</v>
      </c>
      <c r="Z1543" t="s">
        <v>24</v>
      </c>
    </row>
    <row r="1544" spans="1:26" hidden="1" x14ac:dyDescent="0.2">
      <c r="A1544">
        <v>100</v>
      </c>
      <c r="B1544" t="s">
        <v>27</v>
      </c>
      <c r="C1544" s="10">
        <v>10000082</v>
      </c>
      <c r="D1544" t="b">
        <v>1</v>
      </c>
      <c r="F1544">
        <v>0</v>
      </c>
      <c r="G1544">
        <v>0</v>
      </c>
      <c r="H1544">
        <v>0</v>
      </c>
      <c r="I1544">
        <v>0</v>
      </c>
      <c r="J1544">
        <v>0.53929604434812928</v>
      </c>
      <c r="W1544">
        <v>3.1666666666666679</v>
      </c>
      <c r="X1544">
        <v>1</v>
      </c>
      <c r="Y1544">
        <v>0</v>
      </c>
      <c r="Z1544" t="s">
        <v>23</v>
      </c>
    </row>
    <row r="1545" spans="1:26" hidden="1" x14ac:dyDescent="0.2">
      <c r="A1545">
        <v>100</v>
      </c>
      <c r="B1545" t="s">
        <v>27</v>
      </c>
      <c r="C1545" s="10">
        <v>10000033</v>
      </c>
      <c r="D1545" t="b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0.31253703125112098</v>
      </c>
      <c r="Q1545">
        <v>0</v>
      </c>
      <c r="R1545">
        <v>0.1868521682897365</v>
      </c>
      <c r="S1545">
        <v>0</v>
      </c>
      <c r="T1545">
        <v>0.1868521682897365</v>
      </c>
      <c r="U1545">
        <v>0</v>
      </c>
      <c r="V1545">
        <v>0.68746296874887902</v>
      </c>
      <c r="W1545">
        <v>6.1313408283869588</v>
      </c>
      <c r="X1545">
        <v>0.1868521682897365</v>
      </c>
      <c r="Y1545">
        <v>0.68746296874887902</v>
      </c>
      <c r="Z1545" t="s">
        <v>24</v>
      </c>
    </row>
    <row r="1546" spans="1:26" hidden="1" x14ac:dyDescent="0.2">
      <c r="A1546">
        <v>100</v>
      </c>
      <c r="B1546" t="s">
        <v>34</v>
      </c>
      <c r="C1546" s="10">
        <v>10000082</v>
      </c>
      <c r="D1546" t="b">
        <v>1</v>
      </c>
      <c r="F1546">
        <v>0</v>
      </c>
      <c r="G1546">
        <v>0</v>
      </c>
      <c r="H1546">
        <v>0</v>
      </c>
      <c r="I1546">
        <v>0</v>
      </c>
      <c r="J1546">
        <v>0.73072223831850336</v>
      </c>
      <c r="W1546">
        <v>3.1666666666666679</v>
      </c>
      <c r="X1546">
        <v>1</v>
      </c>
      <c r="Y1546">
        <v>0</v>
      </c>
      <c r="Z1546" t="s">
        <v>23</v>
      </c>
    </row>
    <row r="1547" spans="1:26" hidden="1" x14ac:dyDescent="0.2">
      <c r="A1547">
        <v>100</v>
      </c>
      <c r="B1547" t="s">
        <v>34</v>
      </c>
      <c r="C1547" s="10">
        <v>10000033</v>
      </c>
      <c r="D1547" t="b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0.32382973802885517</v>
      </c>
      <c r="Q1547">
        <v>9.0909090909090828E-2</v>
      </c>
      <c r="R1547">
        <v>0.1868521682897365</v>
      </c>
      <c r="S1547">
        <v>0</v>
      </c>
      <c r="T1547">
        <v>0.1868521682897365</v>
      </c>
      <c r="U1547">
        <v>0</v>
      </c>
      <c r="V1547">
        <v>0.67617026197114483</v>
      </c>
      <c r="W1547">
        <v>6.1186232479818532</v>
      </c>
      <c r="X1547">
        <v>0.1868521682897365</v>
      </c>
      <c r="Y1547">
        <v>0.67617026197114483</v>
      </c>
      <c r="Z1547" t="s">
        <v>24</v>
      </c>
    </row>
    <row r="1548" spans="1:26" hidden="1" x14ac:dyDescent="0.2">
      <c r="A1548">
        <v>100</v>
      </c>
      <c r="B1548" t="s">
        <v>26</v>
      </c>
      <c r="C1548" s="10">
        <v>10000033</v>
      </c>
      <c r="D1548" t="b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0.28571428571428559</v>
      </c>
      <c r="Q1548">
        <v>0.33514542473984582</v>
      </c>
      <c r="R1548">
        <v>0.20269069090128031</v>
      </c>
      <c r="S1548">
        <v>0</v>
      </c>
      <c r="T1548">
        <v>0.20269069090128031</v>
      </c>
      <c r="U1548">
        <v>0</v>
      </c>
      <c r="V1548">
        <v>0.66485457526015423</v>
      </c>
      <c r="W1548">
        <v>5.7148191274024516</v>
      </c>
      <c r="X1548">
        <v>0.33514542473984582</v>
      </c>
      <c r="Y1548">
        <v>0.66485457526015423</v>
      </c>
      <c r="Z1548" t="s">
        <v>24</v>
      </c>
    </row>
    <row r="1549" spans="1:26" hidden="1" x14ac:dyDescent="0.2">
      <c r="A1549">
        <v>100</v>
      </c>
      <c r="B1549" t="s">
        <v>28</v>
      </c>
      <c r="C1549" s="10">
        <v>10000033</v>
      </c>
      <c r="D1549" t="b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0.34573878188733098</v>
      </c>
      <c r="R1549">
        <v>0</v>
      </c>
      <c r="S1549">
        <v>0.22222222222222229</v>
      </c>
      <c r="T1549">
        <v>0.20269069090128031</v>
      </c>
      <c r="U1549">
        <v>0</v>
      </c>
      <c r="V1549">
        <v>0.65426121811266902</v>
      </c>
      <c r="W1549">
        <v>5.6725299973516892</v>
      </c>
      <c r="X1549">
        <v>0.34573878188733098</v>
      </c>
      <c r="Y1549">
        <v>0.65426121811266902</v>
      </c>
      <c r="Z1549" t="s">
        <v>24</v>
      </c>
    </row>
    <row r="1550" spans="1:26" hidden="1" x14ac:dyDescent="0.2">
      <c r="A1550">
        <v>100</v>
      </c>
      <c r="B1550" t="s">
        <v>28</v>
      </c>
      <c r="C1550" s="10">
        <v>10000073</v>
      </c>
      <c r="D1550" t="b">
        <v>1</v>
      </c>
      <c r="E1550">
        <v>0</v>
      </c>
      <c r="F1550">
        <v>0</v>
      </c>
      <c r="G1550">
        <v>0</v>
      </c>
      <c r="H1550">
        <v>0</v>
      </c>
      <c r="I1550">
        <v>0.53169606703339645</v>
      </c>
      <c r="J1550">
        <v>0.32328309933357502</v>
      </c>
      <c r="W1550">
        <v>5.5250672630693876</v>
      </c>
      <c r="X1550">
        <v>0.32328309933357502</v>
      </c>
      <c r="Y1550">
        <v>0.53169606703339645</v>
      </c>
      <c r="Z1550" t="s">
        <v>24</v>
      </c>
    </row>
    <row r="1551" spans="1:26" hidden="1" x14ac:dyDescent="0.2">
      <c r="A1551">
        <v>100</v>
      </c>
      <c r="B1551" t="s">
        <v>28</v>
      </c>
      <c r="C1551" s="10">
        <v>10000082</v>
      </c>
      <c r="D1551" t="b">
        <v>1</v>
      </c>
      <c r="F1551">
        <v>0</v>
      </c>
      <c r="G1551">
        <v>0</v>
      </c>
      <c r="H1551">
        <v>0</v>
      </c>
      <c r="I1551">
        <v>0</v>
      </c>
      <c r="J1551">
        <v>0.7576560323295648</v>
      </c>
      <c r="W1551">
        <v>3.1666666666666679</v>
      </c>
      <c r="X1551">
        <v>1</v>
      </c>
      <c r="Y1551">
        <v>0</v>
      </c>
      <c r="Z1551" t="s">
        <v>23</v>
      </c>
    </row>
    <row r="1552" spans="1:26" hidden="1" x14ac:dyDescent="0.2">
      <c r="A1552">
        <v>100</v>
      </c>
      <c r="B1552" t="s">
        <v>33</v>
      </c>
      <c r="C1552" s="10">
        <v>10000047</v>
      </c>
      <c r="D1552" t="b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0.73383786849289812</v>
      </c>
      <c r="P1552">
        <v>0</v>
      </c>
      <c r="Q1552">
        <v>0.26616213150710188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5.9792467649136816</v>
      </c>
      <c r="X1552">
        <v>0.26616213150710188</v>
      </c>
      <c r="Y1552">
        <v>0.73383786849289812</v>
      </c>
      <c r="Z1552" t="s">
        <v>24</v>
      </c>
    </row>
    <row r="1553" spans="1:26" hidden="1" x14ac:dyDescent="0.2">
      <c r="A1553">
        <v>100</v>
      </c>
      <c r="B1553" t="s">
        <v>32</v>
      </c>
      <c r="C1553" s="10">
        <v>10000082</v>
      </c>
      <c r="D1553" t="b">
        <v>1</v>
      </c>
      <c r="F1553">
        <v>0</v>
      </c>
      <c r="G1553">
        <v>0</v>
      </c>
      <c r="H1553">
        <v>0</v>
      </c>
      <c r="I1553">
        <v>0</v>
      </c>
      <c r="J1553">
        <v>0.7576560323295648</v>
      </c>
      <c r="W1553">
        <v>3.1666666666666679</v>
      </c>
      <c r="X1553">
        <v>1</v>
      </c>
      <c r="Y1553">
        <v>0</v>
      </c>
      <c r="Z1553" t="s">
        <v>23</v>
      </c>
    </row>
    <row r="1554" spans="1:26" hidden="1" x14ac:dyDescent="0.2">
      <c r="A1554">
        <v>100</v>
      </c>
      <c r="B1554" t="s">
        <v>32</v>
      </c>
      <c r="C1554" s="10">
        <v>10000047</v>
      </c>
      <c r="D1554" t="b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0.73383786849289812</v>
      </c>
      <c r="P1554">
        <v>0</v>
      </c>
      <c r="Q1554">
        <v>0.26616213150710188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5.9792467649136816</v>
      </c>
      <c r="X1554">
        <v>0.26616213150710188</v>
      </c>
      <c r="Y1554">
        <v>0.73383786849289812</v>
      </c>
      <c r="Z1554" t="s">
        <v>24</v>
      </c>
    </row>
    <row r="1555" spans="1:26" hidden="1" x14ac:dyDescent="0.2">
      <c r="A1555">
        <v>100</v>
      </c>
      <c r="B1555" t="s">
        <v>35</v>
      </c>
      <c r="C1555" s="10">
        <v>10000082</v>
      </c>
      <c r="D1555" t="b">
        <v>1</v>
      </c>
      <c r="F1555">
        <v>0</v>
      </c>
      <c r="G1555">
        <v>0</v>
      </c>
      <c r="H1555">
        <v>0</v>
      </c>
      <c r="I1555">
        <v>0</v>
      </c>
      <c r="J1555">
        <v>0.75684155215990645</v>
      </c>
      <c r="W1555">
        <v>3.1666666666666679</v>
      </c>
      <c r="X1555">
        <v>1</v>
      </c>
      <c r="Y1555">
        <v>0</v>
      </c>
      <c r="Z1555" t="s">
        <v>23</v>
      </c>
    </row>
    <row r="1556" spans="1:26" hidden="1" x14ac:dyDescent="0.2">
      <c r="A1556">
        <v>100</v>
      </c>
      <c r="B1556" t="s">
        <v>35</v>
      </c>
      <c r="C1556" s="10">
        <v>10000073</v>
      </c>
      <c r="D1556" t="b">
        <v>1</v>
      </c>
      <c r="E1556">
        <v>0</v>
      </c>
      <c r="F1556">
        <v>0</v>
      </c>
      <c r="G1556">
        <v>0.33333333333333331</v>
      </c>
      <c r="H1556">
        <v>0</v>
      </c>
      <c r="I1556">
        <v>0.52702682894366848</v>
      </c>
      <c r="J1556">
        <v>0.36419882309785989</v>
      </c>
      <c r="W1556">
        <v>5.40368249273613</v>
      </c>
      <c r="X1556">
        <v>0.36419882309785989</v>
      </c>
      <c r="Y1556">
        <v>0.52702682894366848</v>
      </c>
      <c r="Z1556" t="s">
        <v>24</v>
      </c>
    </row>
    <row r="1557" spans="1:26" hidden="1" x14ac:dyDescent="0.2">
      <c r="A1557">
        <v>100</v>
      </c>
      <c r="B1557" t="s">
        <v>29</v>
      </c>
      <c r="C1557" s="10">
        <v>10000033</v>
      </c>
      <c r="D1557" t="b">
        <v>0</v>
      </c>
      <c r="E1557">
        <v>0</v>
      </c>
      <c r="F1557">
        <v>0.25313741375138171</v>
      </c>
      <c r="G1557">
        <v>0.66186175676061765</v>
      </c>
      <c r="H1557">
        <v>9.5238095238095344E-2</v>
      </c>
      <c r="I1557">
        <v>0.33813824323938241</v>
      </c>
      <c r="J1557">
        <v>9.5238095238095344E-2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4.3014990625275038</v>
      </c>
      <c r="X1557">
        <v>0.66186175676061765</v>
      </c>
      <c r="Y1557">
        <v>0.33813824323938241</v>
      </c>
      <c r="Z1557" t="s">
        <v>23</v>
      </c>
    </row>
    <row r="1558" spans="1:26" hidden="1" x14ac:dyDescent="0.2">
      <c r="A1558">
        <v>100</v>
      </c>
      <c r="B1558" t="s">
        <v>29</v>
      </c>
      <c r="C1558" s="10">
        <v>10000047</v>
      </c>
      <c r="D1558" t="b">
        <v>0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3.1666666666666679</v>
      </c>
      <c r="X1558">
        <v>1</v>
      </c>
      <c r="Y1558">
        <v>0</v>
      </c>
      <c r="Z1558" t="s">
        <v>23</v>
      </c>
    </row>
    <row r="1559" spans="1:26" hidden="1" x14ac:dyDescent="0.2">
      <c r="A1559">
        <v>100</v>
      </c>
      <c r="B1559" t="s">
        <v>29</v>
      </c>
      <c r="C1559" s="10">
        <v>10000073</v>
      </c>
      <c r="D1559" t="b">
        <v>0</v>
      </c>
      <c r="E1559">
        <v>0.46155378574327788</v>
      </c>
      <c r="F1559">
        <v>0</v>
      </c>
      <c r="G1559">
        <v>0.53844621425672212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3.4245268763649541</v>
      </c>
      <c r="X1559">
        <v>0.53844621425672212</v>
      </c>
      <c r="Y1559">
        <v>0</v>
      </c>
      <c r="Z1559" t="s">
        <v>23</v>
      </c>
    </row>
    <row r="1560" spans="1:26" hidden="1" x14ac:dyDescent="0.2">
      <c r="A1560">
        <v>100</v>
      </c>
      <c r="B1560" t="s">
        <v>29</v>
      </c>
      <c r="C1560" s="10">
        <v>10000082</v>
      </c>
      <c r="D1560" t="b">
        <v>1</v>
      </c>
      <c r="F1560">
        <v>0.75028586367694361</v>
      </c>
      <c r="G1560">
        <v>0.24971413632305639</v>
      </c>
      <c r="H1560">
        <v>0</v>
      </c>
      <c r="I1560">
        <v>0</v>
      </c>
      <c r="J1560">
        <v>0</v>
      </c>
      <c r="W1560">
        <v>3.7154123482226238</v>
      </c>
      <c r="X1560">
        <v>1</v>
      </c>
      <c r="Y1560">
        <v>0.24971413632305639</v>
      </c>
      <c r="Z1560" t="s">
        <v>23</v>
      </c>
    </row>
  </sheetData>
  <autoFilter ref="A1:Z1560" xr:uid="{00000000-0001-0000-0000-000000000000}">
    <filterColumn colId="0">
      <filters>
        <filter val="1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64155-FC64-3B4C-8DB9-B9679FBC12BB}">
  <dimension ref="A1:L105"/>
  <sheetViews>
    <sheetView tabSelected="1" workbookViewId="0">
      <selection activeCell="I3" sqref="I3"/>
    </sheetView>
  </sheetViews>
  <sheetFormatPr baseColWidth="10" defaultRowHeight="15" x14ac:dyDescent="0.2"/>
  <cols>
    <col min="1" max="1" width="8" bestFit="1" customWidth="1"/>
    <col min="2" max="6" width="12.1640625" bestFit="1" customWidth="1"/>
  </cols>
  <sheetData>
    <row r="1" spans="1:12" x14ac:dyDescent="0.2">
      <c r="A1" s="2" t="s">
        <v>36</v>
      </c>
      <c r="B1" s="11">
        <v>10000033</v>
      </c>
      <c r="C1" s="2">
        <v>10000047</v>
      </c>
      <c r="D1" s="2">
        <v>10000073</v>
      </c>
      <c r="E1" s="2">
        <v>10000082</v>
      </c>
      <c r="F1" s="2" t="s">
        <v>37</v>
      </c>
      <c r="H1" s="2" t="s">
        <v>36</v>
      </c>
      <c r="I1" s="11">
        <v>10000033</v>
      </c>
      <c r="J1" s="2">
        <v>10000047</v>
      </c>
      <c r="K1" s="2">
        <v>10000073</v>
      </c>
      <c r="L1" s="2">
        <v>10000082</v>
      </c>
    </row>
    <row r="2" spans="1:12" x14ac:dyDescent="0.2">
      <c r="A2" s="3">
        <v>1</v>
      </c>
      <c r="B2" s="4">
        <f>IFERROR(AVERAGEIFS('Raw data'!$W$2:$W$1560,'Raw data'!$A$2:$A$1560,Feuil1!$A2,'Raw data'!$C$2:$C$1560,Feuil1!B$1),"")</f>
        <v>6.3417863214711474</v>
      </c>
      <c r="C2" s="4" t="str">
        <f>IFERROR(AVERAGEIFS('Raw data'!$W$2:$W$1560,'Raw data'!$A$2:$A$1560,Feuil1!$A2,'Raw data'!$C$2:$C$1560,Feuil1!C$1),"")</f>
        <v/>
      </c>
      <c r="D2" s="4">
        <f>IFERROR(AVERAGEIFS('Raw data'!$W$2:$W$1560,'Raw data'!$A$2:$A$1560,Feuil1!$A2,'Raw data'!$C$2:$C$1560,Feuil1!D$1),"")</f>
        <v>5.7531373444310931</v>
      </c>
      <c r="E2" s="4">
        <f>IFERROR(AVERAGEIFS('Raw data'!$W$2:$W$1560,'Raw data'!$A$2:$A$1560,Feuil1!$A2,'Raw data'!$C$2:$C$1560,Feuil1!E$1),"")</f>
        <v>3.5324163768573529</v>
      </c>
      <c r="F2" s="2">
        <f>AVERAGE(B2:E2)</f>
        <v>5.2091133475865306</v>
      </c>
      <c r="H2" s="3" t="s">
        <v>42</v>
      </c>
      <c r="I2" s="4">
        <f>COUNTIFS('Raw data'!$C:$C,Feuil1!I$1,'Raw data'!$Z:$Z,Feuil1!$H2)</f>
        <v>46</v>
      </c>
      <c r="J2" s="4">
        <f>COUNTIFS('Raw data'!$C:$C,Feuil1!J$1,'Raw data'!$Z:$Z,Feuil1!$H2)</f>
        <v>60</v>
      </c>
      <c r="K2" s="4">
        <f>COUNTIFS('Raw data'!$C:$C,Feuil1!K$1,'Raw data'!$Z:$Z,Feuil1!$H2)</f>
        <v>68</v>
      </c>
      <c r="L2" s="4">
        <f>COUNTIFS('Raw data'!$C:$C,Feuil1!L$1,'Raw data'!$Z:$Z,Feuil1!$H2)</f>
        <v>387</v>
      </c>
    </row>
    <row r="3" spans="1:12" x14ac:dyDescent="0.2">
      <c r="A3" s="3">
        <v>2</v>
      </c>
      <c r="B3" s="4">
        <f>IFERROR(AVERAGEIFS('Raw data'!$W$2:$W$1560,'Raw data'!$A$2:$A$1560,Feuil1!$A3,'Raw data'!$C$2:$C$1560,Feuil1!B$1),"")</f>
        <v>5.1637200696916912</v>
      </c>
      <c r="C3" s="4">
        <f>IFERROR(AVERAGEIFS('Raw data'!$W$2:$W$1560,'Raw data'!$A$2:$A$1560,Feuil1!$A3,'Raw data'!$C$2:$C$1560,Feuil1!C$1),"")</f>
        <v>5.1602925862693878</v>
      </c>
      <c r="D3" s="4">
        <f>IFERROR(AVERAGEIFS('Raw data'!$W$2:$W$1560,'Raw data'!$A$2:$A$1560,Feuil1!$A3,'Raw data'!$C$2:$C$1560,Feuil1!D$1),"")</f>
        <v>4.6883005093079966</v>
      </c>
      <c r="E3" s="4">
        <f>IFERROR(AVERAGEIFS('Raw data'!$W$2:$W$1560,'Raw data'!$A$2:$A$1560,Feuil1!$A3,'Raw data'!$C$2:$C$1560,Feuil1!E$1),"")</f>
        <v>4.6938592797891747</v>
      </c>
      <c r="F3" s="2">
        <f t="shared" ref="F3:F66" si="0">AVERAGE(B3:E3)</f>
        <v>4.9265431112645626</v>
      </c>
      <c r="H3" s="3" t="s">
        <v>43</v>
      </c>
      <c r="I3" s="4">
        <f>COUNTIFS('Raw data'!$C:$C,Feuil1!I$1,'Raw data'!$Z:$Z,Feuil1!$H3)</f>
        <v>559</v>
      </c>
      <c r="J3" s="4">
        <f>COUNTIFS('Raw data'!$C:$C,Feuil1!J$1,'Raw data'!$Z:$Z,Feuil1!$H3)</f>
        <v>237</v>
      </c>
      <c r="K3" s="4">
        <f>COUNTIFS('Raw data'!$C:$C,Feuil1!K$1,'Raw data'!$Z:$Z,Feuil1!$H3)</f>
        <v>200</v>
      </c>
      <c r="L3" s="4">
        <f>COUNTIFS('Raw data'!$C:$C,Feuil1!L$1,'Raw data'!$Z:$Z,Feuil1!$H3)</f>
        <v>2</v>
      </c>
    </row>
    <row r="4" spans="1:12" x14ac:dyDescent="0.2">
      <c r="A4" s="3">
        <v>3</v>
      </c>
      <c r="B4" s="4">
        <f>IFERROR(AVERAGEIFS('Raw data'!$W$2:$W$1560,'Raw data'!$A$2:$A$1560,Feuil1!$A4,'Raw data'!$C$2:$C$1560,Feuil1!B$1),"")</f>
        <v>5.1932229558176495</v>
      </c>
      <c r="C4" s="4">
        <f>IFERROR(AVERAGEIFS('Raw data'!$W$2:$W$1560,'Raw data'!$A$2:$A$1560,Feuil1!$A4,'Raw data'!$C$2:$C$1560,Feuil1!C$1),"")</f>
        <v>4.433781830805696</v>
      </c>
      <c r="D4" s="4">
        <f>IFERROR(AVERAGEIFS('Raw data'!$W$2:$W$1560,'Raw data'!$A$2:$A$1560,Feuil1!$A4,'Raw data'!$C$2:$C$1560,Feuil1!D$1),"")</f>
        <v>5.6374520695885275</v>
      </c>
      <c r="E4" s="4">
        <f>IFERROR(AVERAGEIFS('Raw data'!$W$2:$W$1560,'Raw data'!$A$2:$A$1560,Feuil1!$A4,'Raw data'!$C$2:$C$1560,Feuil1!E$1),"")</f>
        <v>3.8321792542704287</v>
      </c>
      <c r="F4" s="2">
        <f t="shared" si="0"/>
        <v>4.7741590276205752</v>
      </c>
      <c r="H4" s="3"/>
      <c r="I4" s="4"/>
      <c r="J4" s="4"/>
      <c r="K4" s="4"/>
      <c r="L4" s="4"/>
    </row>
    <row r="5" spans="1:12" x14ac:dyDescent="0.2">
      <c r="A5" s="3">
        <v>4</v>
      </c>
      <c r="B5" s="4">
        <f>IFERROR(AVERAGEIFS('Raw data'!$W$2:$W$1560,'Raw data'!$A$2:$A$1560,Feuil1!$A5,'Raw data'!$C$2:$C$1560,Feuil1!B$1),"")</f>
        <v>5.8881674256984411</v>
      </c>
      <c r="C5" s="4">
        <f>IFERROR(AVERAGEIFS('Raw data'!$W$2:$W$1560,'Raw data'!$A$2:$A$1560,Feuil1!$A5,'Raw data'!$C$2:$C$1560,Feuil1!C$1),"")</f>
        <v>5.7995065674880015</v>
      </c>
      <c r="D5" s="4">
        <f>IFERROR(AVERAGEIFS('Raw data'!$W$2:$W$1560,'Raw data'!$A$2:$A$1560,Feuil1!$A5,'Raw data'!$C$2:$C$1560,Feuil1!D$1),"")</f>
        <v>5.7167576409391678</v>
      </c>
      <c r="E5" s="4">
        <f>IFERROR(AVERAGEIFS('Raw data'!$W$2:$W$1560,'Raw data'!$A$2:$A$1560,Feuil1!$A5,'Raw data'!$C$2:$C$1560,Feuil1!E$1),"")</f>
        <v>3.751662776299439</v>
      </c>
      <c r="F5" s="2">
        <f t="shared" si="0"/>
        <v>5.2890236026062629</v>
      </c>
    </row>
    <row r="6" spans="1:12" x14ac:dyDescent="0.2">
      <c r="A6" s="3">
        <v>5</v>
      </c>
      <c r="B6" s="4">
        <f>IFERROR(AVERAGEIFS('Raw data'!$W$2:$W$1560,'Raw data'!$A$2:$A$1560,Feuil1!$A6,'Raw data'!$C$2:$C$1560,Feuil1!B$1),"")</f>
        <v>6.4762351293911689</v>
      </c>
      <c r="C6" s="4">
        <f>IFERROR(AVERAGEIFS('Raw data'!$W$2:$W$1560,'Raw data'!$A$2:$A$1560,Feuil1!$A6,'Raw data'!$C$2:$C$1560,Feuil1!C$1),"")</f>
        <v>5.5620401706521339</v>
      </c>
      <c r="D6" s="4">
        <f>IFERROR(AVERAGEIFS('Raw data'!$W$2:$W$1560,'Raw data'!$A$2:$A$1560,Feuil1!$A6,'Raw data'!$C$2:$C$1560,Feuil1!D$1),"")</f>
        <v>4.6776340200801316</v>
      </c>
      <c r="E6" s="4">
        <f>IFERROR(AVERAGEIFS('Raw data'!$W$2:$W$1560,'Raw data'!$A$2:$A$1560,Feuil1!$A6,'Raw data'!$C$2:$C$1560,Feuil1!E$1),"")</f>
        <v>3.8818446325653637</v>
      </c>
      <c r="F6" s="2">
        <f t="shared" si="0"/>
        <v>5.1494384881721995</v>
      </c>
    </row>
    <row r="7" spans="1:12" x14ac:dyDescent="0.2">
      <c r="A7" s="3">
        <v>6</v>
      </c>
      <c r="B7" s="4">
        <f>IFERROR(AVERAGEIFS('Raw data'!$W$2:$W$1560,'Raw data'!$A$2:$A$1560,Feuil1!$A7,'Raw data'!$C$2:$C$1560,Feuil1!B$1),"")</f>
        <v>6.2538246995806359</v>
      </c>
      <c r="C7" s="4">
        <f>IFERROR(AVERAGEIFS('Raw data'!$W$2:$W$1560,'Raw data'!$A$2:$A$1560,Feuil1!$A7,'Raw data'!$C$2:$C$1560,Feuil1!C$1),"")</f>
        <v>6.2183775364119001</v>
      </c>
      <c r="D7" s="4">
        <f>IFERROR(AVERAGEIFS('Raw data'!$W$2:$W$1560,'Raw data'!$A$2:$A$1560,Feuil1!$A7,'Raw data'!$C$2:$C$1560,Feuil1!D$1),"")</f>
        <v>6.2442780497258683</v>
      </c>
      <c r="E7" s="4">
        <f>IFERROR(AVERAGEIFS('Raw data'!$W$2:$W$1560,'Raw data'!$A$2:$A$1560,Feuil1!$A7,'Raw data'!$C$2:$C$1560,Feuil1!E$1),"")</f>
        <v>3.7008822228175675</v>
      </c>
      <c r="F7" s="2">
        <f t="shared" si="0"/>
        <v>5.6043406271339933</v>
      </c>
    </row>
    <row r="8" spans="1:12" x14ac:dyDescent="0.2">
      <c r="A8" s="3">
        <v>7</v>
      </c>
      <c r="B8" s="4">
        <f>IFERROR(AVERAGEIFS('Raw data'!$W$2:$W$1560,'Raw data'!$A$2:$A$1560,Feuil1!$A8,'Raw data'!$C$2:$C$1560,Feuil1!B$1),"")</f>
        <v>6.0919112729872662</v>
      </c>
      <c r="C8" s="4">
        <f>IFERROR(AVERAGEIFS('Raw data'!$W$2:$W$1560,'Raw data'!$A$2:$A$1560,Feuil1!$A8,'Raw data'!$C$2:$C$1560,Feuil1!C$1),"")</f>
        <v>5.7330737654360613</v>
      </c>
      <c r="D8" s="4">
        <f>IFERROR(AVERAGEIFS('Raw data'!$W$2:$W$1560,'Raw data'!$A$2:$A$1560,Feuil1!$A8,'Raw data'!$C$2:$C$1560,Feuil1!D$1),"")</f>
        <v>5.7234831919111446</v>
      </c>
      <c r="E8" s="4">
        <f>IFERROR(AVERAGEIFS('Raw data'!$W$2:$W$1560,'Raw data'!$A$2:$A$1560,Feuil1!$A8,'Raw data'!$C$2:$C$1560,Feuil1!E$1),"")</f>
        <v>4.7200922152976901</v>
      </c>
      <c r="F8" s="2">
        <f t="shared" si="0"/>
        <v>5.5671401114080403</v>
      </c>
    </row>
    <row r="9" spans="1:12" x14ac:dyDescent="0.2">
      <c r="A9" s="3">
        <v>8</v>
      </c>
      <c r="B9" s="4">
        <f>IFERROR(AVERAGEIFS('Raw data'!$W$2:$W$1560,'Raw data'!$A$2:$A$1560,Feuil1!$A9,'Raw data'!$C$2:$C$1560,Feuil1!B$1),"")</f>
        <v>5.5194173951990635</v>
      </c>
      <c r="C9" s="4">
        <f>IFERROR(AVERAGEIFS('Raw data'!$W$2:$W$1560,'Raw data'!$A$2:$A$1560,Feuil1!$A9,'Raw data'!$C$2:$C$1560,Feuil1!C$1),"")</f>
        <v>4.7182291160485708</v>
      </c>
      <c r="D9" s="4">
        <f>IFERROR(AVERAGEIFS('Raw data'!$W$2:$W$1560,'Raw data'!$A$2:$A$1560,Feuil1!$A9,'Raw data'!$C$2:$C$1560,Feuil1!D$1),"")</f>
        <v>5.1832422129777003</v>
      </c>
      <c r="E9" s="4">
        <f>IFERROR(AVERAGEIFS('Raw data'!$W$2:$W$1560,'Raw data'!$A$2:$A$1560,Feuil1!$A9,'Raw data'!$C$2:$C$1560,Feuil1!E$1),"")</f>
        <v>4.9570233645293458</v>
      </c>
      <c r="F9" s="2">
        <f t="shared" si="0"/>
        <v>5.0944780221886701</v>
      </c>
    </row>
    <row r="10" spans="1:12" x14ac:dyDescent="0.2">
      <c r="A10" s="3">
        <v>9</v>
      </c>
      <c r="B10" s="4">
        <f>IFERROR(AVERAGEIFS('Raw data'!$W$2:$W$1560,'Raw data'!$A$2:$A$1560,Feuil1!$A10,'Raw data'!$C$2:$C$1560,Feuil1!B$1),"")</f>
        <v>5.9312037372440995</v>
      </c>
      <c r="C10" s="4">
        <f>IFERROR(AVERAGEIFS('Raw data'!$W$2:$W$1560,'Raw data'!$A$2:$A$1560,Feuil1!$A10,'Raw data'!$C$2:$C$1560,Feuil1!C$1),"")</f>
        <v>6.1054473845856876</v>
      </c>
      <c r="D10" s="4">
        <f>IFERROR(AVERAGEIFS('Raw data'!$W$2:$W$1560,'Raw data'!$A$2:$A$1560,Feuil1!$A10,'Raw data'!$C$2:$C$1560,Feuil1!D$1),"")</f>
        <v>4.3843474046107085</v>
      </c>
      <c r="E10" s="4">
        <f>IFERROR(AVERAGEIFS('Raw data'!$W$2:$W$1560,'Raw data'!$A$2:$A$1560,Feuil1!$A10,'Raw data'!$C$2:$C$1560,Feuil1!E$1),"")</f>
        <v>3.9336804906444982</v>
      </c>
      <c r="F10" s="2">
        <f t="shared" si="0"/>
        <v>5.0886697542712485</v>
      </c>
    </row>
    <row r="11" spans="1:12" x14ac:dyDescent="0.2">
      <c r="A11" s="3">
        <v>10</v>
      </c>
      <c r="B11" s="4">
        <f>IFERROR(AVERAGEIFS('Raw data'!$W$2:$W$1560,'Raw data'!$A$2:$A$1560,Feuil1!$A11,'Raw data'!$C$2:$C$1560,Feuil1!B$1),"")</f>
        <v>5.7696624474610658</v>
      </c>
      <c r="C11" s="4">
        <f>IFERROR(AVERAGEIFS('Raw data'!$W$2:$W$1560,'Raw data'!$A$2:$A$1560,Feuil1!$A11,'Raw data'!$C$2:$C$1560,Feuil1!C$1),"")</f>
        <v>5.1953211393963992</v>
      </c>
      <c r="D11" s="4">
        <f>IFERROR(AVERAGEIFS('Raw data'!$W$2:$W$1560,'Raw data'!$A$2:$A$1560,Feuil1!$A11,'Raw data'!$C$2:$C$1560,Feuil1!D$1),"")</f>
        <v>5.7302159284417398</v>
      </c>
      <c r="E11" s="4">
        <f>IFERROR(AVERAGEIFS('Raw data'!$W$2:$W$1560,'Raw data'!$A$2:$A$1560,Feuil1!$A11,'Raw data'!$C$2:$C$1560,Feuil1!E$1),"")</f>
        <v>3.8322645243622473</v>
      </c>
      <c r="F11" s="2">
        <f t="shared" si="0"/>
        <v>5.1318660099153632</v>
      </c>
    </row>
    <row r="12" spans="1:12" x14ac:dyDescent="0.2">
      <c r="A12" s="3">
        <v>11</v>
      </c>
      <c r="B12" s="4">
        <f>IFERROR(AVERAGEIFS('Raw data'!$W$2:$W$1560,'Raw data'!$A$2:$A$1560,Feuil1!$A12,'Raw data'!$C$2:$C$1560,Feuil1!B$1),"")</f>
        <v>5.9628632557781183</v>
      </c>
      <c r="C12" s="4">
        <f>IFERROR(AVERAGEIFS('Raw data'!$W$2:$W$1560,'Raw data'!$A$2:$A$1560,Feuil1!$A12,'Raw data'!$C$2:$C$1560,Feuil1!C$1),"")</f>
        <v>5.7158813968662923</v>
      </c>
      <c r="D12" s="4">
        <f>IFERROR(AVERAGEIFS('Raw data'!$W$2:$W$1560,'Raw data'!$A$2:$A$1560,Feuil1!$A12,'Raw data'!$C$2:$C$1560,Feuil1!D$1),"")</f>
        <v>5.401876286078223</v>
      </c>
      <c r="E12" s="4">
        <f>IFERROR(AVERAGEIFS('Raw data'!$W$2:$W$1560,'Raw data'!$A$2:$A$1560,Feuil1!$A12,'Raw data'!$C$2:$C$1560,Feuil1!E$1),"")</f>
        <v>4.1366785673137656</v>
      </c>
      <c r="F12" s="2">
        <f t="shared" si="0"/>
        <v>5.3043248765091002</v>
      </c>
    </row>
    <row r="13" spans="1:12" x14ac:dyDescent="0.2">
      <c r="A13" s="3">
        <v>12</v>
      </c>
      <c r="B13" s="4">
        <f>IFERROR(AVERAGEIFS('Raw data'!$W$2:$W$1560,'Raw data'!$A$2:$A$1560,Feuil1!$A13,'Raw data'!$C$2:$C$1560,Feuil1!B$1),"")</f>
        <v>5.1428350043496129</v>
      </c>
      <c r="C13" s="4">
        <f>IFERROR(AVERAGEIFS('Raw data'!$W$2:$W$1560,'Raw data'!$A$2:$A$1560,Feuil1!$A13,'Raw data'!$C$2:$C$1560,Feuil1!C$1),"")</f>
        <v>5.1338676699338466</v>
      </c>
      <c r="D13" s="4">
        <f>IFERROR(AVERAGEIFS('Raw data'!$W$2:$W$1560,'Raw data'!$A$2:$A$1560,Feuil1!$A13,'Raw data'!$C$2:$C$1560,Feuil1!D$1),"")</f>
        <v>4.4467119776700663</v>
      </c>
      <c r="E13" s="4">
        <f>IFERROR(AVERAGEIFS('Raw data'!$W$2:$W$1560,'Raw data'!$A$2:$A$1560,Feuil1!$A13,'Raw data'!$C$2:$C$1560,Feuil1!E$1),"")</f>
        <v>4.8816550982482525</v>
      </c>
      <c r="F13" s="2">
        <f t="shared" si="0"/>
        <v>4.9012674375504446</v>
      </c>
    </row>
    <row r="14" spans="1:12" x14ac:dyDescent="0.2">
      <c r="A14" s="3">
        <v>13</v>
      </c>
      <c r="B14" s="4">
        <f>IFERROR(AVERAGEIFS('Raw data'!$W$2:$W$1560,'Raw data'!$A$2:$A$1560,Feuil1!$A14,'Raw data'!$C$2:$C$1560,Feuil1!B$1),"")</f>
        <v>6.0243387922790657</v>
      </c>
      <c r="C14" s="4">
        <f>IFERROR(AVERAGEIFS('Raw data'!$W$2:$W$1560,'Raw data'!$A$2:$A$1560,Feuil1!$A14,'Raw data'!$C$2:$C$1560,Feuil1!C$1),"")</f>
        <v>6.0071889783050398</v>
      </c>
      <c r="D14" s="4">
        <f>IFERROR(AVERAGEIFS('Raw data'!$W$2:$W$1560,'Raw data'!$A$2:$A$1560,Feuil1!$A14,'Raw data'!$C$2:$C$1560,Feuil1!D$1),"")</f>
        <v>5.6910822258511384</v>
      </c>
      <c r="E14" s="4">
        <f>IFERROR(AVERAGEIFS('Raw data'!$W$2:$W$1560,'Raw data'!$A$2:$A$1560,Feuil1!$A14,'Raw data'!$C$2:$C$1560,Feuil1!E$1),"")</f>
        <v>5.0015841380816246</v>
      </c>
      <c r="F14" s="2">
        <f t="shared" si="0"/>
        <v>5.6810485336292178</v>
      </c>
    </row>
    <row r="15" spans="1:12" x14ac:dyDescent="0.2">
      <c r="A15" s="3">
        <v>14</v>
      </c>
      <c r="B15" s="4">
        <f>IFERROR(AVERAGEIFS('Raw data'!$W$2:$W$1560,'Raw data'!$A$2:$A$1560,Feuil1!$A15,'Raw data'!$C$2:$C$1560,Feuil1!B$1),"")</f>
        <v>6.2374731468876528</v>
      </c>
      <c r="C15" s="4">
        <f>IFERROR(AVERAGEIFS('Raw data'!$W$2:$W$1560,'Raw data'!$A$2:$A$1560,Feuil1!$A15,'Raw data'!$C$2:$C$1560,Feuil1!C$1),"")</f>
        <v>6.3156286384031288</v>
      </c>
      <c r="D15" s="4">
        <f>IFERROR(AVERAGEIFS('Raw data'!$W$2:$W$1560,'Raw data'!$A$2:$A$1560,Feuil1!$A15,'Raw data'!$C$2:$C$1560,Feuil1!D$1),"")</f>
        <v>4.9569122980930906</v>
      </c>
      <c r="E15" s="4">
        <f>IFERROR(AVERAGEIFS('Raw data'!$W$2:$W$1560,'Raw data'!$A$2:$A$1560,Feuil1!$A15,'Raw data'!$C$2:$C$1560,Feuil1!E$1),"")</f>
        <v>4.5963301680071993</v>
      </c>
      <c r="F15" s="2">
        <f t="shared" si="0"/>
        <v>5.5265860628477679</v>
      </c>
    </row>
    <row r="16" spans="1:12" x14ac:dyDescent="0.2">
      <c r="A16" s="3">
        <v>15</v>
      </c>
      <c r="B16" s="4">
        <f>IFERROR(AVERAGEIFS('Raw data'!$W$2:$W$1560,'Raw data'!$A$2:$A$1560,Feuil1!$A16,'Raw data'!$C$2:$C$1560,Feuil1!B$1),"")</f>
        <v>5.1688725162122946</v>
      </c>
      <c r="C16" s="4">
        <f>IFERROR(AVERAGEIFS('Raw data'!$W$2:$W$1560,'Raw data'!$A$2:$A$1560,Feuil1!$A16,'Raw data'!$C$2:$C$1560,Feuil1!C$1),"")</f>
        <v>6.314148617642239</v>
      </c>
      <c r="D16" s="4">
        <f>IFERROR(AVERAGEIFS('Raw data'!$W$2:$W$1560,'Raw data'!$A$2:$A$1560,Feuil1!$A16,'Raw data'!$C$2:$C$1560,Feuil1!D$1),"")</f>
        <v>5.1174787746764103</v>
      </c>
      <c r="E16" s="4">
        <f>IFERROR(AVERAGEIFS('Raw data'!$W$2:$W$1560,'Raw data'!$A$2:$A$1560,Feuil1!$A16,'Raw data'!$C$2:$C$1560,Feuil1!E$1),"")</f>
        <v>3.1666666666666679</v>
      </c>
      <c r="F16" s="2">
        <f t="shared" si="0"/>
        <v>4.9417916437994025</v>
      </c>
    </row>
    <row r="17" spans="1:6" x14ac:dyDescent="0.2">
      <c r="A17" s="3">
        <v>16</v>
      </c>
      <c r="B17" s="4">
        <f>IFERROR(AVERAGEIFS('Raw data'!$W$2:$W$1560,'Raw data'!$A$2:$A$1560,Feuil1!$A17,'Raw data'!$C$2:$C$1560,Feuil1!B$1),"")</f>
        <v>6.1998174816550486</v>
      </c>
      <c r="C17" s="4">
        <f>IFERROR(AVERAGEIFS('Raw data'!$W$2:$W$1560,'Raw data'!$A$2:$A$1560,Feuil1!$A17,'Raw data'!$C$2:$C$1560,Feuil1!C$1),"")</f>
        <v>3.7020597855034918</v>
      </c>
      <c r="D17" s="4" t="str">
        <f>IFERROR(AVERAGEIFS('Raw data'!$W$2:$W$1560,'Raw data'!$A$2:$A$1560,Feuil1!$A17,'Raw data'!$C$2:$C$1560,Feuil1!D$1),"")</f>
        <v/>
      </c>
      <c r="E17" s="4">
        <f>IFERROR(AVERAGEIFS('Raw data'!$W$2:$W$1560,'Raw data'!$A$2:$A$1560,Feuil1!$A17,'Raw data'!$C$2:$C$1560,Feuil1!E$1),"")</f>
        <v>3.6733085181615799</v>
      </c>
      <c r="F17" s="2">
        <f t="shared" si="0"/>
        <v>4.5250619284400395</v>
      </c>
    </row>
    <row r="18" spans="1:6" x14ac:dyDescent="0.2">
      <c r="A18" s="3">
        <v>17</v>
      </c>
      <c r="B18" s="4">
        <f>IFERROR(AVERAGEIFS('Raw data'!$W$2:$W$1560,'Raw data'!$A$2:$A$1560,Feuil1!$A18,'Raw data'!$C$2:$C$1560,Feuil1!B$1),"")</f>
        <v>5.8626615112242977</v>
      </c>
      <c r="C18" s="4">
        <f>IFERROR(AVERAGEIFS('Raw data'!$W$2:$W$1560,'Raw data'!$A$2:$A$1560,Feuil1!$A18,'Raw data'!$C$2:$C$1560,Feuil1!C$1),"")</f>
        <v>5.2727936103380459</v>
      </c>
      <c r="D18" s="4">
        <f>IFERROR(AVERAGEIFS('Raw data'!$W$2:$W$1560,'Raw data'!$A$2:$A$1560,Feuil1!$A18,'Raw data'!$C$2:$C$1560,Feuil1!D$1),"")</f>
        <v>5.9167016144472182</v>
      </c>
      <c r="E18" s="4">
        <f>IFERROR(AVERAGEIFS('Raw data'!$W$2:$W$1560,'Raw data'!$A$2:$A$1560,Feuil1!$A18,'Raw data'!$C$2:$C$1560,Feuil1!E$1),"")</f>
        <v>4.0709275686492452</v>
      </c>
      <c r="F18" s="2">
        <f t="shared" si="0"/>
        <v>5.2807710761647026</v>
      </c>
    </row>
    <row r="19" spans="1:6" x14ac:dyDescent="0.2">
      <c r="A19" s="3">
        <v>18</v>
      </c>
      <c r="B19" s="4">
        <f>IFERROR(AVERAGEIFS('Raw data'!$W$2:$W$1560,'Raw data'!$A$2:$A$1560,Feuil1!$A19,'Raw data'!$C$2:$C$1560,Feuil1!B$1),"")</f>
        <v>5.7287426996746076</v>
      </c>
      <c r="C19" s="4">
        <f>IFERROR(AVERAGEIFS('Raw data'!$W$2:$W$1560,'Raw data'!$A$2:$A$1560,Feuil1!$A19,'Raw data'!$C$2:$C$1560,Feuil1!C$1),"")</f>
        <v>5.3768583843226141</v>
      </c>
      <c r="D19" s="4">
        <f>IFERROR(AVERAGEIFS('Raw data'!$W$2:$W$1560,'Raw data'!$A$2:$A$1560,Feuil1!$A19,'Raw data'!$C$2:$C$1560,Feuil1!D$1),"")</f>
        <v>5.5938560114446192</v>
      </c>
      <c r="E19" s="4">
        <f>IFERROR(AVERAGEIFS('Raw data'!$W$2:$W$1560,'Raw data'!$A$2:$A$1560,Feuil1!$A19,'Raw data'!$C$2:$C$1560,Feuil1!E$1),"")</f>
        <v>3.3170169862170624</v>
      </c>
      <c r="F19" s="2">
        <f t="shared" si="0"/>
        <v>5.0041185204147256</v>
      </c>
    </row>
    <row r="20" spans="1:6" x14ac:dyDescent="0.2">
      <c r="A20" s="3">
        <v>19</v>
      </c>
      <c r="B20" s="4">
        <f>IFERROR(AVERAGEIFS('Raw data'!$W$2:$W$1560,'Raw data'!$A$2:$A$1560,Feuil1!$A20,'Raw data'!$C$2:$C$1560,Feuil1!B$1),"")</f>
        <v>6.1152936131632414</v>
      </c>
      <c r="C20" s="4">
        <f>IFERROR(AVERAGEIFS('Raw data'!$W$2:$W$1560,'Raw data'!$A$2:$A$1560,Feuil1!$A20,'Raw data'!$C$2:$C$1560,Feuil1!C$1),"")</f>
        <v>6.3230701618891851</v>
      </c>
      <c r="D20" s="4" t="str">
        <f>IFERROR(AVERAGEIFS('Raw data'!$W$2:$W$1560,'Raw data'!$A$2:$A$1560,Feuil1!$A20,'Raw data'!$C$2:$C$1560,Feuil1!D$1),"")</f>
        <v/>
      </c>
      <c r="E20" s="4">
        <f>IFERROR(AVERAGEIFS('Raw data'!$W$2:$W$1560,'Raw data'!$A$2:$A$1560,Feuil1!$A20,'Raw data'!$C$2:$C$1560,Feuil1!E$1),"")</f>
        <v>4.3887556166050237</v>
      </c>
      <c r="F20" s="2">
        <f t="shared" si="0"/>
        <v>5.6090397972191504</v>
      </c>
    </row>
    <row r="21" spans="1:6" x14ac:dyDescent="0.2">
      <c r="A21" s="3">
        <v>20</v>
      </c>
      <c r="B21" s="4">
        <f>IFERROR(AVERAGEIFS('Raw data'!$W$2:$W$1560,'Raw data'!$A$2:$A$1560,Feuil1!$A21,'Raw data'!$C$2:$C$1560,Feuil1!B$1),"")</f>
        <v>6.3833583288452642</v>
      </c>
      <c r="C21" s="4">
        <f>IFERROR(AVERAGEIFS('Raw data'!$W$2:$W$1560,'Raw data'!$A$2:$A$1560,Feuil1!$A21,'Raw data'!$C$2:$C$1560,Feuil1!C$1),"")</f>
        <v>3.7753591955734374</v>
      </c>
      <c r="D21" s="4">
        <f>IFERROR(AVERAGEIFS('Raw data'!$W$2:$W$1560,'Raw data'!$A$2:$A$1560,Feuil1!$A21,'Raw data'!$C$2:$C$1560,Feuil1!D$1),"")</f>
        <v>5.8015992031173766</v>
      </c>
      <c r="E21" s="4">
        <f>IFERROR(AVERAGEIFS('Raw data'!$W$2:$W$1560,'Raw data'!$A$2:$A$1560,Feuil1!$A21,'Raw data'!$C$2:$C$1560,Feuil1!E$1),"")</f>
        <v>3.1666666666666679</v>
      </c>
      <c r="F21" s="2">
        <f t="shared" si="0"/>
        <v>4.7817458485506865</v>
      </c>
    </row>
    <row r="22" spans="1:6" x14ac:dyDescent="0.2">
      <c r="A22" s="3">
        <v>21</v>
      </c>
      <c r="B22" s="4">
        <f>IFERROR(AVERAGEIFS('Raw data'!$W$2:$W$1560,'Raw data'!$A$2:$A$1560,Feuil1!$A22,'Raw data'!$C$2:$C$1560,Feuil1!B$1),"")</f>
        <v>5.6594650972594218</v>
      </c>
      <c r="C22" s="4">
        <f>IFERROR(AVERAGEIFS('Raw data'!$W$2:$W$1560,'Raw data'!$A$2:$A$1560,Feuil1!$A22,'Raw data'!$C$2:$C$1560,Feuil1!C$1),"")</f>
        <v>5.3450693110012599</v>
      </c>
      <c r="D22" s="4">
        <f>IFERROR(AVERAGEIFS('Raw data'!$W$2:$W$1560,'Raw data'!$A$2:$A$1560,Feuil1!$A22,'Raw data'!$C$2:$C$1560,Feuil1!D$1),"")</f>
        <v>5.8325320647499446</v>
      </c>
      <c r="E22" s="4">
        <f>IFERROR(AVERAGEIFS('Raw data'!$W$2:$W$1560,'Raw data'!$A$2:$A$1560,Feuil1!$A22,'Raw data'!$C$2:$C$1560,Feuil1!E$1),"")</f>
        <v>4.7470440623387651</v>
      </c>
      <c r="F22" s="2">
        <f t="shared" si="0"/>
        <v>5.3960276338373481</v>
      </c>
    </row>
    <row r="23" spans="1:6" x14ac:dyDescent="0.2">
      <c r="A23" s="3">
        <v>22</v>
      </c>
      <c r="B23" s="4">
        <f>IFERROR(AVERAGEIFS('Raw data'!$W$2:$W$1560,'Raw data'!$A$2:$A$1560,Feuil1!$A23,'Raw data'!$C$2:$C$1560,Feuil1!B$1),"")</f>
        <v>6.4174465186786209</v>
      </c>
      <c r="C23" s="4">
        <f>IFERROR(AVERAGEIFS('Raw data'!$W$2:$W$1560,'Raw data'!$A$2:$A$1560,Feuil1!$A23,'Raw data'!$C$2:$C$1560,Feuil1!C$1),"")</f>
        <v>5.4657390788844786</v>
      </c>
      <c r="D23" s="4">
        <f>IFERROR(AVERAGEIFS('Raw data'!$W$2:$W$1560,'Raw data'!$A$2:$A$1560,Feuil1!$A23,'Raw data'!$C$2:$C$1560,Feuil1!D$1),"")</f>
        <v>4.6330882391769084</v>
      </c>
      <c r="E23" s="4">
        <f>IFERROR(AVERAGEIFS('Raw data'!$W$2:$W$1560,'Raw data'!$A$2:$A$1560,Feuil1!$A23,'Raw data'!$C$2:$C$1560,Feuil1!E$1),"")</f>
        <v>3.5468314770290461</v>
      </c>
      <c r="F23" s="2">
        <f t="shared" si="0"/>
        <v>5.0157763284422625</v>
      </c>
    </row>
    <row r="24" spans="1:6" x14ac:dyDescent="0.2">
      <c r="A24" s="3">
        <v>23</v>
      </c>
      <c r="B24" s="4">
        <f>IFERROR(AVERAGEIFS('Raw data'!$W$2:$W$1560,'Raw data'!$A$2:$A$1560,Feuil1!$A24,'Raw data'!$C$2:$C$1560,Feuil1!B$1),"")</f>
        <v>6.3868596423422019</v>
      </c>
      <c r="C24" s="4" t="str">
        <f>IFERROR(AVERAGEIFS('Raw data'!$W$2:$W$1560,'Raw data'!$A$2:$A$1560,Feuil1!$A24,'Raw data'!$C$2:$C$1560,Feuil1!C$1),"")</f>
        <v/>
      </c>
      <c r="D24" s="4">
        <f>IFERROR(AVERAGEIFS('Raw data'!$W$2:$W$1560,'Raw data'!$A$2:$A$1560,Feuil1!$A24,'Raw data'!$C$2:$C$1560,Feuil1!D$1),"")</f>
        <v>5.904630048394421</v>
      </c>
      <c r="E24" s="4">
        <f>IFERROR(AVERAGEIFS('Raw data'!$W$2:$W$1560,'Raw data'!$A$2:$A$1560,Feuil1!$A24,'Raw data'!$C$2:$C$1560,Feuil1!E$1),"")</f>
        <v>3.1666666666666679</v>
      </c>
      <c r="F24" s="2">
        <f t="shared" si="0"/>
        <v>5.1527187858010963</v>
      </c>
    </row>
    <row r="25" spans="1:6" x14ac:dyDescent="0.2">
      <c r="A25" s="3">
        <v>24</v>
      </c>
      <c r="B25" s="4">
        <f>IFERROR(AVERAGEIFS('Raw data'!$W$2:$W$1560,'Raw data'!$A$2:$A$1560,Feuil1!$A25,'Raw data'!$C$2:$C$1560,Feuil1!B$1),"")</f>
        <v>6.1361844439825024</v>
      </c>
      <c r="C25" s="4">
        <f>IFERROR(AVERAGEIFS('Raw data'!$W$2:$W$1560,'Raw data'!$A$2:$A$1560,Feuil1!$A25,'Raw data'!$C$2:$C$1560,Feuil1!C$1),"")</f>
        <v>6.1670072916026202</v>
      </c>
      <c r="D25" s="4">
        <f>IFERROR(AVERAGEIFS('Raw data'!$W$2:$W$1560,'Raw data'!$A$2:$A$1560,Feuil1!$A25,'Raw data'!$C$2:$C$1560,Feuil1!D$1),"")</f>
        <v>5.5020859885499194</v>
      </c>
      <c r="E25" s="4">
        <f>IFERROR(AVERAGEIFS('Raw data'!$W$2:$W$1560,'Raw data'!$A$2:$A$1560,Feuil1!$A25,'Raw data'!$C$2:$C$1560,Feuil1!E$1),"")</f>
        <v>3.1666666666666679</v>
      </c>
      <c r="F25" s="2">
        <f t="shared" si="0"/>
        <v>5.2429860977004275</v>
      </c>
    </row>
    <row r="26" spans="1:6" x14ac:dyDescent="0.2">
      <c r="A26" s="3">
        <v>25</v>
      </c>
      <c r="B26" s="4">
        <f>IFERROR(AVERAGEIFS('Raw data'!$W$2:$W$1560,'Raw data'!$A$2:$A$1560,Feuil1!$A26,'Raw data'!$C$2:$C$1560,Feuil1!B$1),"")</f>
        <v>5.419874540110138</v>
      </c>
      <c r="C26" s="4">
        <f>IFERROR(AVERAGEIFS('Raw data'!$W$2:$W$1560,'Raw data'!$A$2:$A$1560,Feuil1!$A26,'Raw data'!$C$2:$C$1560,Feuil1!C$1),"")</f>
        <v>5.9276862388219911</v>
      </c>
      <c r="D26" s="4">
        <f>IFERROR(AVERAGEIFS('Raw data'!$W$2:$W$1560,'Raw data'!$A$2:$A$1560,Feuil1!$A26,'Raw data'!$C$2:$C$1560,Feuil1!D$1),"")</f>
        <v>4.5060805393651213</v>
      </c>
      <c r="E26" s="4">
        <f>IFERROR(AVERAGEIFS('Raw data'!$W$2:$W$1560,'Raw data'!$A$2:$A$1560,Feuil1!$A26,'Raw data'!$C$2:$C$1560,Feuil1!E$1),"")</f>
        <v>3.7746208992993355</v>
      </c>
      <c r="F26" s="2">
        <f t="shared" si="0"/>
        <v>4.9070655543991464</v>
      </c>
    </row>
    <row r="27" spans="1:6" x14ac:dyDescent="0.2">
      <c r="A27" s="3">
        <v>26</v>
      </c>
      <c r="B27" s="4">
        <f>IFERROR(AVERAGEIFS('Raw data'!$W$2:$W$1560,'Raw data'!$A$2:$A$1560,Feuil1!$A27,'Raw data'!$C$2:$C$1560,Feuil1!B$1),"")</f>
        <v>6.2777741648946108</v>
      </c>
      <c r="C27" s="4">
        <f>IFERROR(AVERAGEIFS('Raw data'!$W$2:$W$1560,'Raw data'!$A$2:$A$1560,Feuil1!$A27,'Raw data'!$C$2:$C$1560,Feuil1!C$1),"")</f>
        <v>4.8866361990503613</v>
      </c>
      <c r="D27" s="4">
        <f>IFERROR(AVERAGEIFS('Raw data'!$W$2:$W$1560,'Raw data'!$A$2:$A$1560,Feuil1!$A27,'Raw data'!$C$2:$C$1560,Feuil1!D$1),"")</f>
        <v>6.5568949264849312</v>
      </c>
      <c r="E27" s="4">
        <f>IFERROR(AVERAGEIFS('Raw data'!$W$2:$W$1560,'Raw data'!$A$2:$A$1560,Feuil1!$A27,'Raw data'!$C$2:$C$1560,Feuil1!E$1),"")</f>
        <v>4.3528851307953484</v>
      </c>
      <c r="F27" s="2">
        <f t="shared" si="0"/>
        <v>5.5185476053063134</v>
      </c>
    </row>
    <row r="28" spans="1:6" x14ac:dyDescent="0.2">
      <c r="A28" s="3">
        <v>27</v>
      </c>
      <c r="B28" s="4">
        <f>IFERROR(AVERAGEIFS('Raw data'!$W$2:$W$1560,'Raw data'!$A$2:$A$1560,Feuil1!$A28,'Raw data'!$C$2:$C$1560,Feuil1!B$1),"")</f>
        <v>5.4697163172402972</v>
      </c>
      <c r="C28" s="4">
        <f>IFERROR(AVERAGEIFS('Raw data'!$W$2:$W$1560,'Raw data'!$A$2:$A$1560,Feuil1!$A28,'Raw data'!$C$2:$C$1560,Feuil1!C$1),"")</f>
        <v>4.414687856833643</v>
      </c>
      <c r="D28" s="4">
        <f>IFERROR(AVERAGEIFS('Raw data'!$W$2:$W$1560,'Raw data'!$A$2:$A$1560,Feuil1!$A28,'Raw data'!$C$2:$C$1560,Feuil1!D$1),"")</f>
        <v>4.4805220822462388</v>
      </c>
      <c r="E28" s="4">
        <f>IFERROR(AVERAGEIFS('Raw data'!$W$2:$W$1560,'Raw data'!$A$2:$A$1560,Feuil1!$A28,'Raw data'!$C$2:$C$1560,Feuil1!E$1),"")</f>
        <v>4.62653803870049</v>
      </c>
      <c r="F28" s="2">
        <f t="shared" si="0"/>
        <v>4.7478660737551674</v>
      </c>
    </row>
    <row r="29" spans="1:6" x14ac:dyDescent="0.2">
      <c r="A29" s="3">
        <v>28</v>
      </c>
      <c r="B29" s="4">
        <f>IFERROR(AVERAGEIFS('Raw data'!$W$2:$W$1560,'Raw data'!$A$2:$A$1560,Feuil1!$A29,'Raw data'!$C$2:$C$1560,Feuil1!B$1),"")</f>
        <v>6.130320161842203</v>
      </c>
      <c r="C29" s="4" t="str">
        <f>IFERROR(AVERAGEIFS('Raw data'!$W$2:$W$1560,'Raw data'!$A$2:$A$1560,Feuil1!$A29,'Raw data'!$C$2:$C$1560,Feuil1!C$1),"")</f>
        <v/>
      </c>
      <c r="D29" s="4">
        <f>IFERROR(AVERAGEIFS('Raw data'!$W$2:$W$1560,'Raw data'!$A$2:$A$1560,Feuil1!$A29,'Raw data'!$C$2:$C$1560,Feuil1!D$1),"")</f>
        <v>5.5623145245645755</v>
      </c>
      <c r="E29" s="4">
        <f>IFERROR(AVERAGEIFS('Raw data'!$W$2:$W$1560,'Raw data'!$A$2:$A$1560,Feuil1!$A29,'Raw data'!$C$2:$C$1560,Feuil1!E$1),"")</f>
        <v>3.3182699290450763</v>
      </c>
      <c r="F29" s="2">
        <f t="shared" si="0"/>
        <v>5.0036348718172849</v>
      </c>
    </row>
    <row r="30" spans="1:6" x14ac:dyDescent="0.2">
      <c r="A30" s="3">
        <v>29</v>
      </c>
      <c r="B30" s="4">
        <f>IFERROR(AVERAGEIFS('Raw data'!$W$2:$W$1560,'Raw data'!$A$2:$A$1560,Feuil1!$A30,'Raw data'!$C$2:$C$1560,Feuil1!B$1),"")</f>
        <v>6.1693615466997871</v>
      </c>
      <c r="C30" s="4">
        <f>IFERROR(AVERAGEIFS('Raw data'!$W$2:$W$1560,'Raw data'!$A$2:$A$1560,Feuil1!$A30,'Raw data'!$C$2:$C$1560,Feuil1!C$1),"")</f>
        <v>4.1860873673990993</v>
      </c>
      <c r="D30" s="4">
        <f>IFERROR(AVERAGEIFS('Raw data'!$W$2:$W$1560,'Raw data'!$A$2:$A$1560,Feuil1!$A30,'Raw data'!$C$2:$C$1560,Feuil1!D$1),"")</f>
        <v>4.6055176400724429</v>
      </c>
      <c r="E30" s="4">
        <f>IFERROR(AVERAGEIFS('Raw data'!$W$2:$W$1560,'Raw data'!$A$2:$A$1560,Feuil1!$A30,'Raw data'!$C$2:$C$1560,Feuil1!E$1),"")</f>
        <v>4.0011426508000802</v>
      </c>
      <c r="F30" s="2">
        <f t="shared" si="0"/>
        <v>4.7405273012428522</v>
      </c>
    </row>
    <row r="31" spans="1:6" x14ac:dyDescent="0.2">
      <c r="A31" s="3">
        <v>30</v>
      </c>
      <c r="B31" s="4">
        <f>IFERROR(AVERAGEIFS('Raw data'!$W$2:$W$1560,'Raw data'!$A$2:$A$1560,Feuil1!$A31,'Raw data'!$C$2:$C$1560,Feuil1!B$1),"")</f>
        <v>5.3195942937259817</v>
      </c>
      <c r="C31" s="4">
        <f>IFERROR(AVERAGEIFS('Raw data'!$W$2:$W$1560,'Raw data'!$A$2:$A$1560,Feuil1!$A31,'Raw data'!$C$2:$C$1560,Feuil1!C$1),"")</f>
        <v>4.6431992051530679</v>
      </c>
      <c r="D31" s="4">
        <f>IFERROR(AVERAGEIFS('Raw data'!$W$2:$W$1560,'Raw data'!$A$2:$A$1560,Feuil1!$A31,'Raw data'!$C$2:$C$1560,Feuil1!D$1),"")</f>
        <v>4.5510075976327968</v>
      </c>
      <c r="E31" s="4">
        <f>IFERROR(AVERAGEIFS('Raw data'!$W$2:$W$1560,'Raw data'!$A$2:$A$1560,Feuil1!$A31,'Raw data'!$C$2:$C$1560,Feuil1!E$1),"")</f>
        <v>4.1034436696884899</v>
      </c>
      <c r="F31" s="2">
        <f t="shared" si="0"/>
        <v>4.6543111915500841</v>
      </c>
    </row>
    <row r="32" spans="1:6" x14ac:dyDescent="0.2">
      <c r="A32" s="3">
        <v>31</v>
      </c>
      <c r="B32" s="4">
        <f>IFERROR(AVERAGEIFS('Raw data'!$W$2:$W$1560,'Raw data'!$A$2:$A$1560,Feuil1!$A32,'Raw data'!$C$2:$C$1560,Feuil1!B$1),"")</f>
        <v>5.4356844302093581</v>
      </c>
      <c r="C32" s="4">
        <f>IFERROR(AVERAGEIFS('Raw data'!$W$2:$W$1560,'Raw data'!$A$2:$A$1560,Feuil1!$A32,'Raw data'!$C$2:$C$1560,Feuil1!C$1),"")</f>
        <v>5.3952270442428274</v>
      </c>
      <c r="D32" s="4">
        <f>IFERROR(AVERAGEIFS('Raw data'!$W$2:$W$1560,'Raw data'!$A$2:$A$1560,Feuil1!$A32,'Raw data'!$C$2:$C$1560,Feuil1!D$1),"")</f>
        <v>6.0903673601202861</v>
      </c>
      <c r="E32" s="4">
        <f>IFERROR(AVERAGEIFS('Raw data'!$W$2:$W$1560,'Raw data'!$A$2:$A$1560,Feuil1!$A32,'Raw data'!$C$2:$C$1560,Feuil1!E$1),"")</f>
        <v>3.2023008729621969</v>
      </c>
      <c r="F32" s="2">
        <f t="shared" si="0"/>
        <v>5.0308949268836676</v>
      </c>
    </row>
    <row r="33" spans="1:6" x14ac:dyDescent="0.2">
      <c r="A33" s="3">
        <v>32</v>
      </c>
      <c r="B33" s="4">
        <f>IFERROR(AVERAGEIFS('Raw data'!$W$2:$W$1560,'Raw data'!$A$2:$A$1560,Feuil1!$A33,'Raw data'!$C$2:$C$1560,Feuil1!B$1),"")</f>
        <v>5.8135380877694907</v>
      </c>
      <c r="C33" s="4">
        <f>IFERROR(AVERAGEIFS('Raw data'!$W$2:$W$1560,'Raw data'!$A$2:$A$1560,Feuil1!$A33,'Raw data'!$C$2:$C$1560,Feuil1!C$1),"")</f>
        <v>5.3687125246005563</v>
      </c>
      <c r="D33" s="4">
        <f>IFERROR(AVERAGEIFS('Raw data'!$W$2:$W$1560,'Raw data'!$A$2:$A$1560,Feuil1!$A33,'Raw data'!$C$2:$C$1560,Feuil1!D$1),"")</f>
        <v>4.4225142553061332</v>
      </c>
      <c r="E33" s="4">
        <f>IFERROR(AVERAGEIFS('Raw data'!$W$2:$W$1560,'Raw data'!$A$2:$A$1560,Feuil1!$A33,'Raw data'!$C$2:$C$1560,Feuil1!E$1),"")</f>
        <v>4.4982101294661643</v>
      </c>
      <c r="F33" s="2">
        <f t="shared" si="0"/>
        <v>5.0257437492855868</v>
      </c>
    </row>
    <row r="34" spans="1:6" x14ac:dyDescent="0.2">
      <c r="A34" s="3">
        <v>33</v>
      </c>
      <c r="B34" s="4">
        <f>IFERROR(AVERAGEIFS('Raw data'!$W$2:$W$1560,'Raw data'!$A$2:$A$1560,Feuil1!$A34,'Raw data'!$C$2:$C$1560,Feuil1!B$1),"")</f>
        <v>6.1307822947089674</v>
      </c>
      <c r="C34" s="4">
        <f>IFERROR(AVERAGEIFS('Raw data'!$W$2:$W$1560,'Raw data'!$A$2:$A$1560,Feuil1!$A34,'Raw data'!$C$2:$C$1560,Feuil1!C$1),"")</f>
        <v>5.816117962499737</v>
      </c>
      <c r="D34" s="4">
        <f>IFERROR(AVERAGEIFS('Raw data'!$W$2:$W$1560,'Raw data'!$A$2:$A$1560,Feuil1!$A34,'Raw data'!$C$2:$C$1560,Feuil1!D$1),"")</f>
        <v>5.5970186403140234</v>
      </c>
      <c r="E34" s="4">
        <f>IFERROR(AVERAGEIFS('Raw data'!$W$2:$W$1560,'Raw data'!$A$2:$A$1560,Feuil1!$A34,'Raw data'!$C$2:$C$1560,Feuil1!E$1),"")</f>
        <v>5.0025004164584352</v>
      </c>
      <c r="F34" s="2">
        <f t="shared" si="0"/>
        <v>5.6366048284952903</v>
      </c>
    </row>
    <row r="35" spans="1:6" x14ac:dyDescent="0.2">
      <c r="A35" s="3">
        <v>34</v>
      </c>
      <c r="B35" s="4">
        <f>IFERROR(AVERAGEIFS('Raw data'!$W$2:$W$1560,'Raw data'!$A$2:$A$1560,Feuil1!$A35,'Raw data'!$C$2:$C$1560,Feuil1!B$1),"")</f>
        <v>6.139702640441028</v>
      </c>
      <c r="C35" s="4">
        <f>IFERROR(AVERAGEIFS('Raw data'!$W$2:$W$1560,'Raw data'!$A$2:$A$1560,Feuil1!$A35,'Raw data'!$C$2:$C$1560,Feuil1!C$1),"")</f>
        <v>5.750885080108473</v>
      </c>
      <c r="D35" s="4">
        <f>IFERROR(AVERAGEIFS('Raw data'!$W$2:$W$1560,'Raw data'!$A$2:$A$1560,Feuil1!$A35,'Raw data'!$C$2:$C$1560,Feuil1!D$1),"")</f>
        <v>5.3809631725155667</v>
      </c>
      <c r="E35" s="4">
        <f>IFERROR(AVERAGEIFS('Raw data'!$W$2:$W$1560,'Raw data'!$A$2:$A$1560,Feuil1!$A35,'Raw data'!$C$2:$C$1560,Feuil1!E$1),"")</f>
        <v>4.4642479829326138</v>
      </c>
      <c r="F35" s="2">
        <f t="shared" si="0"/>
        <v>5.4339497189994201</v>
      </c>
    </row>
    <row r="36" spans="1:6" x14ac:dyDescent="0.2">
      <c r="A36" s="3">
        <v>35</v>
      </c>
      <c r="B36" s="4">
        <f>IFERROR(AVERAGEIFS('Raw data'!$W$2:$W$1560,'Raw data'!$A$2:$A$1560,Feuil1!$A36,'Raw data'!$C$2:$C$1560,Feuil1!B$1),"")</f>
        <v>6.4935208921208281</v>
      </c>
      <c r="C36" s="4">
        <f>IFERROR(AVERAGEIFS('Raw data'!$W$2:$W$1560,'Raw data'!$A$2:$A$1560,Feuil1!$A36,'Raw data'!$C$2:$C$1560,Feuil1!C$1),"")</f>
        <v>6.3650354332923449</v>
      </c>
      <c r="D36" s="4">
        <f>IFERROR(AVERAGEIFS('Raw data'!$W$2:$W$1560,'Raw data'!$A$2:$A$1560,Feuil1!$A36,'Raw data'!$C$2:$C$1560,Feuil1!D$1),"")</f>
        <v>5.8830987838172746</v>
      </c>
      <c r="E36" s="4">
        <f>IFERROR(AVERAGEIFS('Raw data'!$W$2:$W$1560,'Raw data'!$A$2:$A$1560,Feuil1!$A36,'Raw data'!$C$2:$C$1560,Feuil1!E$1),"")</f>
        <v>4.7747307995938284</v>
      </c>
      <c r="F36" s="2">
        <f t="shared" si="0"/>
        <v>5.879096477206069</v>
      </c>
    </row>
    <row r="37" spans="1:6" x14ac:dyDescent="0.2">
      <c r="A37" s="3">
        <v>36</v>
      </c>
      <c r="B37" s="4">
        <f>IFERROR(AVERAGEIFS('Raw data'!$W$2:$W$1560,'Raw data'!$A$2:$A$1560,Feuil1!$A37,'Raw data'!$C$2:$C$1560,Feuil1!B$1),"")</f>
        <v>5.7070420206326231</v>
      </c>
      <c r="C37" s="4">
        <f>IFERROR(AVERAGEIFS('Raw data'!$W$2:$W$1560,'Raw data'!$A$2:$A$1560,Feuil1!$A37,'Raw data'!$C$2:$C$1560,Feuil1!C$1),"")</f>
        <v>5.903618042230443</v>
      </c>
      <c r="D37" s="4">
        <f>IFERROR(AVERAGEIFS('Raw data'!$W$2:$W$1560,'Raw data'!$A$2:$A$1560,Feuil1!$A37,'Raw data'!$C$2:$C$1560,Feuil1!D$1),"")</f>
        <v>5.1261774261847428</v>
      </c>
      <c r="E37" s="4">
        <f>IFERROR(AVERAGEIFS('Raw data'!$W$2:$W$1560,'Raw data'!$A$2:$A$1560,Feuil1!$A37,'Raw data'!$C$2:$C$1560,Feuil1!E$1),"")</f>
        <v>3.4296294519087249</v>
      </c>
      <c r="F37" s="2">
        <f t="shared" si="0"/>
        <v>5.041616735239133</v>
      </c>
    </row>
    <row r="38" spans="1:6" x14ac:dyDescent="0.2">
      <c r="A38" s="3">
        <v>37</v>
      </c>
      <c r="B38" s="4">
        <f>IFERROR(AVERAGEIFS('Raw data'!$W$2:$W$1560,'Raw data'!$A$2:$A$1560,Feuil1!$A38,'Raw data'!$C$2:$C$1560,Feuil1!B$1),"")</f>
        <v>6.3045927852085013</v>
      </c>
      <c r="C38" s="4">
        <f>IFERROR(AVERAGEIFS('Raw data'!$W$2:$W$1560,'Raw data'!$A$2:$A$1560,Feuil1!$A38,'Raw data'!$C$2:$C$1560,Feuil1!C$1),"")</f>
        <v>6.2172321675637008</v>
      </c>
      <c r="D38" s="4" t="str">
        <f>IFERROR(AVERAGEIFS('Raw data'!$W$2:$W$1560,'Raw data'!$A$2:$A$1560,Feuil1!$A38,'Raw data'!$C$2:$C$1560,Feuil1!D$1),"")</f>
        <v/>
      </c>
      <c r="E38" s="4">
        <f>IFERROR(AVERAGEIFS('Raw data'!$W$2:$W$1560,'Raw data'!$A$2:$A$1560,Feuil1!$A38,'Raw data'!$C$2:$C$1560,Feuil1!E$1),"")</f>
        <v>3.4498784764251793</v>
      </c>
      <c r="F38" s="2">
        <f t="shared" si="0"/>
        <v>5.3239011430657941</v>
      </c>
    </row>
    <row r="39" spans="1:6" x14ac:dyDescent="0.2">
      <c r="A39" s="3">
        <v>38</v>
      </c>
      <c r="B39" s="4">
        <f>IFERROR(AVERAGEIFS('Raw data'!$W$2:$W$1560,'Raw data'!$A$2:$A$1560,Feuil1!$A39,'Raw data'!$C$2:$C$1560,Feuil1!B$1),"")</f>
        <v>5.8427987879764487</v>
      </c>
      <c r="C39" s="4">
        <f>IFERROR(AVERAGEIFS('Raw data'!$W$2:$W$1560,'Raw data'!$A$2:$A$1560,Feuil1!$A39,'Raw data'!$C$2:$C$1560,Feuil1!C$1),"")</f>
        <v>6.0765668550753169</v>
      </c>
      <c r="D39" s="4">
        <f>IFERROR(AVERAGEIFS('Raw data'!$W$2:$W$1560,'Raw data'!$A$2:$A$1560,Feuil1!$A39,'Raw data'!$C$2:$C$1560,Feuil1!D$1),"")</f>
        <v>4.4790431009098439</v>
      </c>
      <c r="E39" s="4">
        <f>IFERROR(AVERAGEIFS('Raw data'!$W$2:$W$1560,'Raw data'!$A$2:$A$1560,Feuil1!$A39,'Raw data'!$C$2:$C$1560,Feuil1!E$1),"")</f>
        <v>4.1360689524280279</v>
      </c>
      <c r="F39" s="2">
        <f t="shared" si="0"/>
        <v>5.1336194240974091</v>
      </c>
    </row>
    <row r="40" spans="1:6" x14ac:dyDescent="0.2">
      <c r="A40" s="3">
        <v>39</v>
      </c>
      <c r="B40" s="4">
        <f>IFERROR(AVERAGEIFS('Raw data'!$W$2:$W$1560,'Raw data'!$A$2:$A$1560,Feuil1!$A40,'Raw data'!$C$2:$C$1560,Feuil1!B$1),"")</f>
        <v>6.1871475727814103</v>
      </c>
      <c r="C40" s="4">
        <f>IFERROR(AVERAGEIFS('Raw data'!$W$2:$W$1560,'Raw data'!$A$2:$A$1560,Feuil1!$A40,'Raw data'!$C$2:$C$1560,Feuil1!C$1),"")</f>
        <v>5.8507725900371623</v>
      </c>
      <c r="D40" s="4" t="str">
        <f>IFERROR(AVERAGEIFS('Raw data'!$W$2:$W$1560,'Raw data'!$A$2:$A$1560,Feuil1!$A40,'Raw data'!$C$2:$C$1560,Feuil1!D$1),"")</f>
        <v/>
      </c>
      <c r="E40" s="4">
        <f>IFERROR(AVERAGEIFS('Raw data'!$W$2:$W$1560,'Raw data'!$A$2:$A$1560,Feuil1!$A40,'Raw data'!$C$2:$C$1560,Feuil1!E$1),"")</f>
        <v>4.9693732678846692</v>
      </c>
      <c r="F40" s="2">
        <f t="shared" si="0"/>
        <v>5.6690978102344145</v>
      </c>
    </row>
    <row r="41" spans="1:6" x14ac:dyDescent="0.2">
      <c r="A41" s="3">
        <v>40</v>
      </c>
      <c r="B41" s="4">
        <f>IFERROR(AVERAGEIFS('Raw data'!$W$2:$W$1560,'Raw data'!$A$2:$A$1560,Feuil1!$A41,'Raw data'!$C$2:$C$1560,Feuil1!B$1),"")</f>
        <v>6.0402968807074355</v>
      </c>
      <c r="C41" s="4">
        <f>IFERROR(AVERAGEIFS('Raw data'!$W$2:$W$1560,'Raw data'!$A$2:$A$1560,Feuil1!$A41,'Raw data'!$C$2:$C$1560,Feuil1!C$1),"")</f>
        <v>6.2716685450932035</v>
      </c>
      <c r="D41" s="4">
        <f>IFERROR(AVERAGEIFS('Raw data'!$W$2:$W$1560,'Raw data'!$A$2:$A$1560,Feuil1!$A41,'Raw data'!$C$2:$C$1560,Feuil1!D$1),"")</f>
        <v>5.8623218825238448</v>
      </c>
      <c r="E41" s="4">
        <f>IFERROR(AVERAGEIFS('Raw data'!$W$2:$W$1560,'Raw data'!$A$2:$A$1560,Feuil1!$A41,'Raw data'!$C$2:$C$1560,Feuil1!E$1),"")</f>
        <v>3.1666666666666679</v>
      </c>
      <c r="F41" s="2">
        <f t="shared" si="0"/>
        <v>5.3352384937477879</v>
      </c>
    </row>
    <row r="42" spans="1:6" x14ac:dyDescent="0.2">
      <c r="A42" s="3">
        <v>41</v>
      </c>
      <c r="B42" s="4">
        <f>IFERROR(AVERAGEIFS('Raw data'!$W$2:$W$1560,'Raw data'!$A$2:$A$1560,Feuil1!$A42,'Raw data'!$C$2:$C$1560,Feuil1!B$1),"")</f>
        <v>5.411556295426057</v>
      </c>
      <c r="C42" s="4">
        <f>IFERROR(AVERAGEIFS('Raw data'!$W$2:$W$1560,'Raw data'!$A$2:$A$1560,Feuil1!$A42,'Raw data'!$C$2:$C$1560,Feuil1!C$1),"")</f>
        <v>6.3056778203698798</v>
      </c>
      <c r="D42" s="4">
        <f>IFERROR(AVERAGEIFS('Raw data'!$W$2:$W$1560,'Raw data'!$A$2:$A$1560,Feuil1!$A42,'Raw data'!$C$2:$C$1560,Feuil1!D$1),"")</f>
        <v>5.5936876650631753</v>
      </c>
      <c r="E42" s="4">
        <f>IFERROR(AVERAGEIFS('Raw data'!$W$2:$W$1560,'Raw data'!$A$2:$A$1560,Feuil1!$A42,'Raw data'!$C$2:$C$1560,Feuil1!E$1),"")</f>
        <v>3.5116654217721788</v>
      </c>
      <c r="F42" s="2">
        <f t="shared" si="0"/>
        <v>5.2056468006578225</v>
      </c>
    </row>
    <row r="43" spans="1:6" x14ac:dyDescent="0.2">
      <c r="A43" s="3">
        <v>42</v>
      </c>
      <c r="B43" s="4">
        <f>IFERROR(AVERAGEIFS('Raw data'!$W$2:$W$1560,'Raw data'!$A$2:$A$1560,Feuil1!$A43,'Raw data'!$C$2:$C$1560,Feuil1!B$1),"")</f>
        <v>5.923541657813769</v>
      </c>
      <c r="C43" s="4">
        <f>IFERROR(AVERAGEIFS('Raw data'!$W$2:$W$1560,'Raw data'!$A$2:$A$1560,Feuil1!$A43,'Raw data'!$C$2:$C$1560,Feuil1!C$1),"")</f>
        <v>5.526184423992369</v>
      </c>
      <c r="D43" s="4">
        <f>IFERROR(AVERAGEIFS('Raw data'!$W$2:$W$1560,'Raw data'!$A$2:$A$1560,Feuil1!$A43,'Raw data'!$C$2:$C$1560,Feuil1!D$1),"")</f>
        <v>4.589855770567052</v>
      </c>
      <c r="E43" s="4">
        <f>IFERROR(AVERAGEIFS('Raw data'!$W$2:$W$1560,'Raw data'!$A$2:$A$1560,Feuil1!$A43,'Raw data'!$C$2:$C$1560,Feuil1!E$1),"")</f>
        <v>4.5465199167275436</v>
      </c>
      <c r="F43" s="2">
        <f t="shared" si="0"/>
        <v>5.1465254422751832</v>
      </c>
    </row>
    <row r="44" spans="1:6" x14ac:dyDescent="0.2">
      <c r="A44" s="3">
        <v>43</v>
      </c>
      <c r="B44" s="4">
        <f>IFERROR(AVERAGEIFS('Raw data'!$W$2:$W$1560,'Raw data'!$A$2:$A$1560,Feuil1!$A44,'Raw data'!$C$2:$C$1560,Feuil1!B$1),"")</f>
        <v>6.3109313927959407</v>
      </c>
      <c r="C44" s="4">
        <f>IFERROR(AVERAGEIFS('Raw data'!$W$2:$W$1560,'Raw data'!$A$2:$A$1560,Feuil1!$A44,'Raw data'!$C$2:$C$1560,Feuil1!C$1),"")</f>
        <v>6.0369046761906073</v>
      </c>
      <c r="D44" s="4">
        <f>IFERROR(AVERAGEIFS('Raw data'!$W$2:$W$1560,'Raw data'!$A$2:$A$1560,Feuil1!$A44,'Raw data'!$C$2:$C$1560,Feuil1!D$1),"")</f>
        <v>6.5975955026445234</v>
      </c>
      <c r="E44" s="4">
        <f>IFERROR(AVERAGEIFS('Raw data'!$W$2:$W$1560,'Raw data'!$A$2:$A$1560,Feuil1!$A44,'Raw data'!$C$2:$C$1560,Feuil1!E$1),"")</f>
        <v>4.4998850556847945</v>
      </c>
      <c r="F44" s="2">
        <f t="shared" si="0"/>
        <v>5.8613291568289672</v>
      </c>
    </row>
    <row r="45" spans="1:6" x14ac:dyDescent="0.2">
      <c r="A45" s="3">
        <v>44</v>
      </c>
      <c r="B45" s="4">
        <f>IFERROR(AVERAGEIFS('Raw data'!$W$2:$W$1560,'Raw data'!$A$2:$A$1560,Feuil1!$A45,'Raw data'!$C$2:$C$1560,Feuil1!B$1),"")</f>
        <v>6.0810274114359748</v>
      </c>
      <c r="C45" s="4">
        <f>IFERROR(AVERAGEIFS('Raw data'!$W$2:$W$1560,'Raw data'!$A$2:$A$1560,Feuil1!$A45,'Raw data'!$C$2:$C$1560,Feuil1!C$1),"")</f>
        <v>5.4381870456005457</v>
      </c>
      <c r="D45" s="4">
        <f>IFERROR(AVERAGEIFS('Raw data'!$W$2:$W$1560,'Raw data'!$A$2:$A$1560,Feuil1!$A45,'Raw data'!$C$2:$C$1560,Feuil1!D$1),"")</f>
        <v>5.4181436024796721</v>
      </c>
      <c r="E45" s="4">
        <f>IFERROR(AVERAGEIFS('Raw data'!$W$2:$W$1560,'Raw data'!$A$2:$A$1560,Feuil1!$A45,'Raw data'!$C$2:$C$1560,Feuil1!E$1),"")</f>
        <v>4.550307087679081</v>
      </c>
      <c r="F45" s="2">
        <f t="shared" si="0"/>
        <v>5.3719162867988182</v>
      </c>
    </row>
    <row r="46" spans="1:6" x14ac:dyDescent="0.2">
      <c r="A46" s="3">
        <v>45</v>
      </c>
      <c r="B46" s="4">
        <f>IFERROR(AVERAGEIFS('Raw data'!$W$2:$W$1560,'Raw data'!$A$2:$A$1560,Feuil1!$A46,'Raw data'!$C$2:$C$1560,Feuil1!B$1),"")</f>
        <v>6.0479965526444985</v>
      </c>
      <c r="C46" s="4">
        <f>IFERROR(AVERAGEIFS('Raw data'!$W$2:$W$1560,'Raw data'!$A$2:$A$1560,Feuil1!$A46,'Raw data'!$C$2:$C$1560,Feuil1!C$1),"")</f>
        <v>5.8209915534790992</v>
      </c>
      <c r="D46" s="4" t="str">
        <f>IFERROR(AVERAGEIFS('Raw data'!$W$2:$W$1560,'Raw data'!$A$2:$A$1560,Feuil1!$A46,'Raw data'!$C$2:$C$1560,Feuil1!D$1),"")</f>
        <v/>
      </c>
      <c r="E46" s="4">
        <f>IFERROR(AVERAGEIFS('Raw data'!$W$2:$W$1560,'Raw data'!$A$2:$A$1560,Feuil1!$A46,'Raw data'!$C$2:$C$1560,Feuil1!E$1),"")</f>
        <v>4.6772619966593352</v>
      </c>
      <c r="F46" s="2">
        <f t="shared" si="0"/>
        <v>5.5154167009276449</v>
      </c>
    </row>
    <row r="47" spans="1:6" x14ac:dyDescent="0.2">
      <c r="A47" s="3">
        <v>46</v>
      </c>
      <c r="B47" s="4">
        <f>IFERROR(AVERAGEIFS('Raw data'!$W$2:$W$1560,'Raw data'!$A$2:$A$1560,Feuil1!$A47,'Raw data'!$C$2:$C$1560,Feuil1!B$1),"")</f>
        <v>5.4593754920168891</v>
      </c>
      <c r="C47" s="4">
        <f>IFERROR(AVERAGEIFS('Raw data'!$W$2:$W$1560,'Raw data'!$A$2:$A$1560,Feuil1!$A47,'Raw data'!$C$2:$C$1560,Feuil1!C$1),"")</f>
        <v>5.9783390513342871</v>
      </c>
      <c r="D47" s="4">
        <f>IFERROR(AVERAGEIFS('Raw data'!$W$2:$W$1560,'Raw data'!$A$2:$A$1560,Feuil1!$A47,'Raw data'!$C$2:$C$1560,Feuil1!D$1),"")</f>
        <v>4.1934478168663931</v>
      </c>
      <c r="E47" s="4">
        <f>IFERROR(AVERAGEIFS('Raw data'!$W$2:$W$1560,'Raw data'!$A$2:$A$1560,Feuil1!$A47,'Raw data'!$C$2:$C$1560,Feuil1!E$1),"")</f>
        <v>4.6592308007457239</v>
      </c>
      <c r="F47" s="2">
        <f t="shared" si="0"/>
        <v>5.0725982902408235</v>
      </c>
    </row>
    <row r="48" spans="1:6" x14ac:dyDescent="0.2">
      <c r="A48" s="3">
        <v>47</v>
      </c>
      <c r="B48" s="4">
        <f>IFERROR(AVERAGEIFS('Raw data'!$W$2:$W$1560,'Raw data'!$A$2:$A$1560,Feuil1!$A48,'Raw data'!$C$2:$C$1560,Feuil1!B$1),"")</f>
        <v>6.2118372005106073</v>
      </c>
      <c r="C48" s="4">
        <f>IFERROR(AVERAGEIFS('Raw data'!$W$2:$W$1560,'Raw data'!$A$2:$A$1560,Feuil1!$A48,'Raw data'!$C$2:$C$1560,Feuil1!C$1),"")</f>
        <v>5.4072245393363314</v>
      </c>
      <c r="D48" s="4">
        <f>IFERROR(AVERAGEIFS('Raw data'!$W$2:$W$1560,'Raw data'!$A$2:$A$1560,Feuil1!$A48,'Raw data'!$C$2:$C$1560,Feuil1!D$1),"")</f>
        <v>5.7047081149296632</v>
      </c>
      <c r="E48" s="4">
        <f>IFERROR(AVERAGEIFS('Raw data'!$W$2:$W$1560,'Raw data'!$A$2:$A$1560,Feuil1!$A48,'Raw data'!$C$2:$C$1560,Feuil1!E$1),"")</f>
        <v>5.0025004164584352</v>
      </c>
      <c r="F48" s="2">
        <f t="shared" si="0"/>
        <v>5.5815675678087588</v>
      </c>
    </row>
    <row r="49" spans="1:6" x14ac:dyDescent="0.2">
      <c r="A49" s="3">
        <v>48</v>
      </c>
      <c r="B49" s="4">
        <f>IFERROR(AVERAGEIFS('Raw data'!$W$2:$W$1560,'Raw data'!$A$2:$A$1560,Feuil1!$A49,'Raw data'!$C$2:$C$1560,Feuil1!B$1),"")</f>
        <v>6.0337844856070468</v>
      </c>
      <c r="C49" s="4" t="str">
        <f>IFERROR(AVERAGEIFS('Raw data'!$W$2:$W$1560,'Raw data'!$A$2:$A$1560,Feuil1!$A49,'Raw data'!$C$2:$C$1560,Feuil1!C$1),"")</f>
        <v/>
      </c>
      <c r="D49" s="4">
        <f>IFERROR(AVERAGEIFS('Raw data'!$W$2:$W$1560,'Raw data'!$A$2:$A$1560,Feuil1!$A49,'Raw data'!$C$2:$C$1560,Feuil1!D$1),"")</f>
        <v>5.2447254146856084</v>
      </c>
      <c r="E49" s="4">
        <f>IFERROR(AVERAGEIFS('Raw data'!$W$2:$W$1560,'Raw data'!$A$2:$A$1560,Feuil1!$A49,'Raw data'!$C$2:$C$1560,Feuil1!E$1),"")</f>
        <v>3.1666666666666679</v>
      </c>
      <c r="F49" s="2">
        <f t="shared" si="0"/>
        <v>4.8150588556531071</v>
      </c>
    </row>
    <row r="50" spans="1:6" x14ac:dyDescent="0.2">
      <c r="A50" s="3">
        <v>49</v>
      </c>
      <c r="B50" s="4">
        <f>IFERROR(AVERAGEIFS('Raw data'!$W$2:$W$1560,'Raw data'!$A$2:$A$1560,Feuil1!$A50,'Raw data'!$C$2:$C$1560,Feuil1!B$1),"")</f>
        <v>5.3484447340912054</v>
      </c>
      <c r="C50" s="4">
        <f>IFERROR(AVERAGEIFS('Raw data'!$W$2:$W$1560,'Raw data'!$A$2:$A$1560,Feuil1!$A50,'Raw data'!$C$2:$C$1560,Feuil1!C$1),"")</f>
        <v>4.1691090157756525</v>
      </c>
      <c r="D50" s="4">
        <f>IFERROR(AVERAGEIFS('Raw data'!$W$2:$W$1560,'Raw data'!$A$2:$A$1560,Feuil1!$A50,'Raw data'!$C$2:$C$1560,Feuil1!D$1),"")</f>
        <v>4.3281838463064064</v>
      </c>
      <c r="E50" s="4">
        <f>IFERROR(AVERAGEIFS('Raw data'!$W$2:$W$1560,'Raw data'!$A$2:$A$1560,Feuil1!$A50,'Raw data'!$C$2:$C$1560,Feuil1!E$1),"")</f>
        <v>4.806764785485572</v>
      </c>
      <c r="F50" s="2">
        <f t="shared" si="0"/>
        <v>4.6631255954147095</v>
      </c>
    </row>
    <row r="51" spans="1:6" x14ac:dyDescent="0.2">
      <c r="A51" s="3">
        <v>50</v>
      </c>
      <c r="B51" s="4">
        <f>IFERROR(AVERAGEIFS('Raw data'!$W$2:$W$1560,'Raw data'!$A$2:$A$1560,Feuil1!$A51,'Raw data'!$C$2:$C$1560,Feuil1!B$1),"")</f>
        <v>6.3255818335514276</v>
      </c>
      <c r="C51" s="4">
        <f>IFERROR(AVERAGEIFS('Raw data'!$W$2:$W$1560,'Raw data'!$A$2:$A$1560,Feuil1!$A51,'Raw data'!$C$2:$C$1560,Feuil1!C$1),"")</f>
        <v>6.1356611872081821</v>
      </c>
      <c r="D51" s="4">
        <f>IFERROR(AVERAGEIFS('Raw data'!$W$2:$W$1560,'Raw data'!$A$2:$A$1560,Feuil1!$A51,'Raw data'!$C$2:$C$1560,Feuil1!D$1),"")</f>
        <v>4.6561845361683538</v>
      </c>
      <c r="E51" s="4">
        <f>IFERROR(AVERAGEIFS('Raw data'!$W$2:$W$1560,'Raw data'!$A$2:$A$1560,Feuil1!$A51,'Raw data'!$C$2:$C$1560,Feuil1!E$1),"")</f>
        <v>4.08380730854722</v>
      </c>
      <c r="F51" s="2">
        <f t="shared" si="0"/>
        <v>5.3003087163687965</v>
      </c>
    </row>
    <row r="52" spans="1:6" x14ac:dyDescent="0.2">
      <c r="A52" s="3">
        <v>51</v>
      </c>
      <c r="B52" s="4">
        <f>IFERROR(AVERAGEIFS('Raw data'!$W$2:$W$1560,'Raw data'!$A$2:$A$1560,Feuil1!$A52,'Raw data'!$C$2:$C$1560,Feuil1!B$1),"")</f>
        <v>5.8563334724540175</v>
      </c>
      <c r="C52" s="4">
        <f>IFERROR(AVERAGEIFS('Raw data'!$W$2:$W$1560,'Raw data'!$A$2:$A$1560,Feuil1!$A52,'Raw data'!$C$2:$C$1560,Feuil1!C$1),"")</f>
        <v>5.8063448585660487</v>
      </c>
      <c r="D52" s="4">
        <f>IFERROR(AVERAGEIFS('Raw data'!$W$2:$W$1560,'Raw data'!$A$2:$A$1560,Feuil1!$A52,'Raw data'!$C$2:$C$1560,Feuil1!D$1),"")</f>
        <v>5.2804296829604471</v>
      </c>
      <c r="E52" s="4">
        <f>IFERROR(AVERAGEIFS('Raw data'!$W$2:$W$1560,'Raw data'!$A$2:$A$1560,Feuil1!$A52,'Raw data'!$C$2:$C$1560,Feuil1!E$1),"")</f>
        <v>3.1666666666666679</v>
      </c>
      <c r="F52" s="2">
        <f t="shared" si="0"/>
        <v>5.0274436701617953</v>
      </c>
    </row>
    <row r="53" spans="1:6" x14ac:dyDescent="0.2">
      <c r="A53" s="3">
        <v>52</v>
      </c>
      <c r="B53" s="4">
        <f>IFERROR(AVERAGEIFS('Raw data'!$W$2:$W$1560,'Raw data'!$A$2:$A$1560,Feuil1!$A53,'Raw data'!$C$2:$C$1560,Feuil1!B$1),"")</f>
        <v>6.3256275715478756</v>
      </c>
      <c r="C53" s="4">
        <f>IFERROR(AVERAGEIFS('Raw data'!$W$2:$W$1560,'Raw data'!$A$2:$A$1560,Feuil1!$A53,'Raw data'!$C$2:$C$1560,Feuil1!C$1),"")</f>
        <v>5.5340472603350861</v>
      </c>
      <c r="D53" s="4">
        <f>IFERROR(AVERAGEIFS('Raw data'!$W$2:$W$1560,'Raw data'!$A$2:$A$1560,Feuil1!$A53,'Raw data'!$C$2:$C$1560,Feuil1!D$1),"")</f>
        <v>5.8795171251100147</v>
      </c>
      <c r="E53" s="4">
        <f>IFERROR(AVERAGEIFS('Raw data'!$W$2:$W$1560,'Raw data'!$A$2:$A$1560,Feuil1!$A53,'Raw data'!$C$2:$C$1560,Feuil1!E$1),"")</f>
        <v>3.1666666666666679</v>
      </c>
      <c r="F53" s="2">
        <f t="shared" si="0"/>
        <v>5.2264646559149108</v>
      </c>
    </row>
    <row r="54" spans="1:6" x14ac:dyDescent="0.2">
      <c r="A54" s="3">
        <v>53</v>
      </c>
      <c r="B54" s="4">
        <f>IFERROR(AVERAGEIFS('Raw data'!$W$2:$W$1560,'Raw data'!$A$2:$A$1560,Feuil1!$A54,'Raw data'!$C$2:$C$1560,Feuil1!B$1),"")</f>
        <v>5.4124060144149491</v>
      </c>
      <c r="C54" s="4">
        <f>IFERROR(AVERAGEIFS('Raw data'!$W$2:$W$1560,'Raw data'!$A$2:$A$1560,Feuil1!$A54,'Raw data'!$C$2:$C$1560,Feuil1!C$1),"")</f>
        <v>4.2346905067038429</v>
      </c>
      <c r="D54" s="4">
        <f>IFERROR(AVERAGEIFS('Raw data'!$W$2:$W$1560,'Raw data'!$A$2:$A$1560,Feuil1!$A54,'Raw data'!$C$2:$C$1560,Feuil1!D$1),"")</f>
        <v>4.8399987355384839</v>
      </c>
      <c r="E54" s="4">
        <f>IFERROR(AVERAGEIFS('Raw data'!$W$2:$W$1560,'Raw data'!$A$2:$A$1560,Feuil1!$A54,'Raw data'!$C$2:$C$1560,Feuil1!E$1),"")</f>
        <v>4.7697230983339933</v>
      </c>
      <c r="F54" s="2">
        <f t="shared" si="0"/>
        <v>4.8142045887478178</v>
      </c>
    </row>
    <row r="55" spans="1:6" x14ac:dyDescent="0.2">
      <c r="A55" s="3">
        <v>54</v>
      </c>
      <c r="B55" s="4">
        <f>IFERROR(AVERAGEIFS('Raw data'!$W$2:$W$1560,'Raw data'!$A$2:$A$1560,Feuil1!$A55,'Raw data'!$C$2:$C$1560,Feuil1!B$1),"")</f>
        <v>6.3904235911947449</v>
      </c>
      <c r="C55" s="4">
        <f>IFERROR(AVERAGEIFS('Raw data'!$W$2:$W$1560,'Raw data'!$A$2:$A$1560,Feuil1!$A55,'Raw data'!$C$2:$C$1560,Feuil1!C$1),"")</f>
        <v>5.6167874826371236</v>
      </c>
      <c r="D55" s="4">
        <f>IFERROR(AVERAGEIFS('Raw data'!$W$2:$W$1560,'Raw data'!$A$2:$A$1560,Feuil1!$A55,'Raw data'!$C$2:$C$1560,Feuil1!D$1),"")</f>
        <v>4.7854752519694834</v>
      </c>
      <c r="E55" s="4" t="str">
        <f>IFERROR(AVERAGEIFS('Raw data'!$W$2:$W$1560,'Raw data'!$A$2:$A$1560,Feuil1!$A55,'Raw data'!$C$2:$C$1560,Feuil1!E$1),"")</f>
        <v/>
      </c>
      <c r="F55" s="2">
        <f t="shared" si="0"/>
        <v>5.5975621086004503</v>
      </c>
    </row>
    <row r="56" spans="1:6" x14ac:dyDescent="0.2">
      <c r="A56" s="3">
        <v>55</v>
      </c>
      <c r="B56" s="4">
        <f>IFERROR(AVERAGEIFS('Raw data'!$W$2:$W$1560,'Raw data'!$A$2:$A$1560,Feuil1!$A56,'Raw data'!$C$2:$C$1560,Feuil1!B$1),"")</f>
        <v>6.0168697477098014</v>
      </c>
      <c r="C56" s="4">
        <f>IFERROR(AVERAGEIFS('Raw data'!$W$2:$W$1560,'Raw data'!$A$2:$A$1560,Feuil1!$A56,'Raw data'!$C$2:$C$1560,Feuil1!C$1),"")</f>
        <v>6.024466124642367</v>
      </c>
      <c r="D56" s="4">
        <f>IFERROR(AVERAGEIFS('Raw data'!$W$2:$W$1560,'Raw data'!$A$2:$A$1560,Feuil1!$A56,'Raw data'!$C$2:$C$1560,Feuil1!D$1),"")</f>
        <v>6.0411838366125856</v>
      </c>
      <c r="E56" s="4">
        <f>IFERROR(AVERAGEIFS('Raw data'!$W$2:$W$1560,'Raw data'!$A$2:$A$1560,Feuil1!$A56,'Raw data'!$C$2:$C$1560,Feuil1!E$1),"")</f>
        <v>3.1666666666666679</v>
      </c>
      <c r="F56" s="2">
        <f t="shared" si="0"/>
        <v>5.3122965939078552</v>
      </c>
    </row>
    <row r="57" spans="1:6" x14ac:dyDescent="0.2">
      <c r="A57" s="3">
        <v>56</v>
      </c>
      <c r="B57" s="4">
        <f>IFERROR(AVERAGEIFS('Raw data'!$W$2:$W$1560,'Raw data'!$A$2:$A$1560,Feuil1!$A57,'Raw data'!$C$2:$C$1560,Feuil1!B$1),"")</f>
        <v>5.7535636509019144</v>
      </c>
      <c r="C57" s="4">
        <f>IFERROR(AVERAGEIFS('Raw data'!$W$2:$W$1560,'Raw data'!$A$2:$A$1560,Feuil1!$A57,'Raw data'!$C$2:$C$1560,Feuil1!C$1),"")</f>
        <v>6.1009138432374304</v>
      </c>
      <c r="D57" s="4">
        <f>IFERROR(AVERAGEIFS('Raw data'!$W$2:$W$1560,'Raw data'!$A$2:$A$1560,Feuil1!$A57,'Raw data'!$C$2:$C$1560,Feuil1!D$1),"")</f>
        <v>4.9159753658248224</v>
      </c>
      <c r="E57" s="4">
        <f>IFERROR(AVERAGEIFS('Raw data'!$W$2:$W$1560,'Raw data'!$A$2:$A$1560,Feuil1!$A57,'Raw data'!$C$2:$C$1560,Feuil1!E$1),"")</f>
        <v>4.5253954410797235</v>
      </c>
      <c r="F57" s="2">
        <f t="shared" si="0"/>
        <v>5.3239620752609724</v>
      </c>
    </row>
    <row r="58" spans="1:6" x14ac:dyDescent="0.2">
      <c r="A58" s="3">
        <v>57</v>
      </c>
      <c r="B58" s="4">
        <f>IFERROR(AVERAGEIFS('Raw data'!$W$2:$W$1560,'Raw data'!$A$2:$A$1560,Feuil1!$A58,'Raw data'!$C$2:$C$1560,Feuil1!B$1),"")</f>
        <v>6.0977724851332935</v>
      </c>
      <c r="C58" s="4">
        <f>IFERROR(AVERAGEIFS('Raw data'!$W$2:$W$1560,'Raw data'!$A$2:$A$1560,Feuil1!$A58,'Raw data'!$C$2:$C$1560,Feuil1!C$1),"")</f>
        <v>5.9753010918641492</v>
      </c>
      <c r="D58" s="4">
        <f>IFERROR(AVERAGEIFS('Raw data'!$W$2:$W$1560,'Raw data'!$A$2:$A$1560,Feuil1!$A58,'Raw data'!$C$2:$C$1560,Feuil1!D$1),"")</f>
        <v>5.8114139469984298</v>
      </c>
      <c r="E58" s="4">
        <f>IFERROR(AVERAGEIFS('Raw data'!$W$2:$W$1560,'Raw data'!$A$2:$A$1560,Feuil1!$A58,'Raw data'!$C$2:$C$1560,Feuil1!E$1),"")</f>
        <v>4.9910818632916367</v>
      </c>
      <c r="F58" s="2">
        <f t="shared" si="0"/>
        <v>5.7188923468218773</v>
      </c>
    </row>
    <row r="59" spans="1:6" x14ac:dyDescent="0.2">
      <c r="A59" s="3">
        <v>58</v>
      </c>
      <c r="B59" s="4">
        <f>IFERROR(AVERAGEIFS('Raw data'!$W$2:$W$1560,'Raw data'!$A$2:$A$1560,Feuil1!$A59,'Raw data'!$C$2:$C$1560,Feuil1!B$1),"")</f>
        <v>6.5096443487679947</v>
      </c>
      <c r="C59" s="4">
        <f>IFERROR(AVERAGEIFS('Raw data'!$W$2:$W$1560,'Raw data'!$A$2:$A$1560,Feuil1!$A59,'Raw data'!$C$2:$C$1560,Feuil1!C$1),"")</f>
        <v>5.7322429778622519</v>
      </c>
      <c r="D59" s="4">
        <f>IFERROR(AVERAGEIFS('Raw data'!$W$2:$W$1560,'Raw data'!$A$2:$A$1560,Feuil1!$A59,'Raw data'!$C$2:$C$1560,Feuil1!D$1),"")</f>
        <v>6.5555377906976746</v>
      </c>
      <c r="E59" s="4">
        <f>IFERROR(AVERAGEIFS('Raw data'!$W$2:$W$1560,'Raw data'!$A$2:$A$1560,Feuil1!$A59,'Raw data'!$C$2:$C$1560,Feuil1!E$1),"")</f>
        <v>4.3271937134470138</v>
      </c>
      <c r="F59" s="2">
        <f t="shared" si="0"/>
        <v>5.7811547076937337</v>
      </c>
    </row>
    <row r="60" spans="1:6" x14ac:dyDescent="0.2">
      <c r="A60" s="3">
        <v>59</v>
      </c>
      <c r="B60" s="4">
        <f>IFERROR(AVERAGEIFS('Raw data'!$W$2:$W$1560,'Raw data'!$A$2:$A$1560,Feuil1!$A60,'Raw data'!$C$2:$C$1560,Feuil1!B$1),"")</f>
        <v>5.41051778794795</v>
      </c>
      <c r="C60" s="4">
        <f>IFERROR(AVERAGEIFS('Raw data'!$W$2:$W$1560,'Raw data'!$A$2:$A$1560,Feuil1!$A60,'Raw data'!$C$2:$C$1560,Feuil1!C$1),"")</f>
        <v>5.6794239602728966</v>
      </c>
      <c r="D60" s="4">
        <f>IFERROR(AVERAGEIFS('Raw data'!$W$2:$W$1560,'Raw data'!$A$2:$A$1560,Feuil1!$A60,'Raw data'!$C$2:$C$1560,Feuil1!D$1),"")</f>
        <v>4.4791659147793617</v>
      </c>
      <c r="E60" s="4">
        <f>IFERROR(AVERAGEIFS('Raw data'!$W$2:$W$1560,'Raw data'!$A$2:$A$1560,Feuil1!$A60,'Raw data'!$C$2:$C$1560,Feuil1!E$1),"")</f>
        <v>5.0160092451511247</v>
      </c>
      <c r="F60" s="2">
        <f t="shared" si="0"/>
        <v>5.1462792270378337</v>
      </c>
    </row>
    <row r="61" spans="1:6" x14ac:dyDescent="0.2">
      <c r="A61" s="3">
        <v>60</v>
      </c>
      <c r="B61" s="4">
        <f>IFERROR(AVERAGEIFS('Raw data'!$W$2:$W$1560,'Raw data'!$A$2:$A$1560,Feuil1!$A61,'Raw data'!$C$2:$C$1560,Feuil1!B$1),"")</f>
        <v>6.2329572989672144</v>
      </c>
      <c r="C61" s="4">
        <f>IFERROR(AVERAGEIFS('Raw data'!$W$2:$W$1560,'Raw data'!$A$2:$A$1560,Feuil1!$A61,'Raw data'!$C$2:$C$1560,Feuil1!C$1),"")</f>
        <v>5.3359959457360171</v>
      </c>
      <c r="D61" s="4">
        <f>IFERROR(AVERAGEIFS('Raw data'!$W$2:$W$1560,'Raw data'!$A$2:$A$1560,Feuil1!$A61,'Raw data'!$C$2:$C$1560,Feuil1!D$1),"")</f>
        <v>6.2749256492850281</v>
      </c>
      <c r="E61" s="4">
        <f>IFERROR(AVERAGEIFS('Raw data'!$W$2:$W$1560,'Raw data'!$A$2:$A$1560,Feuil1!$A61,'Raw data'!$C$2:$C$1560,Feuil1!E$1),"")</f>
        <v>5.0025004164584352</v>
      </c>
      <c r="F61" s="2">
        <f t="shared" si="0"/>
        <v>5.7115948276116733</v>
      </c>
    </row>
    <row r="62" spans="1:6" x14ac:dyDescent="0.2">
      <c r="A62" s="3">
        <v>61</v>
      </c>
      <c r="B62" s="4">
        <f>IFERROR(AVERAGEIFS('Raw data'!$W$2:$W$1560,'Raw data'!$A$2:$A$1560,Feuil1!$A62,'Raw data'!$C$2:$C$1560,Feuil1!B$1),"")</f>
        <v>6.0952829645345474</v>
      </c>
      <c r="C62" s="4">
        <f>IFERROR(AVERAGEIFS('Raw data'!$W$2:$W$1560,'Raw data'!$A$2:$A$1560,Feuil1!$A62,'Raw data'!$C$2:$C$1560,Feuil1!C$1),"")</f>
        <v>5.5701563561999237</v>
      </c>
      <c r="D62" s="4">
        <f>IFERROR(AVERAGEIFS('Raw data'!$W$2:$W$1560,'Raw data'!$A$2:$A$1560,Feuil1!$A62,'Raw data'!$C$2:$C$1560,Feuil1!D$1),"")</f>
        <v>5.5822193471187429</v>
      </c>
      <c r="E62" s="4">
        <f>IFERROR(AVERAGEIFS('Raw data'!$W$2:$W$1560,'Raw data'!$A$2:$A$1560,Feuil1!$A62,'Raw data'!$C$2:$C$1560,Feuil1!E$1),"")</f>
        <v>5.0013668674528073</v>
      </c>
      <c r="F62" s="2">
        <f t="shared" si="0"/>
        <v>5.5622563838265062</v>
      </c>
    </row>
    <row r="63" spans="1:6" x14ac:dyDescent="0.2">
      <c r="A63" s="3">
        <v>62</v>
      </c>
      <c r="B63" s="4">
        <f>IFERROR(AVERAGEIFS('Raw data'!$W$2:$W$1560,'Raw data'!$A$2:$A$1560,Feuil1!$A63,'Raw data'!$C$2:$C$1560,Feuil1!B$1),"")</f>
        <v>6.3076042878108121</v>
      </c>
      <c r="C63" s="4">
        <f>IFERROR(AVERAGEIFS('Raw data'!$W$2:$W$1560,'Raw data'!$A$2:$A$1560,Feuil1!$A63,'Raw data'!$C$2:$C$1560,Feuil1!C$1),"")</f>
        <v>4.4826743435148515</v>
      </c>
      <c r="D63" s="4">
        <f>IFERROR(AVERAGEIFS('Raw data'!$W$2:$W$1560,'Raw data'!$A$2:$A$1560,Feuil1!$A63,'Raw data'!$C$2:$C$1560,Feuil1!D$1),"")</f>
        <v>4.5696585431587549</v>
      </c>
      <c r="E63" s="4">
        <f>IFERROR(AVERAGEIFS('Raw data'!$W$2:$W$1560,'Raw data'!$A$2:$A$1560,Feuil1!$A63,'Raw data'!$C$2:$C$1560,Feuil1!E$1),"")</f>
        <v>4.6333037675023263</v>
      </c>
      <c r="F63" s="2">
        <f t="shared" si="0"/>
        <v>4.9983102354966862</v>
      </c>
    </row>
    <row r="64" spans="1:6" x14ac:dyDescent="0.2">
      <c r="A64" s="3">
        <v>63</v>
      </c>
      <c r="B64" s="4">
        <f>IFERROR(AVERAGEIFS('Raw data'!$W$2:$W$1560,'Raw data'!$A$2:$A$1560,Feuil1!$A64,'Raw data'!$C$2:$C$1560,Feuil1!B$1),"")</f>
        <v>6.2100380380022937</v>
      </c>
      <c r="C64" s="4">
        <f>IFERROR(AVERAGEIFS('Raw data'!$W$2:$W$1560,'Raw data'!$A$2:$A$1560,Feuil1!$A64,'Raw data'!$C$2:$C$1560,Feuil1!C$1),"")</f>
        <v>5.7446006281182731</v>
      </c>
      <c r="D64" s="4">
        <f>IFERROR(AVERAGEIFS('Raw data'!$W$2:$W$1560,'Raw data'!$A$2:$A$1560,Feuil1!$A64,'Raw data'!$C$2:$C$1560,Feuil1!D$1),"")</f>
        <v>5.6624662264541428</v>
      </c>
      <c r="E64" s="4">
        <f>IFERROR(AVERAGEIFS('Raw data'!$W$2:$W$1560,'Raw data'!$A$2:$A$1560,Feuil1!$A64,'Raw data'!$C$2:$C$1560,Feuil1!E$1),"")</f>
        <v>3.1666666666666679</v>
      </c>
      <c r="F64" s="2">
        <f t="shared" si="0"/>
        <v>5.1959428898103441</v>
      </c>
    </row>
    <row r="65" spans="1:6" x14ac:dyDescent="0.2">
      <c r="A65" s="3">
        <v>64</v>
      </c>
      <c r="B65" s="4">
        <f>IFERROR(AVERAGEIFS('Raw data'!$W$2:$W$1560,'Raw data'!$A$2:$A$1560,Feuil1!$A65,'Raw data'!$C$2:$C$1560,Feuil1!B$1),"")</f>
        <v>6.0797116841853374</v>
      </c>
      <c r="C65" s="4">
        <f>IFERROR(AVERAGEIFS('Raw data'!$W$2:$W$1560,'Raw data'!$A$2:$A$1560,Feuil1!$A65,'Raw data'!$C$2:$C$1560,Feuil1!C$1),"")</f>
        <v>6.3949585971417404</v>
      </c>
      <c r="D65" s="4">
        <f>IFERROR(AVERAGEIFS('Raw data'!$W$2:$W$1560,'Raw data'!$A$2:$A$1560,Feuil1!$A65,'Raw data'!$C$2:$C$1560,Feuil1!D$1),"")</f>
        <v>5.8638184267457722</v>
      </c>
      <c r="E65" s="4">
        <f>IFERROR(AVERAGEIFS('Raw data'!$W$2:$W$1560,'Raw data'!$A$2:$A$1560,Feuil1!$A65,'Raw data'!$C$2:$C$1560,Feuil1!E$1),"")</f>
        <v>4.7306424687767885</v>
      </c>
      <c r="F65" s="2">
        <f t="shared" si="0"/>
        <v>5.7672827942124103</v>
      </c>
    </row>
    <row r="66" spans="1:6" x14ac:dyDescent="0.2">
      <c r="A66" s="3">
        <v>65</v>
      </c>
      <c r="B66" s="4">
        <f>IFERROR(AVERAGEIFS('Raw data'!$W$2:$W$1560,'Raw data'!$A$2:$A$1560,Feuil1!$A66,'Raw data'!$C$2:$C$1560,Feuil1!B$1),"")</f>
        <v>5.9055295134482346</v>
      </c>
      <c r="C66" s="4">
        <f>IFERROR(AVERAGEIFS('Raw data'!$W$2:$W$1560,'Raw data'!$A$2:$A$1560,Feuil1!$A66,'Raw data'!$C$2:$C$1560,Feuil1!C$1),"")</f>
        <v>4.9812723976115771</v>
      </c>
      <c r="D66" s="4">
        <f>IFERROR(AVERAGEIFS('Raw data'!$W$2:$W$1560,'Raw data'!$A$2:$A$1560,Feuil1!$A66,'Raw data'!$C$2:$C$1560,Feuil1!D$1),"")</f>
        <v>4.7501844954080408</v>
      </c>
      <c r="E66" s="4">
        <f>IFERROR(AVERAGEIFS('Raw data'!$W$2:$W$1560,'Raw data'!$A$2:$A$1560,Feuil1!$A66,'Raw data'!$C$2:$C$1560,Feuil1!E$1),"")</f>
        <v>4.7329236308590383</v>
      </c>
      <c r="F66" s="2">
        <f t="shared" si="0"/>
        <v>5.0924775093317232</v>
      </c>
    </row>
    <row r="67" spans="1:6" x14ac:dyDescent="0.2">
      <c r="A67" s="3">
        <v>66</v>
      </c>
      <c r="B67" s="4">
        <f>IFERROR(AVERAGEIFS('Raw data'!$W$2:$W$1560,'Raw data'!$A$2:$A$1560,Feuil1!$A67,'Raw data'!$C$2:$C$1560,Feuil1!B$1),"")</f>
        <v>5.8213076904040308</v>
      </c>
      <c r="C67" s="4">
        <f>IFERROR(AVERAGEIFS('Raw data'!$W$2:$W$1560,'Raw data'!$A$2:$A$1560,Feuil1!$A67,'Raw data'!$C$2:$C$1560,Feuil1!C$1),"")</f>
        <v>4.552582983300594</v>
      </c>
      <c r="D67" s="4">
        <f>IFERROR(AVERAGEIFS('Raw data'!$W$2:$W$1560,'Raw data'!$A$2:$A$1560,Feuil1!$A67,'Raw data'!$C$2:$C$1560,Feuil1!D$1),"")</f>
        <v>4.8008025866427149</v>
      </c>
      <c r="E67" s="4">
        <f>IFERROR(AVERAGEIFS('Raw data'!$W$2:$W$1560,'Raw data'!$A$2:$A$1560,Feuil1!$A67,'Raw data'!$C$2:$C$1560,Feuil1!E$1),"")</f>
        <v>4.5864820276506206</v>
      </c>
      <c r="F67" s="2">
        <f t="shared" ref="F67:F101" si="1">AVERAGE(B67:E67)</f>
        <v>4.9402938219994903</v>
      </c>
    </row>
    <row r="68" spans="1:6" x14ac:dyDescent="0.2">
      <c r="A68" s="3">
        <v>67</v>
      </c>
      <c r="B68" s="4">
        <f>IFERROR(AVERAGEIFS('Raw data'!$W$2:$W$1560,'Raw data'!$A$2:$A$1560,Feuil1!$A68,'Raw data'!$C$2:$C$1560,Feuil1!B$1),"")</f>
        <v>5.5275727466605673</v>
      </c>
      <c r="C68" s="4">
        <f>IFERROR(AVERAGEIFS('Raw data'!$W$2:$W$1560,'Raw data'!$A$2:$A$1560,Feuil1!$A68,'Raw data'!$C$2:$C$1560,Feuil1!C$1),"")</f>
        <v>4.4939036534870143</v>
      </c>
      <c r="D68" s="4">
        <f>IFERROR(AVERAGEIFS('Raw data'!$W$2:$W$1560,'Raw data'!$A$2:$A$1560,Feuil1!$A68,'Raw data'!$C$2:$C$1560,Feuil1!D$1),"")</f>
        <v>5.7634765797021403</v>
      </c>
      <c r="E68" s="4">
        <f>IFERROR(AVERAGEIFS('Raw data'!$W$2:$W$1560,'Raw data'!$A$2:$A$1560,Feuil1!$A68,'Raw data'!$C$2:$C$1560,Feuil1!E$1),"")</f>
        <v>4.8662327815837711</v>
      </c>
      <c r="F68" s="2">
        <f t="shared" si="1"/>
        <v>5.162796440358373</v>
      </c>
    </row>
    <row r="69" spans="1:6" x14ac:dyDescent="0.2">
      <c r="A69" s="3">
        <v>68</v>
      </c>
      <c r="B69" s="4">
        <f>IFERROR(AVERAGEIFS('Raw data'!$W$2:$W$1560,'Raw data'!$A$2:$A$1560,Feuil1!$A69,'Raw data'!$C$2:$C$1560,Feuil1!B$1),"")</f>
        <v>6.5140653875106489</v>
      </c>
      <c r="C69" s="4">
        <f>IFERROR(AVERAGEIFS('Raw data'!$W$2:$W$1560,'Raw data'!$A$2:$A$1560,Feuil1!$A69,'Raw data'!$C$2:$C$1560,Feuil1!C$1),"")</f>
        <v>6.0832283805405938</v>
      </c>
      <c r="D69" s="4">
        <f>IFERROR(AVERAGEIFS('Raw data'!$W$2:$W$1560,'Raw data'!$A$2:$A$1560,Feuil1!$A69,'Raw data'!$C$2:$C$1560,Feuil1!D$1),"")</f>
        <v>4.6131431470681017</v>
      </c>
      <c r="E69" s="4">
        <f>IFERROR(AVERAGEIFS('Raw data'!$W$2:$W$1560,'Raw data'!$A$2:$A$1560,Feuil1!$A69,'Raw data'!$C$2:$C$1560,Feuil1!E$1),"")</f>
        <v>4.2977992383989418</v>
      </c>
      <c r="F69" s="2">
        <f t="shared" si="1"/>
        <v>5.3770590383795716</v>
      </c>
    </row>
    <row r="70" spans="1:6" x14ac:dyDescent="0.2">
      <c r="A70" s="3">
        <v>69</v>
      </c>
      <c r="B70" s="4">
        <f>IFERROR(AVERAGEIFS('Raw data'!$W$2:$W$1560,'Raw data'!$A$2:$A$1560,Feuil1!$A70,'Raw data'!$C$2:$C$1560,Feuil1!B$1),"")</f>
        <v>6.2508045469563838</v>
      </c>
      <c r="C70" s="4">
        <f>IFERROR(AVERAGEIFS('Raw data'!$W$2:$W$1560,'Raw data'!$A$2:$A$1560,Feuil1!$A70,'Raw data'!$C$2:$C$1560,Feuil1!C$1),"")</f>
        <v>5.9414325621036257</v>
      </c>
      <c r="D70" s="4">
        <f>IFERROR(AVERAGEIFS('Raw data'!$W$2:$W$1560,'Raw data'!$A$2:$A$1560,Feuil1!$A70,'Raw data'!$C$2:$C$1560,Feuil1!D$1),"")</f>
        <v>5.614089337931075</v>
      </c>
      <c r="E70" s="4">
        <f>IFERROR(AVERAGEIFS('Raw data'!$W$2:$W$1560,'Raw data'!$A$2:$A$1560,Feuil1!$A70,'Raw data'!$C$2:$C$1560,Feuil1!E$1),"")</f>
        <v>5.0016458135835746</v>
      </c>
      <c r="F70" s="2">
        <f t="shared" si="1"/>
        <v>5.7019930651436654</v>
      </c>
    </row>
    <row r="71" spans="1:6" x14ac:dyDescent="0.2">
      <c r="A71" s="3">
        <v>70</v>
      </c>
      <c r="B71" s="4">
        <f>IFERROR(AVERAGEIFS('Raw data'!$W$2:$W$1560,'Raw data'!$A$2:$A$1560,Feuil1!$A71,'Raw data'!$C$2:$C$1560,Feuil1!B$1),"")</f>
        <v>6.3131476527587127</v>
      </c>
      <c r="C71" s="4">
        <f>IFERROR(AVERAGEIFS('Raw data'!$W$2:$W$1560,'Raw data'!$A$2:$A$1560,Feuil1!$A71,'Raw data'!$C$2:$C$1560,Feuil1!C$1),"")</f>
        <v>6.1745497714084676</v>
      </c>
      <c r="D71" s="4">
        <f>IFERROR(AVERAGEIFS('Raw data'!$W$2:$W$1560,'Raw data'!$A$2:$A$1560,Feuil1!$A71,'Raw data'!$C$2:$C$1560,Feuil1!D$1),"")</f>
        <v>4.6619785546199033</v>
      </c>
      <c r="E71" s="4">
        <f>IFERROR(AVERAGEIFS('Raw data'!$W$2:$W$1560,'Raw data'!$A$2:$A$1560,Feuil1!$A71,'Raw data'!$C$2:$C$1560,Feuil1!E$1),"")</f>
        <v>4.6323946727910634</v>
      </c>
      <c r="F71" s="2">
        <f t="shared" si="1"/>
        <v>5.4455176628945363</v>
      </c>
    </row>
    <row r="72" spans="1:6" x14ac:dyDescent="0.2">
      <c r="A72" s="3">
        <v>71</v>
      </c>
      <c r="B72" s="4">
        <f>IFERROR(AVERAGEIFS('Raw data'!$W$2:$W$1560,'Raw data'!$A$2:$A$1560,Feuil1!$A72,'Raw data'!$C$2:$C$1560,Feuil1!B$1),"")</f>
        <v>6.0389411272318068</v>
      </c>
      <c r="C72" s="4">
        <f>IFERROR(AVERAGEIFS('Raw data'!$W$2:$W$1560,'Raw data'!$A$2:$A$1560,Feuil1!$A72,'Raw data'!$C$2:$C$1560,Feuil1!C$1),"")</f>
        <v>5.9744723043011492</v>
      </c>
      <c r="D72" s="4">
        <f>IFERROR(AVERAGEIFS('Raw data'!$W$2:$W$1560,'Raw data'!$A$2:$A$1560,Feuil1!$A72,'Raw data'!$C$2:$C$1560,Feuil1!D$1),"")</f>
        <v>5.4160585549580746</v>
      </c>
      <c r="E72" s="4">
        <f>IFERROR(AVERAGEIFS('Raw data'!$W$2:$W$1560,'Raw data'!$A$2:$A$1560,Feuil1!$A72,'Raw data'!$C$2:$C$1560,Feuil1!E$1),"")</f>
        <v>3.2754911598986238</v>
      </c>
      <c r="F72" s="2">
        <f t="shared" si="1"/>
        <v>5.1762407865974138</v>
      </c>
    </row>
    <row r="73" spans="1:6" x14ac:dyDescent="0.2">
      <c r="A73" s="3">
        <v>72</v>
      </c>
      <c r="B73" s="4">
        <f>IFERROR(AVERAGEIFS('Raw data'!$W$2:$W$1560,'Raw data'!$A$2:$A$1560,Feuil1!$A73,'Raw data'!$C$2:$C$1560,Feuil1!B$1),"")</f>
        <v>6.2413351958862755</v>
      </c>
      <c r="C73" s="4">
        <f>IFERROR(AVERAGEIFS('Raw data'!$W$2:$W$1560,'Raw data'!$A$2:$A$1560,Feuil1!$A73,'Raw data'!$C$2:$C$1560,Feuil1!C$1),"")</f>
        <v>6.2747469971791645</v>
      </c>
      <c r="D73" s="4">
        <f>IFERROR(AVERAGEIFS('Raw data'!$W$2:$W$1560,'Raw data'!$A$2:$A$1560,Feuil1!$A73,'Raw data'!$C$2:$C$1560,Feuil1!D$1),"")</f>
        <v>5.6989821012890136</v>
      </c>
      <c r="E73" s="4">
        <f>IFERROR(AVERAGEIFS('Raw data'!$W$2:$W$1560,'Raw data'!$A$2:$A$1560,Feuil1!$A73,'Raw data'!$C$2:$C$1560,Feuil1!E$1),"")</f>
        <v>3.9092368689197925</v>
      </c>
      <c r="F73" s="2">
        <f t="shared" si="1"/>
        <v>5.5310752908185616</v>
      </c>
    </row>
    <row r="74" spans="1:6" x14ac:dyDescent="0.2">
      <c r="A74" s="3">
        <v>73</v>
      </c>
      <c r="B74" s="4">
        <f>IFERROR(AVERAGEIFS('Raw data'!$W$2:$W$1560,'Raw data'!$A$2:$A$1560,Feuil1!$A74,'Raw data'!$C$2:$C$1560,Feuil1!B$1),"")</f>
        <v>5.7264092720898967</v>
      </c>
      <c r="C74" s="4">
        <f>IFERROR(AVERAGEIFS('Raw data'!$W$2:$W$1560,'Raw data'!$A$2:$A$1560,Feuil1!$A74,'Raw data'!$C$2:$C$1560,Feuil1!C$1),"")</f>
        <v>5.1076953591361152</v>
      </c>
      <c r="D74" s="4">
        <f>IFERROR(AVERAGEIFS('Raw data'!$W$2:$W$1560,'Raw data'!$A$2:$A$1560,Feuil1!$A74,'Raw data'!$C$2:$C$1560,Feuil1!D$1),"")</f>
        <v>4.991594432620313</v>
      </c>
      <c r="E74" s="4">
        <f>IFERROR(AVERAGEIFS('Raw data'!$W$2:$W$1560,'Raw data'!$A$2:$A$1560,Feuil1!$A74,'Raw data'!$C$2:$C$1560,Feuil1!E$1),"")</f>
        <v>3.3909892947793012</v>
      </c>
      <c r="F74" s="2">
        <f t="shared" si="1"/>
        <v>4.8041720896564071</v>
      </c>
    </row>
    <row r="75" spans="1:6" x14ac:dyDescent="0.2">
      <c r="A75" s="3">
        <v>74</v>
      </c>
      <c r="B75" s="4">
        <f>IFERROR(AVERAGEIFS('Raw data'!$W$2:$W$1560,'Raw data'!$A$2:$A$1560,Feuil1!$A75,'Raw data'!$C$2:$C$1560,Feuil1!B$1),"")</f>
        <v>5.6331433053545252</v>
      </c>
      <c r="C75" s="4">
        <f>IFERROR(AVERAGEIFS('Raw data'!$W$2:$W$1560,'Raw data'!$A$2:$A$1560,Feuil1!$A75,'Raw data'!$C$2:$C$1560,Feuil1!C$1),"")</f>
        <v>5.5806498031393321</v>
      </c>
      <c r="D75" s="4" t="str">
        <f>IFERROR(AVERAGEIFS('Raw data'!$W$2:$W$1560,'Raw data'!$A$2:$A$1560,Feuil1!$A75,'Raw data'!$C$2:$C$1560,Feuil1!D$1),"")</f>
        <v/>
      </c>
      <c r="E75" s="4">
        <f>IFERROR(AVERAGEIFS('Raw data'!$W$2:$W$1560,'Raw data'!$A$2:$A$1560,Feuil1!$A75,'Raw data'!$C$2:$C$1560,Feuil1!E$1),"")</f>
        <v>4.3905558331945125</v>
      </c>
      <c r="F75" s="2">
        <f t="shared" si="1"/>
        <v>5.201449647229456</v>
      </c>
    </row>
    <row r="76" spans="1:6" x14ac:dyDescent="0.2">
      <c r="A76" s="3">
        <v>75</v>
      </c>
      <c r="B76" s="4">
        <f>IFERROR(AVERAGEIFS('Raw data'!$W$2:$W$1560,'Raw data'!$A$2:$A$1560,Feuil1!$A76,'Raw data'!$C$2:$C$1560,Feuil1!B$1),"")</f>
        <v>5.9008081829495014</v>
      </c>
      <c r="C76" s="4">
        <f>IFERROR(AVERAGEIFS('Raw data'!$W$2:$W$1560,'Raw data'!$A$2:$A$1560,Feuil1!$A76,'Raw data'!$C$2:$C$1560,Feuil1!C$1),"")</f>
        <v>6.3778486472652265</v>
      </c>
      <c r="D76" s="4">
        <f>IFERROR(AVERAGEIFS('Raw data'!$W$2:$W$1560,'Raw data'!$A$2:$A$1560,Feuil1!$A76,'Raw data'!$C$2:$C$1560,Feuil1!D$1),"")</f>
        <v>5.6824093499991095</v>
      </c>
      <c r="E76" s="4">
        <f>IFERROR(AVERAGEIFS('Raw data'!$W$2:$W$1560,'Raw data'!$A$2:$A$1560,Feuil1!$A76,'Raw data'!$C$2:$C$1560,Feuil1!E$1),"")</f>
        <v>4.617607769318437</v>
      </c>
      <c r="F76" s="2">
        <f t="shared" si="1"/>
        <v>5.6446684873830684</v>
      </c>
    </row>
    <row r="77" spans="1:6" x14ac:dyDescent="0.2">
      <c r="A77" s="3">
        <v>76</v>
      </c>
      <c r="B77" s="4">
        <f>IFERROR(AVERAGEIFS('Raw data'!$W$2:$W$1560,'Raw data'!$A$2:$A$1560,Feuil1!$A77,'Raw data'!$C$2:$C$1560,Feuil1!B$1),"")</f>
        <v>6.4056916633006411</v>
      </c>
      <c r="C77" s="4">
        <f>IFERROR(AVERAGEIFS('Raw data'!$W$2:$W$1560,'Raw data'!$A$2:$A$1560,Feuil1!$A77,'Raw data'!$C$2:$C$1560,Feuil1!C$1),"")</f>
        <v>3.8743907561736464</v>
      </c>
      <c r="D77" s="4">
        <f>IFERROR(AVERAGEIFS('Raw data'!$W$2:$W$1560,'Raw data'!$A$2:$A$1560,Feuil1!$A77,'Raw data'!$C$2:$C$1560,Feuil1!D$1),"")</f>
        <v>4.9255253821117186</v>
      </c>
      <c r="E77" s="4">
        <f>IFERROR(AVERAGEIFS('Raw data'!$W$2:$W$1560,'Raw data'!$A$2:$A$1560,Feuil1!$A77,'Raw data'!$C$2:$C$1560,Feuil1!E$1),"")</f>
        <v>4.8427925548653006</v>
      </c>
      <c r="F77" s="2">
        <f t="shared" si="1"/>
        <v>5.0121000891128267</v>
      </c>
    </row>
    <row r="78" spans="1:6" x14ac:dyDescent="0.2">
      <c r="A78" s="3">
        <v>77</v>
      </c>
      <c r="B78" s="4">
        <f>IFERROR(AVERAGEIFS('Raw data'!$W$2:$W$1560,'Raw data'!$A$2:$A$1560,Feuil1!$A78,'Raw data'!$C$2:$C$1560,Feuil1!B$1),"")</f>
        <v>6.112654391726779</v>
      </c>
      <c r="C78" s="4">
        <f>IFERROR(AVERAGEIFS('Raw data'!$W$2:$W$1560,'Raw data'!$A$2:$A$1560,Feuil1!$A78,'Raw data'!$C$2:$C$1560,Feuil1!C$1),"")</f>
        <v>5.3401884933006905</v>
      </c>
      <c r="D78" s="4">
        <f>IFERROR(AVERAGEIFS('Raw data'!$W$2:$W$1560,'Raw data'!$A$2:$A$1560,Feuil1!$A78,'Raw data'!$C$2:$C$1560,Feuil1!D$1),"")</f>
        <v>4.4411053142899242</v>
      </c>
      <c r="E78" s="4">
        <f>IFERROR(AVERAGEIFS('Raw data'!$W$2:$W$1560,'Raw data'!$A$2:$A$1560,Feuil1!$A78,'Raw data'!$C$2:$C$1560,Feuil1!E$1),"")</f>
        <v>3.9340643946180696</v>
      </c>
      <c r="F78" s="2">
        <f t="shared" si="1"/>
        <v>4.9570031484838655</v>
      </c>
    </row>
    <row r="79" spans="1:6" x14ac:dyDescent="0.2">
      <c r="A79" s="3">
        <v>78</v>
      </c>
      <c r="B79" s="4">
        <f>IFERROR(AVERAGEIFS('Raw data'!$W$2:$W$1560,'Raw data'!$A$2:$A$1560,Feuil1!$A79,'Raw data'!$C$2:$C$1560,Feuil1!B$1),"")</f>
        <v>6.1731810676225427</v>
      </c>
      <c r="C79" s="4">
        <f>IFERROR(AVERAGEIFS('Raw data'!$W$2:$W$1560,'Raw data'!$A$2:$A$1560,Feuil1!$A79,'Raw data'!$C$2:$C$1560,Feuil1!C$1),"")</f>
        <v>5.9208516993708917</v>
      </c>
      <c r="D79" s="4">
        <f>IFERROR(AVERAGEIFS('Raw data'!$W$2:$W$1560,'Raw data'!$A$2:$A$1560,Feuil1!$A79,'Raw data'!$C$2:$C$1560,Feuil1!D$1),"")</f>
        <v>5.4818933267551344</v>
      </c>
      <c r="E79" s="4">
        <f>IFERROR(AVERAGEIFS('Raw data'!$W$2:$W$1560,'Raw data'!$A$2:$A$1560,Feuil1!$A79,'Raw data'!$C$2:$C$1560,Feuil1!E$1),"")</f>
        <v>3.5653664281471045</v>
      </c>
      <c r="F79" s="2">
        <f t="shared" si="1"/>
        <v>5.2853231304739188</v>
      </c>
    </row>
    <row r="80" spans="1:6" x14ac:dyDescent="0.2">
      <c r="A80" s="3">
        <v>79</v>
      </c>
      <c r="B80" s="4">
        <f>IFERROR(AVERAGEIFS('Raw data'!$W$2:$W$1560,'Raw data'!$A$2:$A$1560,Feuil1!$A80,'Raw data'!$C$2:$C$1560,Feuil1!B$1),"")</f>
        <v>6.0232106385591617</v>
      </c>
      <c r="C80" s="4">
        <f>IFERROR(AVERAGEIFS('Raw data'!$W$2:$W$1560,'Raw data'!$A$2:$A$1560,Feuil1!$A80,'Raw data'!$C$2:$C$1560,Feuil1!C$1),"")</f>
        <v>4.482028883906767</v>
      </c>
      <c r="D80" s="4">
        <f>IFERROR(AVERAGEIFS('Raw data'!$W$2:$W$1560,'Raw data'!$A$2:$A$1560,Feuil1!$A80,'Raw data'!$C$2:$C$1560,Feuil1!D$1),"")</f>
        <v>4.7441871796118615</v>
      </c>
      <c r="E80" s="4">
        <f>IFERROR(AVERAGEIFS('Raw data'!$W$2:$W$1560,'Raw data'!$A$2:$A$1560,Feuil1!$A80,'Raw data'!$C$2:$C$1560,Feuil1!E$1),"")</f>
        <v>3.6576129658863095</v>
      </c>
      <c r="F80" s="2">
        <f t="shared" si="1"/>
        <v>4.7267599169910248</v>
      </c>
    </row>
    <row r="81" spans="1:6" x14ac:dyDescent="0.2">
      <c r="A81" s="3">
        <v>80</v>
      </c>
      <c r="B81" s="4">
        <f>IFERROR(AVERAGEIFS('Raw data'!$W$2:$W$1560,'Raw data'!$A$2:$A$1560,Feuil1!$A81,'Raw data'!$C$2:$C$1560,Feuil1!B$1),"")</f>
        <v>5.8716476593770865</v>
      </c>
      <c r="C81" s="4">
        <f>IFERROR(AVERAGEIFS('Raw data'!$W$2:$W$1560,'Raw data'!$A$2:$A$1560,Feuil1!$A81,'Raw data'!$C$2:$C$1560,Feuil1!C$1),"")</f>
        <v>5.9527741224211033</v>
      </c>
      <c r="D81" s="4">
        <f>IFERROR(AVERAGEIFS('Raw data'!$W$2:$W$1560,'Raw data'!$A$2:$A$1560,Feuil1!$A81,'Raw data'!$C$2:$C$1560,Feuil1!D$1),"")</f>
        <v>5.2627806312434942</v>
      </c>
      <c r="E81" s="4">
        <f>IFERROR(AVERAGEIFS('Raw data'!$W$2:$W$1560,'Raw data'!$A$2:$A$1560,Feuil1!$A81,'Raw data'!$C$2:$C$1560,Feuil1!E$1),"")</f>
        <v>4.0675255709815819</v>
      </c>
      <c r="F81" s="2">
        <f t="shared" si="1"/>
        <v>5.2886819960058169</v>
      </c>
    </row>
    <row r="82" spans="1:6" x14ac:dyDescent="0.2">
      <c r="A82" s="3">
        <v>81</v>
      </c>
      <c r="B82" s="4">
        <f>IFERROR(AVERAGEIFS('Raw data'!$W$2:$W$1560,'Raw data'!$A$2:$A$1560,Feuil1!$A82,'Raw data'!$C$2:$C$1560,Feuil1!B$1),"")</f>
        <v>6.1967199422908195</v>
      </c>
      <c r="C82" s="4">
        <f>IFERROR(AVERAGEIFS('Raw data'!$W$2:$W$1560,'Raw data'!$A$2:$A$1560,Feuil1!$A82,'Raw data'!$C$2:$C$1560,Feuil1!C$1),"")</f>
        <v>5.5426320190724372</v>
      </c>
      <c r="D82" s="4">
        <f>IFERROR(AVERAGEIFS('Raw data'!$W$2:$W$1560,'Raw data'!$A$2:$A$1560,Feuil1!$A82,'Raw data'!$C$2:$C$1560,Feuil1!D$1),"")</f>
        <v>4.7086007163405954</v>
      </c>
      <c r="E82" s="4">
        <f>IFERROR(AVERAGEIFS('Raw data'!$W$2:$W$1560,'Raw data'!$A$2:$A$1560,Feuil1!$A82,'Raw data'!$C$2:$C$1560,Feuil1!E$1),"")</f>
        <v>3.7644829782361895</v>
      </c>
      <c r="F82" s="2">
        <f t="shared" si="1"/>
        <v>5.0531089139850103</v>
      </c>
    </row>
    <row r="83" spans="1:6" x14ac:dyDescent="0.2">
      <c r="A83" s="3">
        <v>82</v>
      </c>
      <c r="B83" s="4">
        <f>IFERROR(AVERAGEIFS('Raw data'!$W$2:$W$1560,'Raw data'!$A$2:$A$1560,Feuil1!$A83,'Raw data'!$C$2:$C$1560,Feuil1!B$1),"")</f>
        <v>5.9852524771620352</v>
      </c>
      <c r="C83" s="4">
        <f>IFERROR(AVERAGEIFS('Raw data'!$W$2:$W$1560,'Raw data'!$A$2:$A$1560,Feuil1!$A83,'Raw data'!$C$2:$C$1560,Feuil1!C$1),"")</f>
        <v>6.1165422067103048</v>
      </c>
      <c r="D83" s="4">
        <f>IFERROR(AVERAGEIFS('Raw data'!$W$2:$W$1560,'Raw data'!$A$2:$A$1560,Feuil1!$A83,'Raw data'!$C$2:$C$1560,Feuil1!D$1),"")</f>
        <v>5.5345949668687497</v>
      </c>
      <c r="E83" s="4" t="str">
        <f>IFERROR(AVERAGEIFS('Raw data'!$W$2:$W$1560,'Raw data'!$A$2:$A$1560,Feuil1!$A83,'Raw data'!$C$2:$C$1560,Feuil1!E$1),"")</f>
        <v/>
      </c>
      <c r="F83" s="2">
        <f t="shared" si="1"/>
        <v>5.8787965502470305</v>
      </c>
    </row>
    <row r="84" spans="1:6" x14ac:dyDescent="0.2">
      <c r="A84" s="3">
        <v>83</v>
      </c>
      <c r="B84" s="4">
        <f>IFERROR(AVERAGEIFS('Raw data'!$W$2:$W$1560,'Raw data'!$A$2:$A$1560,Feuil1!$A84,'Raw data'!$C$2:$C$1560,Feuil1!B$1),"")</f>
        <v>6.3635489495701147</v>
      </c>
      <c r="C84" s="4">
        <f>IFERROR(AVERAGEIFS('Raw data'!$W$2:$W$1560,'Raw data'!$A$2:$A$1560,Feuil1!$A84,'Raw data'!$C$2:$C$1560,Feuil1!C$1),"")</f>
        <v>5.1592282698381213</v>
      </c>
      <c r="D84" s="4">
        <f>IFERROR(AVERAGEIFS('Raw data'!$W$2:$W$1560,'Raw data'!$A$2:$A$1560,Feuil1!$A84,'Raw data'!$C$2:$C$1560,Feuil1!D$1),"")</f>
        <v>6.5680105854619866</v>
      </c>
      <c r="E84" s="4">
        <f>IFERROR(AVERAGEIFS('Raw data'!$W$2:$W$1560,'Raw data'!$A$2:$A$1560,Feuil1!$A84,'Raw data'!$C$2:$C$1560,Feuil1!E$1),"")</f>
        <v>5.0025004164584352</v>
      </c>
      <c r="F84" s="2">
        <f t="shared" si="1"/>
        <v>5.7733220553321649</v>
      </c>
    </row>
    <row r="85" spans="1:6" x14ac:dyDescent="0.2">
      <c r="A85" s="3">
        <v>84</v>
      </c>
      <c r="B85" s="4">
        <f>IFERROR(AVERAGEIFS('Raw data'!$W$2:$W$1560,'Raw data'!$A$2:$A$1560,Feuil1!$A85,'Raw data'!$C$2:$C$1560,Feuil1!B$1),"")</f>
        <v>6.1812939353881085</v>
      </c>
      <c r="C85" s="4">
        <f>IFERROR(AVERAGEIFS('Raw data'!$W$2:$W$1560,'Raw data'!$A$2:$A$1560,Feuil1!$A85,'Raw data'!$C$2:$C$1560,Feuil1!C$1),"")</f>
        <v>5.8978540216625106</v>
      </c>
      <c r="D85" s="4">
        <f>IFERROR(AVERAGEIFS('Raw data'!$W$2:$W$1560,'Raw data'!$A$2:$A$1560,Feuil1!$A85,'Raw data'!$C$2:$C$1560,Feuil1!D$1),"")</f>
        <v>5.6058206198172362</v>
      </c>
      <c r="E85" s="4">
        <f>IFERROR(AVERAGEIFS('Raw data'!$W$2:$W$1560,'Raw data'!$A$2:$A$1560,Feuil1!$A85,'Raw data'!$C$2:$C$1560,Feuil1!E$1),"")</f>
        <v>3.9276004718269895</v>
      </c>
      <c r="F85" s="2">
        <f t="shared" si="1"/>
        <v>5.4031422621737111</v>
      </c>
    </row>
    <row r="86" spans="1:6" x14ac:dyDescent="0.2">
      <c r="A86" s="3">
        <v>85</v>
      </c>
      <c r="B86" s="4">
        <f>IFERROR(AVERAGEIFS('Raw data'!$W$2:$W$1560,'Raw data'!$A$2:$A$1560,Feuil1!$A86,'Raw data'!$C$2:$C$1560,Feuil1!B$1),"")</f>
        <v>5.4614081320736831</v>
      </c>
      <c r="C86" s="4">
        <f>IFERROR(AVERAGEIFS('Raw data'!$W$2:$W$1560,'Raw data'!$A$2:$A$1560,Feuil1!$A86,'Raw data'!$C$2:$C$1560,Feuil1!C$1),"")</f>
        <v>6.1351096319663645</v>
      </c>
      <c r="D86" s="4">
        <f>IFERROR(AVERAGEIFS('Raw data'!$W$2:$W$1560,'Raw data'!$A$2:$A$1560,Feuil1!$A86,'Raw data'!$C$2:$C$1560,Feuil1!D$1),"")</f>
        <v>4.793798085318163</v>
      </c>
      <c r="E86" s="4">
        <f>IFERROR(AVERAGEIFS('Raw data'!$W$2:$W$1560,'Raw data'!$A$2:$A$1560,Feuil1!$A86,'Raw data'!$C$2:$C$1560,Feuil1!E$1),"")</f>
        <v>3.5820831783464584</v>
      </c>
      <c r="F86" s="2">
        <f t="shared" si="1"/>
        <v>4.993099756926167</v>
      </c>
    </row>
    <row r="87" spans="1:6" x14ac:dyDescent="0.2">
      <c r="A87" s="3">
        <v>86</v>
      </c>
      <c r="B87" s="4">
        <f>IFERROR(AVERAGEIFS('Raw data'!$W$2:$W$1560,'Raw data'!$A$2:$A$1560,Feuil1!$A87,'Raw data'!$C$2:$C$1560,Feuil1!B$1),"")</f>
        <v>6.3412591335225912</v>
      </c>
      <c r="C87" s="4">
        <f>IFERROR(AVERAGEIFS('Raw data'!$W$2:$W$1560,'Raw data'!$A$2:$A$1560,Feuil1!$A87,'Raw data'!$C$2:$C$1560,Feuil1!C$1),"")</f>
        <v>6.0935497376769971</v>
      </c>
      <c r="D87" s="4">
        <f>IFERROR(AVERAGEIFS('Raw data'!$W$2:$W$1560,'Raw data'!$A$2:$A$1560,Feuil1!$A87,'Raw data'!$C$2:$C$1560,Feuil1!D$1),"")</f>
        <v>5.46474106554294</v>
      </c>
      <c r="E87" s="4">
        <f>IFERROR(AVERAGEIFS('Raw data'!$W$2:$W$1560,'Raw data'!$A$2:$A$1560,Feuil1!$A87,'Raw data'!$C$2:$C$1560,Feuil1!E$1),"")</f>
        <v>3.4528093874873456</v>
      </c>
      <c r="F87" s="2">
        <f t="shared" si="1"/>
        <v>5.3380898310574691</v>
      </c>
    </row>
    <row r="88" spans="1:6" x14ac:dyDescent="0.2">
      <c r="A88" s="3">
        <v>87</v>
      </c>
      <c r="B88" s="4">
        <f>IFERROR(AVERAGEIFS('Raw data'!$W$2:$W$1560,'Raw data'!$A$2:$A$1560,Feuil1!$A88,'Raw data'!$C$2:$C$1560,Feuil1!B$1),"")</f>
        <v>5.8583192976230709</v>
      </c>
      <c r="C88" s="4">
        <f>IFERROR(AVERAGEIFS('Raw data'!$W$2:$W$1560,'Raw data'!$A$2:$A$1560,Feuil1!$A88,'Raw data'!$C$2:$C$1560,Feuil1!C$1),"")</f>
        <v>5.82186076966887</v>
      </c>
      <c r="D88" s="4">
        <f>IFERROR(AVERAGEIFS('Raw data'!$W$2:$W$1560,'Raw data'!$A$2:$A$1560,Feuil1!$A88,'Raw data'!$C$2:$C$1560,Feuil1!D$1),"")</f>
        <v>5.5384893704682279</v>
      </c>
      <c r="E88" s="4">
        <f>IFERROR(AVERAGEIFS('Raw data'!$W$2:$W$1560,'Raw data'!$A$2:$A$1560,Feuil1!$A88,'Raw data'!$C$2:$C$1560,Feuil1!E$1),"")</f>
        <v>4.0356719436342088</v>
      </c>
      <c r="F88" s="2">
        <f t="shared" si="1"/>
        <v>5.3135853453485948</v>
      </c>
    </row>
    <row r="89" spans="1:6" x14ac:dyDescent="0.2">
      <c r="A89" s="3">
        <v>88</v>
      </c>
      <c r="B89" s="4">
        <f>IFERROR(AVERAGEIFS('Raw data'!$W$2:$W$1560,'Raw data'!$A$2:$A$1560,Feuil1!$A89,'Raw data'!$C$2:$C$1560,Feuil1!B$1),"")</f>
        <v>5.5826444119101373</v>
      </c>
      <c r="C89" s="4">
        <f>IFERROR(AVERAGEIFS('Raw data'!$W$2:$W$1560,'Raw data'!$A$2:$A$1560,Feuil1!$A89,'Raw data'!$C$2:$C$1560,Feuil1!C$1),"")</f>
        <v>6.3445346424542572</v>
      </c>
      <c r="D89" s="4">
        <f>IFERROR(AVERAGEIFS('Raw data'!$W$2:$W$1560,'Raw data'!$A$2:$A$1560,Feuil1!$A89,'Raw data'!$C$2:$C$1560,Feuil1!D$1),"")</f>
        <v>5.0490164113694398</v>
      </c>
      <c r="E89" s="4">
        <f>IFERROR(AVERAGEIFS('Raw data'!$W$2:$W$1560,'Raw data'!$A$2:$A$1560,Feuil1!$A89,'Raw data'!$C$2:$C$1560,Feuil1!E$1),"")</f>
        <v>3.5269440094367068</v>
      </c>
      <c r="F89" s="2">
        <f t="shared" si="1"/>
        <v>5.1257848687926355</v>
      </c>
    </row>
    <row r="90" spans="1:6" x14ac:dyDescent="0.2">
      <c r="A90" s="3">
        <v>89</v>
      </c>
      <c r="B90" s="4">
        <f>IFERROR(AVERAGEIFS('Raw data'!$W$2:$W$1560,'Raw data'!$A$2:$A$1560,Feuil1!$A90,'Raw data'!$C$2:$C$1560,Feuil1!B$1),"")</f>
        <v>6.1847767975757693</v>
      </c>
      <c r="C90" s="4">
        <f>IFERROR(AVERAGEIFS('Raw data'!$W$2:$W$1560,'Raw data'!$A$2:$A$1560,Feuil1!$A90,'Raw data'!$C$2:$C$1560,Feuil1!C$1),"")</f>
        <v>6.3495358382709881</v>
      </c>
      <c r="D90" s="4">
        <f>IFERROR(AVERAGEIFS('Raw data'!$W$2:$W$1560,'Raw data'!$A$2:$A$1560,Feuil1!$A90,'Raw data'!$C$2:$C$1560,Feuil1!D$1),"")</f>
        <v>5.8169419453046869</v>
      </c>
      <c r="E90" s="4">
        <f>IFERROR(AVERAGEIFS('Raw data'!$W$2:$W$1560,'Raw data'!$A$2:$A$1560,Feuil1!$A90,'Raw data'!$C$2:$C$1560,Feuil1!E$1),"")</f>
        <v>4.9336277606171528</v>
      </c>
      <c r="F90" s="2">
        <f t="shared" si="1"/>
        <v>5.8212205854421493</v>
      </c>
    </row>
    <row r="91" spans="1:6" x14ac:dyDescent="0.2">
      <c r="A91" s="3">
        <v>90</v>
      </c>
      <c r="B91" s="4">
        <f>IFERROR(AVERAGEIFS('Raw data'!$W$2:$W$1560,'Raw data'!$A$2:$A$1560,Feuil1!$A91,'Raw data'!$C$2:$C$1560,Feuil1!B$1),"")</f>
        <v>5.3327299978108353</v>
      </c>
      <c r="C91" s="4">
        <f>IFERROR(AVERAGEIFS('Raw data'!$W$2:$W$1560,'Raw data'!$A$2:$A$1560,Feuil1!$A91,'Raw data'!$C$2:$C$1560,Feuil1!C$1),"")</f>
        <v>4.3786020230227267</v>
      </c>
      <c r="D91" s="4">
        <f>IFERROR(AVERAGEIFS('Raw data'!$W$2:$W$1560,'Raw data'!$A$2:$A$1560,Feuil1!$A91,'Raw data'!$C$2:$C$1560,Feuil1!D$1),"")</f>
        <v>5.3542964172165366</v>
      </c>
      <c r="E91" s="4">
        <f>IFERROR(AVERAGEIFS('Raw data'!$W$2:$W$1560,'Raw data'!$A$2:$A$1560,Feuil1!$A91,'Raw data'!$C$2:$C$1560,Feuil1!E$1),"")</f>
        <v>4.8404797533275055</v>
      </c>
      <c r="F91" s="2">
        <f t="shared" si="1"/>
        <v>4.9765270478444013</v>
      </c>
    </row>
    <row r="92" spans="1:6" x14ac:dyDescent="0.2">
      <c r="A92" s="3">
        <v>91</v>
      </c>
      <c r="B92" s="4">
        <f>IFERROR(AVERAGEIFS('Raw data'!$W$2:$W$1560,'Raw data'!$A$2:$A$1560,Feuil1!$A92,'Raw data'!$C$2:$C$1560,Feuil1!B$1),"")</f>
        <v>6.4380074782381858</v>
      </c>
      <c r="C92" s="4">
        <f>IFERROR(AVERAGEIFS('Raw data'!$W$2:$W$1560,'Raw data'!$A$2:$A$1560,Feuil1!$A92,'Raw data'!$C$2:$C$1560,Feuil1!C$1),"")</f>
        <v>6.307649883791937</v>
      </c>
      <c r="D92" s="4">
        <f>IFERROR(AVERAGEIFS('Raw data'!$W$2:$W$1560,'Raw data'!$A$2:$A$1560,Feuil1!$A92,'Raw data'!$C$2:$C$1560,Feuil1!D$1),"")</f>
        <v>6.1231181353237387</v>
      </c>
      <c r="E92" s="4">
        <f>IFERROR(AVERAGEIFS('Raw data'!$W$2:$W$1560,'Raw data'!$A$2:$A$1560,Feuil1!$A92,'Raw data'!$C$2:$C$1560,Feuil1!E$1),"")</f>
        <v>4.08390383869944</v>
      </c>
      <c r="F92" s="2">
        <f t="shared" si="1"/>
        <v>5.7381698340133251</v>
      </c>
    </row>
    <row r="93" spans="1:6" x14ac:dyDescent="0.2">
      <c r="A93" s="3">
        <v>92</v>
      </c>
      <c r="B93" s="4">
        <f>IFERROR(AVERAGEIFS('Raw data'!$W$2:$W$1560,'Raw data'!$A$2:$A$1560,Feuil1!$A93,'Raw data'!$C$2:$C$1560,Feuil1!B$1),"")</f>
        <v>5.718065126808777</v>
      </c>
      <c r="C93" s="4">
        <f>IFERROR(AVERAGEIFS('Raw data'!$W$2:$W$1560,'Raw data'!$A$2:$A$1560,Feuil1!$A93,'Raw data'!$C$2:$C$1560,Feuil1!C$1),"")</f>
        <v>5.9596856278187218</v>
      </c>
      <c r="D93" s="4">
        <f>IFERROR(AVERAGEIFS('Raw data'!$W$2:$W$1560,'Raw data'!$A$2:$A$1560,Feuil1!$A93,'Raw data'!$C$2:$C$1560,Feuil1!D$1),"")</f>
        <v>4.1050389289685301</v>
      </c>
      <c r="E93" s="4">
        <f>IFERROR(AVERAGEIFS('Raw data'!$W$2:$W$1560,'Raw data'!$A$2:$A$1560,Feuil1!$A93,'Raw data'!$C$2:$C$1560,Feuil1!E$1),"")</f>
        <v>4.9597473492845205</v>
      </c>
      <c r="F93" s="2">
        <f t="shared" si="1"/>
        <v>5.1856342582201371</v>
      </c>
    </row>
    <row r="94" spans="1:6" x14ac:dyDescent="0.2">
      <c r="A94" s="3">
        <v>93</v>
      </c>
      <c r="B94" s="4">
        <f>IFERROR(AVERAGEIFS('Raw data'!$W$2:$W$1560,'Raw data'!$A$2:$A$1560,Feuil1!$A94,'Raw data'!$C$2:$C$1560,Feuil1!B$1),"")</f>
        <v>5.6379821200870888</v>
      </c>
      <c r="C94" s="4">
        <f>IFERROR(AVERAGEIFS('Raw data'!$W$2:$W$1560,'Raw data'!$A$2:$A$1560,Feuil1!$A94,'Raw data'!$C$2:$C$1560,Feuil1!C$1),"")</f>
        <v>3.596428214761783</v>
      </c>
      <c r="D94" s="4">
        <f>IFERROR(AVERAGEIFS('Raw data'!$W$2:$W$1560,'Raw data'!$A$2:$A$1560,Feuil1!$A94,'Raw data'!$C$2:$C$1560,Feuil1!D$1),"")</f>
        <v>5.0141802461139173</v>
      </c>
      <c r="E94" s="4">
        <f>IFERROR(AVERAGEIFS('Raw data'!$W$2:$W$1560,'Raw data'!$A$2:$A$1560,Feuil1!$A94,'Raw data'!$C$2:$C$1560,Feuil1!E$1),"")</f>
        <v>4.2945085981506264</v>
      </c>
      <c r="F94" s="2">
        <f t="shared" si="1"/>
        <v>4.635774794778353</v>
      </c>
    </row>
    <row r="95" spans="1:6" x14ac:dyDescent="0.2">
      <c r="A95" s="3">
        <v>94</v>
      </c>
      <c r="B95" s="4">
        <f>IFERROR(AVERAGEIFS('Raw data'!$W$2:$W$1560,'Raw data'!$A$2:$A$1560,Feuil1!$A95,'Raw data'!$C$2:$C$1560,Feuil1!B$1),"")</f>
        <v>5.1776436044247252</v>
      </c>
      <c r="C95" s="4">
        <f>IFERROR(AVERAGEIFS('Raw data'!$W$2:$W$1560,'Raw data'!$A$2:$A$1560,Feuil1!$A95,'Raw data'!$C$2:$C$1560,Feuil1!C$1),"")</f>
        <v>5.522177442235094</v>
      </c>
      <c r="D95" s="4">
        <f>IFERROR(AVERAGEIFS('Raw data'!$W$2:$W$1560,'Raw data'!$A$2:$A$1560,Feuil1!$A95,'Raw data'!$C$2:$C$1560,Feuil1!D$1),"")</f>
        <v>4.5854735707070926</v>
      </c>
      <c r="E95" s="4">
        <f>IFERROR(AVERAGEIFS('Raw data'!$W$2:$W$1560,'Raw data'!$A$2:$A$1560,Feuil1!$A95,'Raw data'!$C$2:$C$1560,Feuil1!E$1),"")</f>
        <v>5.0016598857748278</v>
      </c>
      <c r="F95" s="2">
        <f t="shared" si="1"/>
        <v>5.0717386257854349</v>
      </c>
    </row>
    <row r="96" spans="1:6" x14ac:dyDescent="0.2">
      <c r="A96" s="3">
        <v>95</v>
      </c>
      <c r="B96" s="4">
        <f>IFERROR(AVERAGEIFS('Raw data'!$W$2:$W$1560,'Raw data'!$A$2:$A$1560,Feuil1!$A96,'Raw data'!$C$2:$C$1560,Feuil1!B$1),"")</f>
        <v>5.9179406814583126</v>
      </c>
      <c r="C96" s="4" t="str">
        <f>IFERROR(AVERAGEIFS('Raw data'!$W$2:$W$1560,'Raw data'!$A$2:$A$1560,Feuil1!$A96,'Raw data'!$C$2:$C$1560,Feuil1!C$1),"")</f>
        <v/>
      </c>
      <c r="D96" s="4">
        <f>IFERROR(AVERAGEIFS('Raw data'!$W$2:$W$1560,'Raw data'!$A$2:$A$1560,Feuil1!$A96,'Raw data'!$C$2:$C$1560,Feuil1!D$1),"")</f>
        <v>4.7561554406394668</v>
      </c>
      <c r="E96" s="4">
        <f>IFERROR(AVERAGEIFS('Raw data'!$W$2:$W$1560,'Raw data'!$A$2:$A$1560,Feuil1!$A96,'Raw data'!$C$2:$C$1560,Feuil1!E$1),"")</f>
        <v>3.6539956601223778</v>
      </c>
      <c r="F96" s="2">
        <f t="shared" si="1"/>
        <v>4.7760305940733856</v>
      </c>
    </row>
    <row r="97" spans="1:6" x14ac:dyDescent="0.2">
      <c r="A97" s="3">
        <v>96</v>
      </c>
      <c r="B97" s="4">
        <f>IFERROR(AVERAGEIFS('Raw data'!$W$2:$W$1560,'Raw data'!$A$2:$A$1560,Feuil1!$A97,'Raw data'!$C$2:$C$1560,Feuil1!B$1),"")</f>
        <v>6.2690032379829743</v>
      </c>
      <c r="C97" s="4">
        <f>IFERROR(AVERAGEIFS('Raw data'!$W$2:$W$1560,'Raw data'!$A$2:$A$1560,Feuil1!$A97,'Raw data'!$C$2:$C$1560,Feuil1!C$1),"")</f>
        <v>6.011150576400234</v>
      </c>
      <c r="D97" s="4">
        <f>IFERROR(AVERAGEIFS('Raw data'!$W$2:$W$1560,'Raw data'!$A$2:$A$1560,Feuil1!$A97,'Raw data'!$C$2:$C$1560,Feuil1!D$1),"")</f>
        <v>5.5396424802609916</v>
      </c>
      <c r="E97" s="4">
        <f>IFERROR(AVERAGEIFS('Raw data'!$W$2:$W$1560,'Raw data'!$A$2:$A$1560,Feuil1!$A97,'Raw data'!$C$2:$C$1560,Feuil1!E$1),"")</f>
        <v>3.9371828857711346</v>
      </c>
      <c r="F97" s="2">
        <f t="shared" si="1"/>
        <v>5.4392447951038339</v>
      </c>
    </row>
    <row r="98" spans="1:6" x14ac:dyDescent="0.2">
      <c r="A98" s="3">
        <v>97</v>
      </c>
      <c r="B98" s="4">
        <f>IFERROR(AVERAGEIFS('Raw data'!$W$2:$W$1560,'Raw data'!$A$2:$A$1560,Feuil1!$A98,'Raw data'!$C$2:$C$1560,Feuil1!B$1),"")</f>
        <v>6.3351577779438202</v>
      </c>
      <c r="C98" s="4">
        <f>IFERROR(AVERAGEIFS('Raw data'!$W$2:$W$1560,'Raw data'!$A$2:$A$1560,Feuil1!$A98,'Raw data'!$C$2:$C$1560,Feuil1!C$1),"")</f>
        <v>6.2725007191451825</v>
      </c>
      <c r="D98" s="4" t="str">
        <f>IFERROR(AVERAGEIFS('Raw data'!$W$2:$W$1560,'Raw data'!$A$2:$A$1560,Feuil1!$A98,'Raw data'!$C$2:$C$1560,Feuil1!D$1),"")</f>
        <v/>
      </c>
      <c r="E98" s="4">
        <f>IFERROR(AVERAGEIFS('Raw data'!$W$2:$W$1560,'Raw data'!$A$2:$A$1560,Feuil1!$A98,'Raw data'!$C$2:$C$1560,Feuil1!E$1),"")</f>
        <v>4.063145639829524</v>
      </c>
      <c r="F98" s="2">
        <f t="shared" si="1"/>
        <v>5.5569347123061759</v>
      </c>
    </row>
    <row r="99" spans="1:6" x14ac:dyDescent="0.2">
      <c r="A99" s="3">
        <v>98</v>
      </c>
      <c r="B99" s="4">
        <f>IFERROR(AVERAGEIFS('Raw data'!$W$2:$W$1560,'Raw data'!$A$2:$A$1560,Feuil1!$A99,'Raw data'!$C$2:$C$1560,Feuil1!B$1),"")</f>
        <v>5.6789829960194291</v>
      </c>
      <c r="C99" s="4">
        <f>IFERROR(AVERAGEIFS('Raw data'!$W$2:$W$1560,'Raw data'!$A$2:$A$1560,Feuil1!$A99,'Raw data'!$C$2:$C$1560,Feuil1!C$1),"")</f>
        <v>6.2532067906868267</v>
      </c>
      <c r="D99" s="4">
        <f>IFERROR(AVERAGEIFS('Raw data'!$W$2:$W$1560,'Raw data'!$A$2:$A$1560,Feuil1!$A99,'Raw data'!$C$2:$C$1560,Feuil1!D$1),"")</f>
        <v>5.155461028912157</v>
      </c>
      <c r="E99" s="4">
        <f>IFERROR(AVERAGEIFS('Raw data'!$W$2:$W$1560,'Raw data'!$A$2:$A$1560,Feuil1!$A99,'Raw data'!$C$2:$C$1560,Feuil1!E$1),"")</f>
        <v>5.000406244603961</v>
      </c>
      <c r="F99" s="2">
        <f t="shared" si="1"/>
        <v>5.5220142650555939</v>
      </c>
    </row>
    <row r="100" spans="1:6" x14ac:dyDescent="0.2">
      <c r="A100" s="3">
        <v>99</v>
      </c>
      <c r="B100" s="4">
        <f>IFERROR(AVERAGEIFS('Raw data'!$W$2:$W$1560,'Raw data'!$A$2:$A$1560,Feuil1!$A100,'Raw data'!$C$2:$C$1560,Feuil1!B$1),"")</f>
        <v>6.4017174158745931</v>
      </c>
      <c r="C100" s="4">
        <f>IFERROR(AVERAGEIFS('Raw data'!$W$2:$W$1560,'Raw data'!$A$2:$A$1560,Feuil1!$A100,'Raw data'!$C$2:$C$1560,Feuil1!C$1),"")</f>
        <v>4.7985704911264992</v>
      </c>
      <c r="D100" s="4">
        <f>IFERROR(AVERAGEIFS('Raw data'!$W$2:$W$1560,'Raw data'!$A$2:$A$1560,Feuil1!$A100,'Raw data'!$C$2:$C$1560,Feuil1!D$1),"")</f>
        <v>4.6085746935168004</v>
      </c>
      <c r="E100" s="4">
        <f>IFERROR(AVERAGEIFS('Raw data'!$W$2:$W$1560,'Raw data'!$A$2:$A$1560,Feuil1!$A100,'Raw data'!$C$2:$C$1560,Feuil1!E$1),"")</f>
        <v>4.5985826450840488</v>
      </c>
      <c r="F100" s="2">
        <f t="shared" si="1"/>
        <v>5.1018613114004854</v>
      </c>
    </row>
    <row r="101" spans="1:6" x14ac:dyDescent="0.2">
      <c r="A101" s="3">
        <v>100</v>
      </c>
      <c r="B101" s="4">
        <f>IFERROR(AVERAGEIFS('Raw data'!$W$2:$W$1560,'Raw data'!$A$2:$A$1560,Feuil1!$A101,'Raw data'!$C$2:$C$1560,Feuil1!B$1),"")</f>
        <v>5.7425645715347491</v>
      </c>
      <c r="C101" s="4">
        <f>IFERROR(AVERAGEIFS('Raw data'!$W$2:$W$1560,'Raw data'!$A$2:$A$1560,Feuil1!$A101,'Raw data'!$C$2:$C$1560,Feuil1!C$1),"")</f>
        <v>5.3420353846489741</v>
      </c>
      <c r="D101" s="4">
        <f>IFERROR(AVERAGEIFS('Raw data'!$W$2:$W$1560,'Raw data'!$A$2:$A$1560,Feuil1!$A101,'Raw data'!$C$2:$C$1560,Feuil1!D$1),"")</f>
        <v>4.7844255440568242</v>
      </c>
      <c r="E101" s="4">
        <f>IFERROR(AVERAGEIFS('Raw data'!$W$2:$W$1560,'Raw data'!$A$2:$A$1560,Feuil1!$A101,'Raw data'!$C$2:$C$1560,Feuil1!E$1),"")</f>
        <v>3.2466445523292826</v>
      </c>
      <c r="F101" s="2">
        <f t="shared" si="1"/>
        <v>4.7789175131424573</v>
      </c>
    </row>
    <row r="102" spans="1:6" x14ac:dyDescent="0.2">
      <c r="A102" s="5" t="s">
        <v>38</v>
      </c>
      <c r="B102" s="6">
        <f>AVERAGE(B2:B101)</f>
        <v>5.9605440905054579</v>
      </c>
      <c r="C102" s="6">
        <f t="shared" ref="C102:E102" si="2">AVERAGE(C2:C101)</f>
        <v>5.5471708392114216</v>
      </c>
      <c r="D102" s="6">
        <f t="shared" si="2"/>
        <v>5.2738081115671456</v>
      </c>
      <c r="E102" s="6">
        <f t="shared" si="2"/>
        <v>4.1630245158050023</v>
      </c>
      <c r="F102" s="7">
        <f>AVERAGE(B2:E101)</f>
        <v>5.2369849629540575</v>
      </c>
    </row>
    <row r="103" spans="1:6" x14ac:dyDescent="0.2">
      <c r="A103" s="5" t="s">
        <v>39</v>
      </c>
      <c r="B103" s="6">
        <f>STDEV(B2:B101)</f>
        <v>0.36430021013719538</v>
      </c>
      <c r="C103" s="6">
        <f t="shared" ref="C103:E103" si="3">STDEV(C2:C101)</f>
        <v>0.70349280493739608</v>
      </c>
      <c r="D103" s="6">
        <f t="shared" si="3"/>
        <v>0.60867453324635823</v>
      </c>
      <c r="E103" s="6">
        <f t="shared" si="3"/>
        <v>0.62806787489307314</v>
      </c>
      <c r="F103" s="7">
        <f>STDEV(B2:E101)</f>
        <v>0.89247986048658146</v>
      </c>
    </row>
    <row r="104" spans="1:6" x14ac:dyDescent="0.2">
      <c r="A104" s="8" t="s">
        <v>40</v>
      </c>
      <c r="B104" s="4">
        <f>AVERAGEIF(B2:B101,"&lt;&gt;""",B2:B101)</f>
        <v>5.9605440905054579</v>
      </c>
      <c r="C104" s="4">
        <f t="shared" ref="C104:E104" si="4">AVERAGEIF(C2:C101,"&lt;&gt;""",C2:C101)</f>
        <v>5.5471708392114216</v>
      </c>
      <c r="D104" s="4">
        <f t="shared" si="4"/>
        <v>5.2738081115671456</v>
      </c>
      <c r="E104" s="4">
        <f t="shared" si="4"/>
        <v>4.1630245158050023</v>
      </c>
      <c r="F104" s="9">
        <f>AVERAGEIF(B4:E103,"&lt;&gt;""",B4:E103)</f>
        <v>5.1922267860277831</v>
      </c>
    </row>
    <row r="105" spans="1:6" x14ac:dyDescent="0.2">
      <c r="A105" s="8" t="s">
        <v>41</v>
      </c>
      <c r="B105" s="4" cm="1">
        <f t="array" ref="B105">STDEV(_xlfn._xlws.FILTER(B2:B101,B2:B101&lt;&gt;""))</f>
        <v>0.36430021013719538</v>
      </c>
      <c r="C105" s="4" cm="1">
        <f t="array" ref="C105">STDEV(_xlfn._xlws.FILTER(C2:C101,C2:C101&lt;&gt;""))</f>
        <v>0.70349280493739608</v>
      </c>
      <c r="D105" s="4" cm="1">
        <f t="array" ref="D105">STDEV(_xlfn._xlws.FILTER(D2:D101,D2:D101&lt;&gt;""))</f>
        <v>0.60867453324635823</v>
      </c>
      <c r="E105" s="4" cm="1">
        <f t="array" ref="E105">STDEV(_xlfn._xlws.FILTER(E2:E101,E2:E101&lt;&gt;""))</f>
        <v>0.62806787489307314</v>
      </c>
      <c r="F105" s="9" cm="1">
        <f t="array" ref="F105">STDEV(_xlfn.VSTACK(_xlfn._xlws.FILTER(B2:B101,B2:B101&lt;&gt;""),_xlfn._xlws.FILTER(C2:C101,B2:B101&lt;&gt;""),_xlfn._xlws.FILTER(D2:D101,B2:B101&lt;&gt;""),_xlfn._xlws.FILTER(E2:E101,B2:B101&lt;&gt;"")))</f>
        <v>0.89247986048655237</v>
      </c>
    </row>
  </sheetData>
  <conditionalFormatting sqref="F2:F101">
    <cfRule type="cellIs" dxfId="0" priority="1" operator="notEqual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Raw data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Saul Roberto Morales Velazquez</cp:lastModifiedBy>
  <dcterms:created xsi:type="dcterms:W3CDTF">2025-11-16T02:38:47Z</dcterms:created>
  <dcterms:modified xsi:type="dcterms:W3CDTF">2025-11-16T21:45:11Z</dcterms:modified>
</cp:coreProperties>
</file>